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. Validador Automatico" sheetId="1" state="visible" r:id="rId2"/>
    <sheet name="2. Regras NCM x Embalagem" sheetId="2" state="visible" r:id="rId3"/>
    <sheet name="3. Dicionario Principios Ativos" sheetId="3" state="visible" r:id="rId4"/>
    <sheet name="4. Base Mestre (845 Produtos)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<sst xmlns="http://schemas.openxmlformats.org/spreadsheetml/2006/main" count="18442" uniqueCount="2397">
  <si>
    <t xml:space="preserve">SISTEMA AUTOMÁTICO DE VALIDAÇÃO DE CADASTRO DE PRODUTOS AGRÍCOLAS (P.A., NCM, EMBALAGEM x NCM TIPI, MAPA E PIS/COFINS)</t>
  </si>
  <si>
    <t xml:space="preserve">COMO USAR: Preencha ou altere os Dados Básicos nas Colunas Azuis (A a H). As Colunas Automáticas [Auto] (I a X) consultam a Base Mestre (845 produtos) e o Dicionário (184 moléculas), extraem a embalagem da descrição e validam automaticamente Princípio Ativo, Unidade, NCM, Compatibilidade NCM x Embalagem (TIPI) e Registro MAPA.</t>
  </si>
  <si>
    <t xml:space="preserve">PRODUTOS EM VALIDAÇÃO</t>
  </si>
  <si>
    <t xml:space="preserve">CADASTROS 100% CONFORMES</t>
  </si>
  <si>
    <t xml:space="preserve">ERRO NCM x EMBALAGEM (TIPI)</t>
  </si>
  <si>
    <t xml:space="preserve">ERRO GERAL DE NCM (TIPI)</t>
  </si>
  <si>
    <t xml:space="preserve">ERRO DE P.A. OU UNIDADE</t>
  </si>
  <si>
    <t xml:space="preserve">CADASTROS BLOQUEADOS (C/ ERRO)</t>
  </si>
  <si>
    <t xml:space="preserve">35 pré-preenchidos + 30 linhas livres</t>
  </si>
  <si>
    <t xml:space="preserve">Prontos p/ liberação no ERP</t>
  </si>
  <si>
    <t xml:space="preserve">Faixa de peso/volume incompatível</t>
  </si>
  <si>
    <t xml:space="preserve">Subitem ou capítulo incorreto</t>
  </si>
  <si>
    <t xml:space="preserve">Molécula ou unidade divergente</t>
  </si>
  <si>
    <t xml:space="preserve">Exigem saneamento imediato</t>
  </si>
  <si>
    <t xml:space="preserve">Código Produto</t>
  </si>
  <si>
    <t xml:space="preserve">Descrição do Produto (c/ Embalagem)</t>
  </si>
  <si>
    <t xml:space="preserve">Unidade Cadastrada</t>
  </si>
  <si>
    <t xml:space="preserve">Princípio Ativo Informado</t>
  </si>
  <si>
    <t xml:space="preserve">NCM Informada</t>
  </si>
  <si>
    <t xml:space="preserve">Código MAPA Informado</t>
  </si>
  <si>
    <t xml:space="preserve">Peso/Vol. Unitário Manual (kg/L) [Opcional]</t>
  </si>
  <si>
    <t xml:space="preserve">Cenário de Teste / Observação do Cadastro</t>
  </si>
  <si>
    <t xml:space="preserve">[Auto] Vínculo na Base de Conhecimento</t>
  </si>
  <si>
    <t xml:space="preserve">[Auto] Grupo e Sub-Grupo Oficial</t>
  </si>
  <si>
    <t xml:space="preserve">[Auto] Peso/Vol. Unitário Extraído (kg/L)</t>
  </si>
  <si>
    <t xml:space="preserve">[Auto] Unidade Física da Embalagem</t>
  </si>
  <si>
    <t xml:space="preserve">[Auto] Validação Unidade x Embalagem</t>
  </si>
  <si>
    <t xml:space="preserve">[Auto] Faixa de Embalagem TIPI</t>
  </si>
  <si>
    <t xml:space="preserve">[Auto] Princípio Ativo Oficial Correto (Bula)</t>
  </si>
  <si>
    <t xml:space="preserve">[Auto] Validação do Princípio Ativo</t>
  </si>
  <si>
    <t xml:space="preserve">[Auto] NCM Oficial Exata (Molécula + Embalagem)</t>
  </si>
  <si>
    <t xml:space="preserve">[Auto] Validação Geral da NCM</t>
  </si>
  <si>
    <t xml:space="preserve">[Auto] Validação NCM x Embalagem Descrita (TIPI)</t>
  </si>
  <si>
    <t xml:space="preserve">[Auto] Código MAPA Oficial / Regra (Bula)</t>
  </si>
  <si>
    <t xml:space="preserve">[Auto] Validação do Código MAPA</t>
  </si>
  <si>
    <t xml:space="preserve">[Auto] Tributação PIS/COFINS (Até Mar/26 | Pós-Abr/26)</t>
  </si>
  <si>
    <t xml:space="preserve">[Auto] CST PIS/COFINS Recomendado</t>
  </si>
  <si>
    <t xml:space="preserve">[Auto] VEREDITO FINAL DO CADASTRO (TRAVA ERP)</t>
  </si>
  <si>
    <t xml:space="preserve">2-4 D AGCN 1X20L (IMP) TC</t>
  </si>
  <si>
    <t xml:space="preserve">L</t>
  </si>
  <si>
    <t xml:space="preserve">2-4 D</t>
  </si>
  <si>
    <t xml:space="preserve">3808.93.22</t>
  </si>
  <si>
    <t xml:space="preserve">Cenário 01 [OK]: Herbicida 2,4-D em embalagem 20L c/ NCM, P.A. e MAPA validados</t>
  </si>
  <si>
    <t xml:space="preserve">IMPACTUS CS 0,200L (IMP) AMOSTRA</t>
  </si>
  <si>
    <t xml:space="preserve">LAMBDA-CIALOTRINA 250</t>
  </si>
  <si>
    <t xml:space="preserve">3808.61.00</t>
  </si>
  <si>
    <t xml:space="preserve">Cenário 02 [OK]: Lambda-cialotrina em amostra 0,200L (&lt;=300mL) na NCM 3808.61.00 correta</t>
  </si>
  <si>
    <t xml:space="preserve">TRINCA CAPS 4X5L</t>
  </si>
  <si>
    <t xml:space="preserve">3808.62.90</t>
  </si>
  <si>
    <t xml:space="preserve">Cenário 03 [OK]: Lambda-cialotrina em galão 5L (300g a 7,5kg) na NCM 3808.62.90 correta</t>
  </si>
  <si>
    <t xml:space="preserve">SAMURAI 1X20L</t>
  </si>
  <si>
    <t xml:space="preserve">3808.69.90</t>
  </si>
  <si>
    <t xml:space="preserve">Cenário 04 [OK]: Lambda-cialotrina em bombona 20L (&gt;7,5kg) na NCM 3808.69.90 correta</t>
  </si>
  <si>
    <t xml:space="preserve">AGCN MOLIBIDENIO 4X5L</t>
  </si>
  <si>
    <t xml:space="preserve">MO 14%</t>
  </si>
  <si>
    <t xml:space="preserve">3105.10.00</t>
  </si>
  <si>
    <t xml:space="preserve">MT-00412-10008.1</t>
  </si>
  <si>
    <t xml:space="preserve">Cenário 05 [OK]: Fertilizante em galão 5L (&lt;=10kg bruto) na NCM 3105.10.00 + SIPEAGRO</t>
  </si>
  <si>
    <t xml:space="preserve">AGCN SILWET AG 4X5L</t>
  </si>
  <si>
    <t xml:space="preserve">ADJUVANTE</t>
  </si>
  <si>
    <t xml:space="preserve">3402.42.00</t>
  </si>
  <si>
    <t xml:space="preserve">Cenário 06 [OK]: Adjuvante surfactante na NCM 3402.42.00 e Isento MAPA (Ato 104/2017)</t>
  </si>
  <si>
    <t xml:space="preserve">ACEFATO 750 2X5KG (IMP)</t>
  </si>
  <si>
    <t xml:space="preserve">KG</t>
  </si>
  <si>
    <t xml:space="preserve">ACEFATO 750</t>
  </si>
  <si>
    <t xml:space="preserve">3808.91.91</t>
  </si>
  <si>
    <t xml:space="preserve">Cenário 07 [OK]: Inseticida Acefato em pacote 5KG no subitem específico 3808.91.91</t>
  </si>
  <si>
    <t xml:space="preserve">SAMURAI 1X5L</t>
  </si>
  <si>
    <t xml:space="preserve">Cenário 08 [Erro NCM x Emb.]: Samurai 1X5L (5L &lt;=7,5kg) cadastrado em 3808.69.90 (&gt;7,5kg)</t>
  </si>
  <si>
    <t xml:space="preserve">INSECTRIN 2X10L (IMP) RR</t>
  </si>
  <si>
    <t xml:space="preserve">BIFENTRINA 400</t>
  </si>
  <si>
    <t xml:space="preserve">Cenário 09 [Erro NCM x Emb.]: Insectrin 2X10L (10L &gt;7,5kg) cadastrado em 3808.62.90 (&lt;=7,5kg)</t>
  </si>
  <si>
    <t xml:space="preserve">INSECTRIN 0,200L (IMP) AMOSTRA</t>
  </si>
  <si>
    <t xml:space="preserve">Cenário 10 [Erro NCM x Emb.]: Insectrin 0,200L (&lt;=0,3L) cadastrado em 3808.62.90 em vez de 3808.61.00</t>
  </si>
  <si>
    <t xml:space="preserve">MAJESTUOSO 0,2L (IMP) AMOSTRA</t>
  </si>
  <si>
    <t xml:space="preserve">MALATIONA 1000</t>
  </si>
  <si>
    <t xml:space="preserve">Cenário 11 [Erro NCM x Emb.]: Majestuoso 0,2L (&lt;=0,3L) cadastrado em 3808.69.90 em vez de 3808.61.00</t>
  </si>
  <si>
    <t xml:space="preserve">GEODO AMOSTRA 0,100KG IMP</t>
  </si>
  <si>
    <t xml:space="preserve">ACETAMIPRIDO 250 +  BIFENTRINA 250</t>
  </si>
  <si>
    <t xml:space="preserve">Cenário 12 [Erro NCM x Emb.]: Geodo 0,100KG (&lt;=0,3kg) cadastrado em 3808.69.90 em vez de 3808.61.00</t>
  </si>
  <si>
    <t xml:space="preserve">ASLAN SL 4X5L (IMP)</t>
  </si>
  <si>
    <t xml:space="preserve">ACETAMIPRIDO 100 + BIFENTRINA 67</t>
  </si>
  <si>
    <t xml:space="preserve">3808.91.99</t>
  </si>
  <si>
    <t xml:space="preserve">Cenário 13 [Erro NCM x Emb.]: Aslan SL 4X5L (Bifentrina 5L) em 3808.91.99 em vez de 3808.62.90</t>
  </si>
  <si>
    <t xml:space="preserve">COFENRIN 1X20L (IMP)</t>
  </si>
  <si>
    <t xml:space="preserve">Cenário 14 [Erro NCM x Emb.]: Cofenrin 1X20L (Bifentrina 20L) em 3808.91.99 em vez de 3808.69.90</t>
  </si>
  <si>
    <t xml:space="preserve">ARIETE 4X5L</t>
  </si>
  <si>
    <t xml:space="preserve">BIFENTRINA 100</t>
  </si>
  <si>
    <t xml:space="preserve">3808.91.19</t>
  </si>
  <si>
    <t xml:space="preserve">Cenário 15 [Erro NCM x Emb.]: Ariete 4X5L em subitem domissanitário 3808.91.19 (exige 3808.62.90)</t>
  </si>
  <si>
    <t xml:space="preserve">MAXAPAC 250 EC 4X5L (IMP)</t>
  </si>
  <si>
    <t xml:space="preserve">TRINEXAPAQUE-ETILICO 250</t>
  </si>
  <si>
    <t xml:space="preserve">2918.99.99</t>
  </si>
  <si>
    <t xml:space="preserve">Cenário 16 [Erro NCM x Emb.]: Maxapac 4X5L (formulado comercial) no Cap. 29 (exige 3808.93.59)</t>
  </si>
  <si>
    <t xml:space="preserve">AGCN BORO ULTRA 1X20L</t>
  </si>
  <si>
    <t xml:space="preserve">B 8%, N 5%, CU 0,3%, MO 0,03% + AA</t>
  </si>
  <si>
    <t xml:space="preserve">MT-00412-10009.1</t>
  </si>
  <si>
    <t xml:space="preserve">Cenário 17 [Erro NCM x Emb.]: Fertilizante 1X20L (20L &gt;10kg) alocado em 3105.10.00 (&lt;=10kg)</t>
  </si>
  <si>
    <t xml:space="preserve">SANKARI 4X5L (IMP) GX</t>
  </si>
  <si>
    <t xml:space="preserve">ACIDO NONANOICO</t>
  </si>
  <si>
    <t xml:space="preserve">Cenário 18 [Erro Unid x Emb.]: Sankari 4X5L (embalagem em Litros, mas Unidade cadastrada = KG)</t>
  </si>
  <si>
    <t xml:space="preserve">METOMY 900 IMP 0,200L AMOSTRA</t>
  </si>
  <si>
    <t xml:space="preserve">METOMIL 900</t>
  </si>
  <si>
    <t xml:space="preserve">Cenário 19 [Erro Unid x Emb.]: Metomy 900 0,200L (embalagem em Litros, mas Unidade = KG)</t>
  </si>
  <si>
    <t xml:space="preserve">INOCULANTE GRAP NOD+ 1X1,5KG</t>
  </si>
  <si>
    <t xml:space="preserve">AZOSPIRILLUM BRASILENSE</t>
  </si>
  <si>
    <t xml:space="preserve">3002.49.99</t>
  </si>
  <si>
    <t xml:space="preserve">MT-00500-10001.1</t>
  </si>
  <si>
    <t xml:space="preserve">Cenário 20 [Erro Unid x Emb.]: Inoculante Grap Nod+ 1X1,5KG (embalagem em KG, mas Unidade = L)</t>
  </si>
  <si>
    <t xml:space="preserve">METSULFUROM ULTRA 50X0,1KG (IMP) JA (VALIDAR)</t>
  </si>
  <si>
    <t xml:space="preserve">CARFENTRAZONA ETILICA 400</t>
  </si>
  <si>
    <t xml:space="preserve">3808.93.29</t>
  </si>
  <si>
    <t xml:space="preserve">Cenário 21 [Erro P.A. e NCM]: Metsulfurom Ultra (MAPA 14623) c/ P.A. Carfentrazona e NCM .29</t>
  </si>
  <si>
    <t xml:space="preserve">BUSHI 4X5L (IMP)</t>
  </si>
  <si>
    <t xml:space="preserve">PIRIPROXIFEM 100</t>
  </si>
  <si>
    <t xml:space="preserve">Cenário 22 [Erro P.A. e Emb.]: Bushi 4X5L (MAPA 02020 é Lambda-cialotrina 250 e emb. 5L é 3808.62.90)</t>
  </si>
  <si>
    <t xml:space="preserve">SAGERSOLOS FORCE 1X1KG</t>
  </si>
  <si>
    <t xml:space="preserve">OLEO MINERAL</t>
  </si>
  <si>
    <t xml:space="preserve">3101.00.00</t>
  </si>
  <si>
    <t xml:space="preserve">SP-00812-10001.1</t>
  </si>
  <si>
    <t xml:space="preserve">Cenário 23 [Erro P.A.]: Fertilizante Sagersolos Force 1X1KG cadastrado c/ P.A. 'OLEO MINERAL'</t>
  </si>
  <si>
    <t xml:space="preserve">QUALY SULFATO MAGNESIO 16 - E 1X25KG</t>
  </si>
  <si>
    <t xml:space="preserve">Na2B8O13.4H2O</t>
  </si>
  <si>
    <t xml:space="preserve">3104.90.90</t>
  </si>
  <si>
    <t xml:space="preserve">SC-00311-10004.1</t>
  </si>
  <si>
    <t xml:space="preserve">Cenário 24 [Erro P.A. e NCM]: Sulfato de Magnésio 16 cadastrado c/ P.A. Octoborato (Na2B8O13)</t>
  </si>
  <si>
    <t xml:space="preserve">SSP FERTLIZANTE SIMPLES (VALIDAR FISCAL)</t>
  </si>
  <si>
    <t xml:space="preserve">MAP PURIFICADO</t>
  </si>
  <si>
    <t xml:space="preserve">3105.40.00</t>
  </si>
  <si>
    <t xml:space="preserve">MT-00910-10002.1</t>
  </si>
  <si>
    <t xml:space="preserve">Cenário 25 [Erro P.A. e NCM]: Superfosfato Simples (SSP) cadastrado c/ P.A. 'MAP PURIFICADO'</t>
  </si>
  <si>
    <t xml:space="preserve">FLUMIOXAZINA 500 + DICLOSULAM 340 (PRINC. ATIVO)</t>
  </si>
  <si>
    <t xml:space="preserve">INDOXACARBE 100 + BIFENTRINA 90 + ACETAMIPRIDO 137,5</t>
  </si>
  <si>
    <t xml:space="preserve">Cenário 26 [Erro Duplo P.A./MAPA]: Herbicida Flumioxazina+Diclosulam c/ P.A. Inseticida e MAPA 13520</t>
  </si>
  <si>
    <t xml:space="preserve">GUARDANIL 720 SC 1X20L (IMP)</t>
  </si>
  <si>
    <t xml:space="preserve">CLOROTALONIL 720</t>
  </si>
  <si>
    <t xml:space="preserve">3808.93.24</t>
  </si>
  <si>
    <t xml:space="preserve">Cenário 27 [Erro NCM e MAPA]: Fungicida Guardanil na NCM de Glifosato (.24) e MAPA 26320 de Atrazina</t>
  </si>
  <si>
    <t xml:space="preserve">BIOLOGIC GUARD 4X5L</t>
  </si>
  <si>
    <t xml:space="preserve">TRICHODERMA ASPERELLUM ISOLADO BV -10</t>
  </si>
  <si>
    <t xml:space="preserve">3808.92.99</t>
  </si>
  <si>
    <t xml:space="preserve">Cenário 28 [Erro MAPA Trocado]: Biofungicida Biologic Guard c/ MAPA 24117 do químico Fox Xpro</t>
  </si>
  <si>
    <t xml:space="preserve">3002.90.00</t>
  </si>
  <si>
    <t xml:space="preserve">Cenário 29 [Erro NCM Bio e MAPA]: Biofungicida Trichoderma em 3002.90.00 (fora de 38.08) e MAPA 24117</t>
  </si>
  <si>
    <t xml:space="preserve">ATRAZINA 900 WG 4X5KG</t>
  </si>
  <si>
    <t xml:space="preserve">ATRAZINA 900</t>
  </si>
  <si>
    <t xml:space="preserve">3808.93.23</t>
  </si>
  <si>
    <t xml:space="preserve">Cenário 30 [Erro MAPA Trocado]: Atrazina 900 WG 4X5KG c/ MAPA 26320 em vez do oficial 12920</t>
  </si>
  <si>
    <t xml:space="preserve">FOLICRON 4X5L (IMP) RR (VALIDAR)</t>
  </si>
  <si>
    <t xml:space="preserve">CIPROCONAZOL 80 + PICOXISTROBINA 200</t>
  </si>
  <si>
    <t xml:space="preserve">Cenário 31 [MAPA Ausente = 0]: Fungicida Folicron 4X5L s/ código (0) — Bula identifica nº 40024</t>
  </si>
  <si>
    <t xml:space="preserve">VISTARA 1X20L (IMP) RR (VALIDAR)</t>
  </si>
  <si>
    <t xml:space="preserve">PIRACLOSTROBINA 133 + EPOXICONAZOL 50</t>
  </si>
  <si>
    <t xml:space="preserve">Cenário 32 [MAPA Ausente = 0]: Fungicida Vistara 1X20L s/ código (0) — Bula identifica nº 11325</t>
  </si>
  <si>
    <t xml:space="preserve">TROVATI 360 CS 4X5L (IMP)</t>
  </si>
  <si>
    <t xml:space="preserve">CLOMAZONA 360</t>
  </si>
  <si>
    <t xml:space="preserve">Cenário 33 [MAPA Ausente = 0]: Herbicida Trovati 360 CS 4X5L s/ código (0) — Bula identifica nº 1109</t>
  </si>
  <si>
    <t xml:space="preserve">AGCN SAFE DESSEK 4X5L</t>
  </si>
  <si>
    <t xml:space="preserve">ADJUVANTE (REDUTOR DE PH E DERIVA)</t>
  </si>
  <si>
    <t xml:space="preserve">3105.90.90</t>
  </si>
  <si>
    <t xml:space="preserve">Cenário 34 [Risco Fiscal Adjuvante]: Adjuvante Safe Dessek 4X5L na NCM 3105.90.90 (SC COSIT 4/2024)</t>
  </si>
  <si>
    <t xml:space="preserve">BIOLOGIC PHOS 4X5L</t>
  </si>
  <si>
    <t xml:space="preserve">BACILLUS SUBTILIS E BACILLUS MEGATERIUM</t>
  </si>
  <si>
    <t xml:space="preserve">3507.90.49</t>
  </si>
  <si>
    <t xml:space="preserve">SP-00991-10015.1</t>
  </si>
  <si>
    <t xml:space="preserve">Cenário 35 [Risco Fiscal Bio]: Solubilizador de P Biologic Phos na NCM de Enzimas 3507.90.49</t>
  </si>
  <si>
    <t xml:space="preserve">&lt;-- Preencha os dados nas Colunas A a F para validar automaticamente</t>
  </si>
  <si>
    <t xml:space="preserve">MATRIZ DE REGRAS FISCAIS DE EMBALAGEM x NCM (TIPI) E AUDITORIA DOS 30 DESVIOS DE EMBALAGEM/UNIDADE NA BASE</t>
  </si>
  <si>
    <t xml:space="preserve">Fundamentação Legal: Nota de Subposições 2 do Cap. 38 da TIPI (SC COSIT nº 98.042/2022) | Nota 5 e Subposição 3105.10.00 do Cap. 31 | Nota 2 da Seção VI e Nota 1(a) do Cap. 29 | Subitens .1x (Domissanitários) vs. .2x/.9x (Agrícolas) da Posição 38.08</t>
  </si>
  <si>
    <t xml:space="preserve">TOTAL CATALOGADO</t>
  </si>
  <si>
    <t xml:space="preserve">ITENS DA NOTA SUBPOS. 2 (3808.6x)</t>
  </si>
  <si>
    <t xml:space="preserve">DESVIOS NCM x EMBALAGEM NA BASE</t>
  </si>
  <si>
    <t xml:space="preserve">MOLÉCULAS PARAMETRIZADAS</t>
  </si>
  <si>
    <t xml:space="preserve">Produtos auditados na base</t>
  </si>
  <si>
    <t xml:space="preserve">Exigem validação de peso/vol. unitário</t>
  </si>
  <si>
    <t xml:space="preserve">Itens c/ NCM ou Unidade incompatível c/ emb.</t>
  </si>
  <si>
    <t xml:space="preserve">Princípios ativos c/ regra de embalagem</t>
  </si>
  <si>
    <t xml:space="preserve">1. REGRAS OFICIAIS DA TIPI QUE VINCULAM O CÓDIGO NCM AO PESO/VOLUME E TIPO DE EMBALAGEM DESCRITA NO PRODUTO</t>
  </si>
  <si>
    <t xml:space="preserve">Cód. Regra</t>
  </si>
  <si>
    <t xml:space="preserve">Dispositivo Legal TIPI / RFB</t>
  </si>
  <si>
    <t xml:space="preserve">Escopo Químico / Agronômico</t>
  </si>
  <si>
    <t xml:space="preserve">Condição da Embalagem Unitária Descrita</t>
  </si>
  <si>
    <t xml:space="preserve">NCM Obrigatória</t>
  </si>
  <si>
    <t xml:space="preserve">NCMs Proibidas (Erro Comum)</t>
  </si>
  <si>
    <t xml:space="preserve">Impacto Fiscal / Risco no ERP</t>
  </si>
  <si>
    <t xml:space="preserve">Exemplos Reais na Planilha</t>
  </si>
  <si>
    <t xml:space="preserve">REG-EMB-01</t>
  </si>
  <si>
    <t xml:space="preserve">Nota de Subposições 2 do Cap. 38 (SC COSIT 98.042/22)</t>
  </si>
  <si>
    <t xml:space="preserve">Bifentrina, Lambda-cialotrina, Clorfenapir, Malationa, Fenitrotiona, Beta-ciflutrina, Alfa-cipermetrina</t>
  </si>
  <si>
    <t xml:space="preserve">Embalagem unitária c/ peso/volume líquido NÃO SUPERIOR a 300 g / 300 mL (ex.: 0,200L, 0,2L, 0,100KG)</t>
  </si>
  <si>
    <t xml:space="preserve">3808.62.90, 3808.69.90, 3808.91.99</t>
  </si>
  <si>
    <t xml:space="preserve">Multa por classificação incorreta na NF-e/DI (1% do valor aduaneiro/comercial)</t>
  </si>
  <si>
    <t xml:space="preserve">Impactus CS 0,200L (Cod 4290), Insectrin 0,200L (Cod 4490), Majestuoso 0,2L (Cod 4914), Geodo 0,100KG (Cod 7374)</t>
  </si>
  <si>
    <t xml:space="preserve">REG-EMB-02</t>
  </si>
  <si>
    <t xml:space="preserve">Embalagem unitária SUPERIOR a 300 g/mL até 7,5 kg/L (ex.: 4X5L -&gt; galão 5L; 1X5L; 4X5KG; 12X1L; 1X1L)</t>
  </si>
  <si>
    <t xml:space="preserve">3808.69.90, 3808.61.00, 3808.91.99</t>
  </si>
  <si>
    <t xml:space="preserve">Erro de subposição na TIPI (fardo 4X5L considera o recipiente individual de 5L, e não 20L)</t>
  </si>
  <si>
    <t xml:space="preserve">Samurai 1X5L (Cod 469), Bushi 4X5L (Cod 517), Aslan SL 4X5L (Cod 18), Forceps 4X5KG (Cod 1641), Trinca Caps 4X5L (Cod 233)</t>
  </si>
  <si>
    <t xml:space="preserve">REG-EMB-03</t>
  </si>
  <si>
    <t xml:space="preserve">Embalagem unitária SUPERIOR a 7,5 kg/L (ex.: bombona 1X20L, 20L, 2X10KG -&gt; saco 10kg, 2X10L -&gt; galão 10L)</t>
  </si>
  <si>
    <t xml:space="preserve">3808.62.90, 3808.61.00, 3808.91.99</t>
  </si>
  <si>
    <t xml:space="preserve">Incompatibilidade direta entre a capacidade da bombona/saco (&gt;7,5kg) e a subposição 3808.62</t>
  </si>
  <si>
    <t xml:space="preserve">Insectrin 2X10L (Cod 3068), Cofenrin 1X20L (Cod 429), Forceps 2X10KG (Cod 1898), Samurai 1X20L (Cod 231)</t>
  </si>
  <si>
    <t xml:space="preserve">REG-EMB-04</t>
  </si>
  <si>
    <t xml:space="preserve">Estrutura da Posição 38.08 da TIPI (.1x vs .2x/.9x)</t>
  </si>
  <si>
    <t xml:space="preserve">Todos os Inseticidas, Fungicidas e Herbicidas de Uso Agrícola</t>
  </si>
  <si>
    <t xml:space="preserve">Embalagens industriais/agrícolas (&gt;= 1 L/kg: 4X5L, 1X20L, 1X25KG) destinadas à lavoura</t>
  </si>
  <si>
    <t xml:space="preserve">3808.9x.2x / .9x ou 3808.6x</t>
  </si>
  <si>
    <t xml:space="preserve">3808.91.19, 3808.92.19, 3808.93.19</t>
  </si>
  <si>
    <t xml:space="preserve">As subposições .1x aplicam-se exclusivamente a embalagens de venda direta domissanitária (varejo doméstico)</t>
  </si>
  <si>
    <t xml:space="preserve">Ariete 4X5L (Cod 5710 — cadastrado erroneamente em 3808.91.19 domissanitário)</t>
  </si>
  <si>
    <t xml:space="preserve">REG-EMB-05</t>
  </si>
  <si>
    <t xml:space="preserve">Nota 5 e Subposição 3105.10.00 do Capítulo 31 da TIPI</t>
  </si>
  <si>
    <t xml:space="preserve">Fertilizantes Minerais ou Químicos do Capítulo 31</t>
  </si>
  <si>
    <t xml:space="preserve">Embalagens de peso bruto NÃO SUPERIOR a 10 kg (ex.: 4X5L -&gt; galão 5L, 1X5KG, 1X1KG) vs. &gt; 10 kg (1X20L, 1X25KG, Big Bag)</t>
  </si>
  <si>
    <t xml:space="preserve">3105.10.00 (&lt;=10kg) | 3101 a 3105.90 (&gt;10kg)</t>
  </si>
  <si>
    <t xml:space="preserve">3105.10.00 em bombonas de 20L ou sacas de 25KG</t>
  </si>
  <si>
    <t xml:space="preserve">Uso de 3105.10.00 para embalagens de 20L/25KG/Big Bag viola o limite taxativo de 10 kg brutos da subposição</t>
  </si>
  <si>
    <t xml:space="preserve">AGCN Molibidenio 4X5L (Cod 276) e Efisoil Superbia 1X5KG (Cods 2702/2703) válidos em 3105.10.00</t>
  </si>
  <si>
    <t xml:space="preserve">REG-EMB-06</t>
  </si>
  <si>
    <t xml:space="preserve">Nota 2 da Seção VI e Nota 1(a) do Cap. 29 da TIPI</t>
  </si>
  <si>
    <t xml:space="preserve">Defensivos Formulados Prontos p/ Uso vs. Produto Técnico Puro</t>
  </si>
  <si>
    <t xml:space="preserve">Embalagem comercial dosada/formulada p/ venda a retalho (ex.: 4X5L, 1X20L, 12X1KG) vs. Granel Técnico (P.A.)</t>
  </si>
  <si>
    <t xml:space="preserve">Posição 38.08 (Embalagem Formulada)</t>
  </si>
  <si>
    <t xml:space="preserve">Capítulo 28 ou 29 (exclusivos p/ composto químico isolado)</t>
  </si>
  <si>
    <t xml:space="preserve">Perda do enquadramento direto do art. 1º, II, da Lei 10.925/2004 na venda comercial se mantido no Cap. 29</t>
  </si>
  <si>
    <t xml:space="preserve">Maxapac 250 EC 4X5L (Cod 1520 — cadastrado no Cap. 29 em 2918.99.99 apesar de ser formulado em galão 4X5L)</t>
  </si>
  <si>
    <t xml:space="preserve">2. RESUMO QUANTITATIVO DE DIVERGÊNCIAS DE EMBALAGEM E NCM</t>
  </si>
  <si>
    <t xml:space="preserve">Categoria de Divergência Auditada</t>
  </si>
  <si>
    <t xml:space="preserve">Regra TIPI Violada</t>
  </si>
  <si>
    <t xml:space="preserve">NCM Correta</t>
  </si>
  <si>
    <t xml:space="preserve">Qtd. Itens</t>
  </si>
  <si>
    <t xml:space="preserve">% dos Desvios</t>
  </si>
  <si>
    <t xml:space="preserve">Molécula 3808.6x c/ Emb. 5L/1L em 3808.91.99/.93.29</t>
  </si>
  <si>
    <t xml:space="preserve">REG-EMB-02 (300g a 7,5kg)</t>
  </si>
  <si>
    <t xml:space="preserve">Molécula 3808.6x c/ Emb. 10L/20L em 3808.91.99</t>
  </si>
  <si>
    <t xml:space="preserve">REG-EMB-03 (&gt; 7,5kg)</t>
  </si>
  <si>
    <t xml:space="preserve">Emb. Unitária &lt;= 7,5kg (5L/5KG) cadastrada em 3808.69.90</t>
  </si>
  <si>
    <t xml:space="preserve">Amostra &lt;= 300g/mL (0,1kg/0,2L) em 3808.62 ou 3808.69</t>
  </si>
  <si>
    <t xml:space="preserve">REG-EMB-01 (&lt;= 300g/mL)</t>
  </si>
  <si>
    <t xml:space="preserve">Unidade Cadastrada (KG/L) oposta à Embalagem na Descrição</t>
  </si>
  <si>
    <t xml:space="preserve">Unidade Física x ERP</t>
  </si>
  <si>
    <t xml:space="preserve">L / KG</t>
  </si>
  <si>
    <t xml:space="preserve">Emb. Unitária &gt; 7,5kg (2X10L) cadastrada em 3808.62.90</t>
  </si>
  <si>
    <t xml:space="preserve">Emb. Agrícola 4X5L em Subitem Domissanitário (3808.91.19)</t>
  </si>
  <si>
    <t xml:space="preserve">REG-EMB-04 (Agrícola vs Dom.)</t>
  </si>
  <si>
    <t xml:space="preserve">Total de Desvios de Embalagem / Unidade na Base</t>
  </si>
  <si>
    <t xml:space="preserve">—</t>
  </si>
  <si>
    <t xml:space="preserve">3. RELAÇÃO NOMINAL DOS 30 PRODUTOS COM INCOMPATIBILIDADE ENTRE NCM / UNIDADE E A EMBALAGEM DESCRITA</t>
  </si>
  <si>
    <t xml:space="preserve">Código</t>
  </si>
  <si>
    <t xml:space="preserve">Descrição do Produto no Cadastro</t>
  </si>
  <si>
    <t xml:space="preserve">Embalagem Extraída</t>
  </si>
  <si>
    <t xml:space="preserve">Peso/Vol. Unitário</t>
  </si>
  <si>
    <t xml:space="preserve">Unid. Emb.</t>
  </si>
  <si>
    <t xml:space="preserve">Unid. ERP</t>
  </si>
  <si>
    <t xml:space="preserve">Princípio Ativo</t>
  </si>
  <si>
    <t xml:space="preserve">NCM Atual</t>
  </si>
  <si>
    <t xml:space="preserve">NCM Exata p/ Embalagem</t>
  </si>
  <si>
    <t xml:space="preserve">Faixa TIPI da Embalagem</t>
  </si>
  <si>
    <t xml:space="preserve">Diagnóstico Técnico de Embalagem x NCM</t>
  </si>
  <si>
    <t xml:space="preserve">4X5L</t>
  </si>
  <si>
    <t xml:space="preserve">Faixa 2 TIPI: De 300g a 7,5kg/L (3808.62.90 / 3105.10.00)</t>
  </si>
  <si>
    <t xml:space="preserve">Molécula da Nota Subpos. 2 c/ embalagem unitária de 5 L exige NCM 3808.62.90 (cadastrado em 3808.91.99)</t>
  </si>
  <si>
    <t xml:space="preserve">1X20L</t>
  </si>
  <si>
    <t xml:space="preserve">Faixa 4 TIPI: Acima de 10kg/L (3808.69.90 / Cap. 31 Geral)</t>
  </si>
  <si>
    <t xml:space="preserve">Molécula da Nota Subpos. 2 c/ embalagem unitária de 20 L exige NCM 3808.69.90 (cadastrado em 3808.91.99)</t>
  </si>
  <si>
    <t xml:space="preserve">1X5L</t>
  </si>
  <si>
    <t xml:space="preserve">Molécula da Nota Subpos. 2 c/ embalagem unitária de 5 L exige NCM 3808.62.90 (cadastrado em 3808.69.90)</t>
  </si>
  <si>
    <t xml:space="preserve">ZARPAL 4X5L (IMP) GY</t>
  </si>
  <si>
    <t xml:space="preserve">BIFENTRINA + LUFENURON</t>
  </si>
  <si>
    <t xml:space="preserve">COFENRIN 1X20L (IMP) AR</t>
  </si>
  <si>
    <t xml:space="preserve">FORCEPS 4X5KG (IMP)</t>
  </si>
  <si>
    <t xml:space="preserve">4X5KG</t>
  </si>
  <si>
    <t xml:space="preserve">Molécula da Nota Subpos. 2 c/ embalagem unitária de 5 KG exige NCM 3808.62.90 (cadastrado em 3808.91.99)</t>
  </si>
  <si>
    <t xml:space="preserve">FORCEPS 2X10KG (IMP)</t>
  </si>
  <si>
    <t xml:space="preserve">2X10KG</t>
  </si>
  <si>
    <t xml:space="preserve">Faixa 3 TIPI: De 7,5kg a 10kg/L (3808.69.90 / 3105.10.00)</t>
  </si>
  <si>
    <t xml:space="preserve">Molécula da Nota Subpos. 2 c/ embalagem unitária de 10 KG exige NCM 3808.69.90 (cadastrado em 3808.91.99)</t>
  </si>
  <si>
    <t xml:space="preserve">COFENRIN 2X10L</t>
  </si>
  <si>
    <t xml:space="preserve">2X10L</t>
  </si>
  <si>
    <t xml:space="preserve">Molécula da Nota Subpos. 2 c/ embalagem unitária de 10 L exige NCM 3808.69.90 (cadastrado em 3808.91.99)</t>
  </si>
  <si>
    <t xml:space="preserve">COFENRIN 4X5L</t>
  </si>
  <si>
    <t xml:space="preserve">LAMBDA CIALOTRINA 250 EC 4X5L (VALIDAR FISCAL)</t>
  </si>
  <si>
    <t xml:space="preserve">BIFENTRINA 400 EC 1X20L (VALIDAR FISCAL)</t>
  </si>
  <si>
    <t xml:space="preserve">Molécula da Nota Subpos. 2 c/ embalagem unitária de 10 L exige NCM 3808.69.90 (cadastrado em 3808.62.90)</t>
  </si>
  <si>
    <t xml:space="preserve">Unidade cadastrada (KG) diverge da embalagem física (4X5L -&gt; L)</t>
  </si>
  <si>
    <t xml:space="preserve">FORCEPS 1X10KG (IMP)</t>
  </si>
  <si>
    <t xml:space="preserve">1X10KG</t>
  </si>
  <si>
    <t xml:space="preserve">0,200L</t>
  </si>
  <si>
    <t xml:space="preserve">Faixa 1 TIPI: Até 300g/mL (3808.61.00 / 3105.10.00)</t>
  </si>
  <si>
    <t xml:space="preserve">Unidade cadastrada (KG) diverge da embalagem física (0,200L -&gt; L)</t>
  </si>
  <si>
    <t xml:space="preserve">Molécula da Nota Subpos. 2 c/ embalagem unitária de 0.2 L exige NCM 3808.61.00 (cadastrado em 3808.62.90)</t>
  </si>
  <si>
    <t xml:space="preserve">0,2L</t>
  </si>
  <si>
    <t xml:space="preserve">Molécula da Nota Subpos. 2 c/ embalagem unitária de 0.2 L exige NCM 3808.61.00 (cadastrado em 3808.69.90)</t>
  </si>
  <si>
    <t xml:space="preserve">SPERTO - UPL 138 FP BR 4X5KG</t>
  </si>
  <si>
    <t xml:space="preserve">BULLDOCK 125SC 1X1L</t>
  </si>
  <si>
    <t xml:space="preserve">1X1L</t>
  </si>
  <si>
    <t xml:space="preserve">BETA-CIFLUTRINA 125</t>
  </si>
  <si>
    <t xml:space="preserve">Molécula da Nota Subpos. 2 c/ embalagem unitária de 1 L exige NCM 3808.62.90 (cadastrado em 3808.93.29)</t>
  </si>
  <si>
    <t xml:space="preserve">FEROCE 4X5KG</t>
  </si>
  <si>
    <t xml:space="preserve">ACEFATO 850</t>
  </si>
  <si>
    <t xml:space="preserve">Acefato 4X5KG cadastrado na NCM 3808.69.90 (&gt;7,5kg da Nota 2) em vez do subitem específico 3808.91.91</t>
  </si>
  <si>
    <t xml:space="preserve">1X1,5KG</t>
  </si>
  <si>
    <t xml:space="preserve">Unidade cadastrada (L) diverge da embalagem física (1X1,5KG -&gt; KG)</t>
  </si>
  <si>
    <t xml:space="preserve">SEIZER 100 EC 4X5L</t>
  </si>
  <si>
    <t xml:space="preserve">TORA 1X20L</t>
  </si>
  <si>
    <t xml:space="preserve">MELATIONA 1000</t>
  </si>
  <si>
    <t xml:space="preserve">PLATINUM NEO 4X5L</t>
  </si>
  <si>
    <t xml:space="preserve">TIAMETOXAM 141 + LAMBDA-CIALOTRINA 106</t>
  </si>
  <si>
    <t xml:space="preserve">TALISMAN 1X20L</t>
  </si>
  <si>
    <t xml:space="preserve">BIFENTRINA 50 + CARBOSULFANO 150</t>
  </si>
  <si>
    <t xml:space="preserve">Cadastrado em subposição domissanitária 3808.91.19; embalagem agrícola 4X5L c/ Bifentrina exige 3808.62.90</t>
  </si>
  <si>
    <t xml:space="preserve">BUSHI 0,2L (AMOSTRA) IMP</t>
  </si>
  <si>
    <t xml:space="preserve">BALLA IMP (VALIDAR)</t>
  </si>
  <si>
    <t xml:space="preserve">EMBALAGEM PADRÃO</t>
  </si>
  <si>
    <t xml:space="preserve">CLORFENAPIR 240</t>
  </si>
  <si>
    <t xml:space="preserve">0,100KG</t>
  </si>
  <si>
    <t xml:space="preserve">Molécula da Nota Subpos. 2 c/ embalagem unitária de 0.1 KG exige NCM 3808.61.00 (cadastrado em 3808.69.90)</t>
  </si>
  <si>
    <t xml:space="preserve">DICIONÁRIO DE PRINCÍPIOS ATIVOS E COMPOSIÇÕES (184 MOLÉCULAS) — PARAMETRIZAÇÃO DE NCM POR FAIXA DE EMBALAGEM TIPI</t>
  </si>
  <si>
    <t xml:space="preserve">Tabela de Referência Automática para Novos Cadastros: Mapeia cada um dos 184 Princípios Ativos para sua Classe Agronômica, NCM por Faixa de Peso/Volume da Embalagem Unitária (Faixas 1 a 4 da TIPI), Regra de Registro MAPA e Tributação PIS/COFINS.</t>
  </si>
  <si>
    <t xml:space="preserve">Princípio Ativo / Composição (Chave)</t>
  </si>
  <si>
    <t xml:space="preserve">Macro-Grupo e Sub-Grupo Oficial</t>
  </si>
  <si>
    <t xml:space="preserve">Nota Subpos. 2 (3808.6x)?</t>
  </si>
  <si>
    <t xml:space="preserve">NCM Padrão Base</t>
  </si>
  <si>
    <t xml:space="preserve">NCM Faixa 1 (&lt;= 300g/mL)</t>
  </si>
  <si>
    <t xml:space="preserve">NCM Faixa 2 (300g a 7,5kg/L)</t>
  </si>
  <si>
    <t xml:space="preserve">NCM Faixa 3 (7,5kg a 10kg/L)</t>
  </si>
  <si>
    <t xml:space="preserve">NCM Faixa 4 (&gt; 10kg/L)</t>
  </si>
  <si>
    <t xml:space="preserve">NCM Granel / P.A. Técnico</t>
  </si>
  <si>
    <t xml:space="preserve">Regra TIPI de Embalagem Aplicável</t>
  </si>
  <si>
    <t xml:space="preserve">Regra / Tipo de Registro MAPA</t>
  </si>
  <si>
    <t xml:space="preserve">Enquadramento Tributário PIS/COFINS</t>
  </si>
  <si>
    <t xml:space="preserve">CST PIS/COFINS Recomendado</t>
  </si>
  <si>
    <t xml:space="preserve">Qtd. Produtos na Base</t>
  </si>
  <si>
    <t xml:space="preserve">10% BORO TOTAL 6% B SOL. ACIDO CITRICO A 2%</t>
  </si>
  <si>
    <t xml:space="preserve">Corretivos e Condicionadores de Solo — Fonte Mineral de Boro (Ulexita Natural)</t>
  </si>
  <si>
    <t xml:space="preserve">NÃO</t>
  </si>
  <si>
    <t xml:space="preserve">2528.00.00</t>
  </si>
  <si>
    <t xml:space="preserve">Cap. 25 TIPI: Mineral natural (benefício PIS/COFINS condicionado a registro de corretivo MAPA ou venda a indústria Cap. 31)</t>
  </si>
  <si>
    <t xml:space="preserve">Registro SIPEAGRO Obrigatório (UF-XXXXX-XXXXX.X)</t>
  </si>
  <si>
    <t xml:space="preserve">Benefício Condicional à Destinação Agrícola: 0% até Mar/26 | 0,925% Real pós-Abr/26 (Dec. 5.630/05)</t>
  </si>
  <si>
    <t xml:space="preserve">Saída: CST 06 (c/ Ajuste M220/M620 pós-Abr/26) | Entrada Revenda: CST 73</t>
  </si>
  <si>
    <t xml:space="preserve">Defensivos — Herbicida</t>
  </si>
  <si>
    <t xml:space="preserve">Posição 38.08 TIPI: Embalagem comercial agrícola usa subitens .2x ou .9x (vedado .1x de venda direta domissanitária)</t>
  </si>
  <si>
    <t xml:space="preserve">Registro Numérico AGROFIT Obrigatório</t>
  </si>
  <si>
    <t xml:space="preserve">Beneficiado (Lei 10.925/04): 0% até Mar/26 | 0,925% Real / 0,365% Pres. pós-Abr/26 (LC 224/25)</t>
  </si>
  <si>
    <t xml:space="preserve">46% P2O5</t>
  </si>
  <si>
    <t xml:space="preserve">Fertilizantes — Fertilizante Mineral Simples (Fosfatado)</t>
  </si>
  <si>
    <t xml:space="preserve">3103.11.00</t>
  </si>
  <si>
    <t xml:space="preserve">Cap. 31 TIPI: Embalagens &gt; 10 kg na posição específica (3101 a 3105.90); se &lt;= 10 kg bruto em retalho, admite 3105.10.00</t>
  </si>
  <si>
    <t xml:space="preserve">ABAMECTINA 600</t>
  </si>
  <si>
    <t xml:space="preserve">Defensivos — Inseticida e Acaricida (Princípio Ativo / Técnico)</t>
  </si>
  <si>
    <t xml:space="preserve">Nota 2 Seção VI TIPI: Produto Técnico isolado a granel (Cap. 28/29) vs. Preparação intermediária/formulada (Cap. 38)</t>
  </si>
  <si>
    <t xml:space="preserve">Vincular Registro da Marca Comercial (P.A.)</t>
  </si>
  <si>
    <t xml:space="preserve">ABAMECTINA 72</t>
  </si>
  <si>
    <t xml:space="preserve">Defensivos — Inseticida e Acaricida</t>
  </si>
  <si>
    <t xml:space="preserve">Defensivos — Inseticida</t>
  </si>
  <si>
    <t xml:space="preserve">ACEFATO 920</t>
  </si>
  <si>
    <t xml:space="preserve">ACEFATO 970</t>
  </si>
  <si>
    <t xml:space="preserve">ACETAMIPRID 200</t>
  </si>
  <si>
    <t xml:space="preserve">SIM</t>
  </si>
  <si>
    <t xml:space="preserve">Nota Subpos. 2 Cap. 38 (SC COSIT 98.042/22): &lt;=300g/mL (3808.61.00) | &gt;300g a 7,5kg/L (3808.62.90) | &gt;7,5kg/L (3808.69.90)</t>
  </si>
  <si>
    <t xml:space="preserve">ACETAMIPRIDO 186 + PIRIPROXIFEM 124</t>
  </si>
  <si>
    <t xml:space="preserve">Defensivos — Inseticida (Princípio Ativo / Técnico)</t>
  </si>
  <si>
    <t xml:space="preserve">ACETAMIPRIDO 400 + FIPRONIL 100</t>
  </si>
  <si>
    <t xml:space="preserve">ACETAMIPRIDO 725</t>
  </si>
  <si>
    <t xml:space="preserve">Adjuvantes — Adjuvante Espalhante / Surfactante / Redutor de pH e Deriva</t>
  </si>
  <si>
    <t xml:space="preserve">3402.90.29</t>
  </si>
  <si>
    <t xml:space="preserve">Regra Geral TIPI: NCM definida pela função química/agronômica; unidade cadastrada deve coincidir c/ embalagem física</t>
  </si>
  <si>
    <t xml:space="preserve">Dispensado de Registro (Ato SDA/MAPA nº 104/2017)</t>
  </si>
  <si>
    <t xml:space="preserve">Tributado Integralmente: 9,25% Lucro Real (c/ crédito CST 50 na revenda) | 3,65% Presumido (SC COSIT 4/24 e 261/23)</t>
  </si>
  <si>
    <t xml:space="preserve">Saída: CST 01 (9,25% Real / 3,65% Pres.) | Entrada Revenda Real: CST 50</t>
  </si>
  <si>
    <t xml:space="preserve">ADJUVANTE (MULTI FUNCAO)</t>
  </si>
  <si>
    <t xml:space="preserve">AMETRINA 500</t>
  </si>
  <si>
    <t xml:space="preserve">3808.93.28</t>
  </si>
  <si>
    <t xml:space="preserve">ATRAZINA 500</t>
  </si>
  <si>
    <t xml:space="preserve">Inoculantes e Biológicos — Inoculante Fixador de Nitrogênio</t>
  </si>
  <si>
    <t xml:space="preserve">Posição 30.02 TIPI: Cultura de microrganismos em embalagem comercial (3002.49.91 / 3002.49.99) — vedado Cap. 35 (Enzimas)</t>
  </si>
  <si>
    <t xml:space="preserve">AZOXISTROBINA 120 + TEBUCONAZOL 360</t>
  </si>
  <si>
    <t xml:space="preserve">Defensivos — Fungicida</t>
  </si>
  <si>
    <t xml:space="preserve">AZOXISTROBINA 125 + TEBUCONAZOLE 240</t>
  </si>
  <si>
    <t xml:space="preserve">AZOXISTROBINA 600 + CIPROCONAZOL 240</t>
  </si>
  <si>
    <t xml:space="preserve">Fertilizantes — Fertilizante Foliar / Micronutrientes</t>
  </si>
  <si>
    <t xml:space="preserve">BACILLUS AMYLOUQUEFACIENS SUBTILLIS ARYBHATTAI MEGATERIUM LICHENIFORMIS</t>
  </si>
  <si>
    <t xml:space="preserve">Defensivos — Bionematicida (Biológico)</t>
  </si>
  <si>
    <t xml:space="preserve">3808.99.95</t>
  </si>
  <si>
    <t xml:space="preserve">Alerta Fiscal NCM: Tributado (9,25%) na NCM atual fora de 38.08 | Beneficiado (0,925%) se corrigido p/ 38.08</t>
  </si>
  <si>
    <t xml:space="preserve">Após correção NCM p/ 38.08: Saída CST 06 | Entrada Revenda CST 73</t>
  </si>
  <si>
    <t xml:space="preserve">BACILLUS SUBTILIS BV02</t>
  </si>
  <si>
    <t xml:space="preserve">Defensivos — Biofungicida (Biológico)</t>
  </si>
  <si>
    <t xml:space="preserve">Inoculantes e Biológicos — Inoculante Solubilizador de Fósforo / Promotor de Crescimento</t>
  </si>
  <si>
    <t xml:space="preserve">BEAUVERIAN BASSIANA + METARHIZIUM ANISOPLAE</t>
  </si>
  <si>
    <t xml:space="preserve">Defensivos — Bioinseticida (Biológico)</t>
  </si>
  <si>
    <t xml:space="preserve">BIFENTRINA 360 + CLORANTRANILIPROLE 200</t>
  </si>
  <si>
    <t xml:space="preserve">BIOLOGICOS</t>
  </si>
  <si>
    <t xml:space="preserve">BIXAFEM +PROTIOCONAZOL +TRIFLOXISTROBINA</t>
  </si>
  <si>
    <t xml:space="preserve">BORAX</t>
  </si>
  <si>
    <t xml:space="preserve">Fertilizantes — Fertilizante Químico Inorgânico (Matéria-Prima Cap. 28/38)</t>
  </si>
  <si>
    <t xml:space="preserve">2840.19.00</t>
  </si>
  <si>
    <t xml:space="preserve">BORO 10%  - MEA</t>
  </si>
  <si>
    <t xml:space="preserve">BORO 10% - ULEXITA</t>
  </si>
  <si>
    <t xml:space="preserve">BOSCALIDA 500</t>
  </si>
  <si>
    <t xml:space="preserve">Defensivos — Fungicida (Princípio Ativo / Técnico)</t>
  </si>
  <si>
    <t xml:space="preserve">BRADYRHIZOBIUM JAPONICUM</t>
  </si>
  <si>
    <t xml:space="preserve">BUPROFEZINA 250</t>
  </si>
  <si>
    <t xml:space="preserve">Bacillus amyloliquefaciens Cepa PTA-4838 - 270</t>
  </si>
  <si>
    <t xml:space="preserve">Bacillus firmus Cepa I-1582 - 240</t>
  </si>
  <si>
    <t xml:space="preserve">CALCIO + BORO</t>
  </si>
  <si>
    <t xml:space="preserve">CIPERMETRINA 250</t>
  </si>
  <si>
    <t xml:space="preserve">3808.91.92</t>
  </si>
  <si>
    <t xml:space="preserve">CLETODIM + HALOXIFOPE-P-METILICO</t>
  </si>
  <si>
    <t xml:space="preserve">CLETODIM 240</t>
  </si>
  <si>
    <t xml:space="preserve">CLETODIM 360</t>
  </si>
  <si>
    <t xml:space="preserve">Defensivos — Herbicida (Princípio Ativo / Técnico)</t>
  </si>
  <si>
    <t xml:space="preserve">CLORANSULAM-METILICO 840</t>
  </si>
  <si>
    <t xml:space="preserve">CLORANTRANILIPROLE 200</t>
  </si>
  <si>
    <t xml:space="preserve">CLORANTRANILIPROLE 625</t>
  </si>
  <si>
    <t xml:space="preserve">CLORETO DE MEPIQUATE 250</t>
  </si>
  <si>
    <t xml:space="preserve">Defensivos — Regulador de Crescimento (Princípio Ativo / Técnico)</t>
  </si>
  <si>
    <t xml:space="preserve">3808.93.59</t>
  </si>
  <si>
    <t xml:space="preserve">CLORETO DE POTASSIO</t>
  </si>
  <si>
    <t xml:space="preserve">Fertilizantes — Fertilizante Mineral Simples (Potássico / Magnesiano)</t>
  </si>
  <si>
    <t xml:space="preserve">3104.20.10</t>
  </si>
  <si>
    <t xml:space="preserve">CLORIMUROM 250</t>
  </si>
  <si>
    <t xml:space="preserve">CLORIMUROM 360</t>
  </si>
  <si>
    <t xml:space="preserve">CLOROTALONIL + COBRE METALICO + OXICLORETO DE COBRE</t>
  </si>
  <si>
    <t xml:space="preserve">CLOROTALONIL 580 + CIPRO 12,8 + TRIFLOXISTROBINA 30</t>
  </si>
  <si>
    <t xml:space="preserve">CLOROTALONIL 580 + DIFENOCONAZOL 30 + TRIFLOXISTROBINA 24</t>
  </si>
  <si>
    <t xml:space="preserve">CLOROTALONIL 650</t>
  </si>
  <si>
    <t xml:space="preserve">CLORPIRIFOS 480</t>
  </si>
  <si>
    <t xml:space="preserve">CLOTIANIDINA 600</t>
  </si>
  <si>
    <t xml:space="preserve">CO 1% + MO 10%</t>
  </si>
  <si>
    <t xml:space="preserve">CO 1,5% + MO 6% + NI 0,5% + ZN 2,5% + AA 25% + HORMONIOS</t>
  </si>
  <si>
    <t xml:space="preserve">COBRE (SULFATO + OXIDO)</t>
  </si>
  <si>
    <t xml:space="preserve">COMPLEXO DE MACRO E MICRO</t>
  </si>
  <si>
    <t xml:space="preserve">CYPROCONAZOLE 80 + PICOXYSTROBIN 200</t>
  </si>
  <si>
    <t xml:space="preserve">Cerevisane 100</t>
  </si>
  <si>
    <t xml:space="preserve">Ciclaniliprole 50</t>
  </si>
  <si>
    <t xml:space="preserve">Clomazona 250</t>
  </si>
  <si>
    <t xml:space="preserve">Clorotalonil 750</t>
  </si>
  <si>
    <t xml:space="preserve">DESALOJANTE QUIMICO</t>
  </si>
  <si>
    <t xml:space="preserve">Outros (Químicos / Laboratorial) — Desalojante Químico Auxiliar</t>
  </si>
  <si>
    <t xml:space="preserve">3808.99.99</t>
  </si>
  <si>
    <t xml:space="preserve">DIAFENTIURON 500</t>
  </si>
  <si>
    <t xml:space="preserve">DICLOSULAM 840</t>
  </si>
  <si>
    <t xml:space="preserve">DIFENOCONAZOL 250</t>
  </si>
  <si>
    <t xml:space="preserve">DIQUATE</t>
  </si>
  <si>
    <t xml:space="preserve">Defensivos — Herbicida Dessecante</t>
  </si>
  <si>
    <t xml:space="preserve">DIUROM 468 + HEXAZINONA 132</t>
  </si>
  <si>
    <t xml:space="preserve">DIUROM 500</t>
  </si>
  <si>
    <t xml:space="preserve">Dinotefuram 100 + Piriproxifem 25</t>
  </si>
  <si>
    <t xml:space="preserve">ENXOFRE ELEMENTAR</t>
  </si>
  <si>
    <t xml:space="preserve">Corretivos e Condicionadores de Solo — Condicionador / Fonte Mineral de Enxofre (Enxofre + Bentonita)</t>
  </si>
  <si>
    <t xml:space="preserve">2503.00.90</t>
  </si>
  <si>
    <t xml:space="preserve">ENXOFRE PASTILHADO 90% + BENTONITA 10%</t>
  </si>
  <si>
    <t xml:space="preserve">ESPINETORAM</t>
  </si>
  <si>
    <t xml:space="preserve">ESTER METILICO DE SOJA</t>
  </si>
  <si>
    <t xml:space="preserve">Adjuvantes — Óleo Vegetal / Éster Metílico / D-Limoneno Adjuvante</t>
  </si>
  <si>
    <t xml:space="preserve">ETEFOM</t>
  </si>
  <si>
    <t xml:space="preserve">Defensivos — Regulador de Crescimento</t>
  </si>
  <si>
    <t xml:space="preserve">ETIPROLE 200 SC</t>
  </si>
  <si>
    <t xml:space="preserve">ETOXAZOL 110</t>
  </si>
  <si>
    <t xml:space="preserve">Defensivos — Acaricida</t>
  </si>
  <si>
    <t xml:space="preserve">3808.99.93</t>
  </si>
  <si>
    <t xml:space="preserve">FENITROTIONA 800 + ESFENVALERATO 40</t>
  </si>
  <si>
    <t xml:space="preserve">FENPROPIMORFE 750</t>
  </si>
  <si>
    <t xml:space="preserve">FERTILIZANTES</t>
  </si>
  <si>
    <t xml:space="preserve">Fertilizantes — Fertilizante Organomineral / Bioestimulante</t>
  </si>
  <si>
    <t xml:space="preserve">FIPRONIL 250</t>
  </si>
  <si>
    <t xml:space="preserve">Defensivos — Inseticida e Cupinicida (Fipronil)</t>
  </si>
  <si>
    <t xml:space="preserve">FIPRONIL 800</t>
  </si>
  <si>
    <t xml:space="preserve">FLUAZINAM</t>
  </si>
  <si>
    <t xml:space="preserve">2933.39.19</t>
  </si>
  <si>
    <t xml:space="preserve">FLUAZINAM 500</t>
  </si>
  <si>
    <t xml:space="preserve">FLUBENDIAMIDA 222</t>
  </si>
  <si>
    <t xml:space="preserve">FLUBENDIAMIDA 480</t>
  </si>
  <si>
    <t xml:space="preserve">FLUDIOXONIL 25 + METALAXIL-M 37,5</t>
  </si>
  <si>
    <t xml:space="preserve">FLUMETSULAM 120</t>
  </si>
  <si>
    <t xml:space="preserve">FLUMIOXAZINA 100 + IMAZETAPIR 200</t>
  </si>
  <si>
    <t xml:space="preserve">3808.93.27</t>
  </si>
  <si>
    <t xml:space="preserve">FLUMIOXAZINA 100 + IMAZETAPIR 212</t>
  </si>
  <si>
    <t xml:space="preserve">FLUMIOXAZINA 250 + IMAZETAPIR 530</t>
  </si>
  <si>
    <t xml:space="preserve">FLUMIOXAZINA 480</t>
  </si>
  <si>
    <t xml:space="preserve">FLUMIOXAZINA 500</t>
  </si>
  <si>
    <t xml:space="preserve">FLUMIOXAZINA 800</t>
  </si>
  <si>
    <t xml:space="preserve">FLUROXIPIR 200</t>
  </si>
  <si>
    <t xml:space="preserve">FLUTRIAFOL 250</t>
  </si>
  <si>
    <t xml:space="preserve">FLUXAPIROXADE 167+ PIRACLOSTROBINA 333</t>
  </si>
  <si>
    <t xml:space="preserve">FLUXAPIROXADE 88,9 + MEFENTRIFLUCONAZOLE 133 + PIRACLOSTROBINA 177,87</t>
  </si>
  <si>
    <t xml:space="preserve">FORMIATO DE CALCIO</t>
  </si>
  <si>
    <t xml:space="preserve">Outros (Químicos / Laboratorial) — Sal Orgânico / Formiato Químico (Cap. 29)</t>
  </si>
  <si>
    <t xml:space="preserve">2915.12.90</t>
  </si>
  <si>
    <t xml:space="preserve">FORMIATO DE POTASSIO 75%</t>
  </si>
  <si>
    <t xml:space="preserve">FOSFATO MONOAMONICO CRISTAL MAP</t>
  </si>
  <si>
    <t xml:space="preserve">Fertilizantes — Fertilizante Complexo (MAP — Fosfato Monoamônico)</t>
  </si>
  <si>
    <t xml:space="preserve">FOSFATO MONOPOTASSICO (KH2PO4)</t>
  </si>
  <si>
    <t xml:space="preserve">3103.90.90</t>
  </si>
  <si>
    <t xml:space="preserve">FOSFITO DE POTASSIO</t>
  </si>
  <si>
    <t xml:space="preserve">Nota 5 Cap. 31 TIPI: Subposição 3105.10.00 exclusiva p/ tabletes ou embalagens de peso bruto &lt;= 10 kg</t>
  </si>
  <si>
    <t xml:space="preserve">GLIFOSATO 360</t>
  </si>
  <si>
    <t xml:space="preserve">GLIFOSATO 480</t>
  </si>
  <si>
    <t xml:space="preserve">GLIFOSATO 506</t>
  </si>
  <si>
    <t xml:space="preserve">GLIFOSATO 540</t>
  </si>
  <si>
    <t xml:space="preserve">GLIFOSATO 588</t>
  </si>
  <si>
    <t xml:space="preserve">GLIFOSATO 620</t>
  </si>
  <si>
    <t xml:space="preserve">GLIFOSATO 720</t>
  </si>
  <si>
    <t xml:space="preserve">GLUFOSINATO 200</t>
  </si>
  <si>
    <t xml:space="preserve">GLUFOSINATO 490 + FLUMIOXAZINA 49</t>
  </si>
  <si>
    <t xml:space="preserve">GLUFOSINATO 850</t>
  </si>
  <si>
    <t xml:space="preserve">GLUFOSINATO 880</t>
  </si>
  <si>
    <t xml:space="preserve">HALOXIFOPE-P-METILICO 125</t>
  </si>
  <si>
    <t xml:space="preserve">HALOXIFOPE-P-METILICO 540</t>
  </si>
  <si>
    <t xml:space="preserve">IMAZETAPIR 212</t>
  </si>
  <si>
    <t xml:space="preserve">IMAZETAPIR 700</t>
  </si>
  <si>
    <t xml:space="preserve">IMIDACLOPRIDO 480</t>
  </si>
  <si>
    <t xml:space="preserve">IMIDACLOPRIDO 700</t>
  </si>
  <si>
    <t xml:space="preserve">IMPIRFLUXAM 120; PROTICONAZOL 240</t>
  </si>
  <si>
    <t xml:space="preserve">IMPIRFLUXAM 60 + TEBUCONAZOL 200</t>
  </si>
  <si>
    <t xml:space="preserve">INOCULANTE</t>
  </si>
  <si>
    <t xml:space="preserve">Defensivos — Atrativo Alimentar / Semioquímico</t>
  </si>
  <si>
    <t xml:space="preserve">ISARIA FUMOSOROSEA</t>
  </si>
  <si>
    <t xml:space="preserve">K 25% + S 17%</t>
  </si>
  <si>
    <t xml:space="preserve">K20 1,00%;MG9,00%;S 11,80</t>
  </si>
  <si>
    <t xml:space="preserve">K2O 44,0%;N 12,0%</t>
  </si>
  <si>
    <t xml:space="preserve">L-AMINOACIDOS LIVRES</t>
  </si>
  <si>
    <t xml:space="preserve">LUFENUROM 100</t>
  </si>
  <si>
    <t xml:space="preserve">LUFENUROM 50</t>
  </si>
  <si>
    <t xml:space="preserve">MACRO + MICRO + COT 18%</t>
  </si>
  <si>
    <t xml:space="preserve">3105.90.11</t>
  </si>
  <si>
    <t xml:space="preserve">MANCOZEB 445</t>
  </si>
  <si>
    <t xml:space="preserve">3808.92.93</t>
  </si>
  <si>
    <t xml:space="preserve">MANCOZEB 750</t>
  </si>
  <si>
    <t xml:space="preserve">MANCOZEB 800</t>
  </si>
  <si>
    <t xml:space="preserve">MANCOZEBE 413 + PICOXISTROBINA 33 + PROTIOCONAZOL 29</t>
  </si>
  <si>
    <t xml:space="preserve">MESOTRIONA 480</t>
  </si>
  <si>
    <t xml:space="preserve">METAFLUMIZONE 240</t>
  </si>
  <si>
    <t xml:space="preserve">METOMIL 215</t>
  </si>
  <si>
    <t xml:space="preserve">METOMINOSTROBINA 110 + TEBUCONAZOL 165</t>
  </si>
  <si>
    <t xml:space="preserve">METSULFUROM - METILICO</t>
  </si>
  <si>
    <t xml:space="preserve">MG 16%</t>
  </si>
  <si>
    <t xml:space="preserve">MG 5% + N 6% + B 0,05% + MN 0,08% + FE 0,05% + Cu 0,02% + MO 0,01% + COT 6%</t>
  </si>
  <si>
    <t xml:space="preserve">MG 8,5% + MACRO E MICRO</t>
  </si>
  <si>
    <t xml:space="preserve">Fertilizantes — Fertilizante Mineral Simples (Nitrogenado)</t>
  </si>
  <si>
    <t xml:space="preserve">3102.90.00</t>
  </si>
  <si>
    <t xml:space="preserve">MN 10% - S 5,5%</t>
  </si>
  <si>
    <t xml:space="preserve">MN 5% + N 1% + ENXOFRE 4% + BORO 0,3% + COBRE 0,3% + ZN 3%</t>
  </si>
  <si>
    <t xml:space="preserve">MN 7% + COT 10% + EDTA</t>
  </si>
  <si>
    <t xml:space="preserve">MN 7%; S 4%</t>
  </si>
  <si>
    <t xml:space="preserve">MO 10% + COT 6%</t>
  </si>
  <si>
    <t xml:space="preserve">MSMA 720</t>
  </si>
  <si>
    <t xml:space="preserve">MSMA 790</t>
  </si>
  <si>
    <t xml:space="preserve">Macros e Micros K2O 10%; S 8,7%; Mn 14%; Zn 4,0%; Mg 2,0%; B1,5%; Cu 0,5%</t>
  </si>
  <si>
    <t xml:space="preserve">Macros e Micros N 12,0%; K2O 3,0%; S 8,5%; Zn 9,0%; Mn 6,5%; B 2,0%; Mg 1,0%; Mo</t>
  </si>
  <si>
    <t xml:space="preserve">Macros e Micros N 8,0%; P2O5 13%; K2O 9,0%; S 8,0%; B 4,0%; Mn 3,0%; Zn 2,0%; Mg</t>
  </si>
  <si>
    <t xml:space="preserve">Mo:15,0%; Co:1,5%</t>
  </si>
  <si>
    <t xml:space="preserve">N 1% , MN 27%</t>
  </si>
  <si>
    <t xml:space="preserve">N 30%</t>
  </si>
  <si>
    <t xml:space="preserve">3102.80.00</t>
  </si>
  <si>
    <t xml:space="preserve">N15% + P5% + K205% + CA1% + MG1% + B0,04% + COT + 4%EXT. ALGA</t>
  </si>
  <si>
    <t xml:space="preserve">N: 4% (Nitrogênio) P: 24% (Fósforo) K: 24% (Potássio)  S: 9% (Enxofre) -Tec MOSA</t>
  </si>
  <si>
    <t xml:space="preserve">Fertilizantes — Fertilizante Mineral Misto (NPK / NP)</t>
  </si>
  <si>
    <t xml:space="preserve">3105.20.00</t>
  </si>
  <si>
    <t xml:space="preserve">NICOSSULFUROM 40</t>
  </si>
  <si>
    <t xml:space="preserve">NITRATO DE MAGNESIO</t>
  </si>
  <si>
    <t xml:space="preserve">2834.29.90</t>
  </si>
  <si>
    <t xml:space="preserve">NITROGENIO + CARBONO ORGANICO</t>
  </si>
  <si>
    <t xml:space="preserve">NITROGENIO + ENXOFRE</t>
  </si>
  <si>
    <t xml:space="preserve">3102.21.00</t>
  </si>
  <si>
    <t xml:space="preserve">OLEO D-LIMONENO</t>
  </si>
  <si>
    <t xml:space="preserve">Adjuvantes — Óleo Mineral Adjuvante</t>
  </si>
  <si>
    <t xml:space="preserve">OLEO MINERAL YPF</t>
  </si>
  <si>
    <t xml:space="preserve">OLEO VEGETAL  (METILADO DE SOJA)</t>
  </si>
  <si>
    <t xml:space="preserve">OLEO VEGETAL + SILWET</t>
  </si>
  <si>
    <t xml:space="preserve">OLEO VEGETAL ADJUVANTE</t>
  </si>
  <si>
    <t xml:space="preserve">OXIFLUORFEM 240</t>
  </si>
  <si>
    <t xml:space="preserve">OXISULFATOS</t>
  </si>
  <si>
    <t xml:space="preserve">3824.99.79</t>
  </si>
  <si>
    <t xml:space="preserve">P2O5 sol. CNA + H2O</t>
  </si>
  <si>
    <t xml:space="preserve">3105.59.00</t>
  </si>
  <si>
    <t xml:space="preserve">PICLORAM</t>
  </si>
  <si>
    <t xml:space="preserve">PICLORAM + 2,4-D</t>
  </si>
  <si>
    <t xml:space="preserve">PICOXISTROBINA + TEBUCONAZOL + MANCOZEBE</t>
  </si>
  <si>
    <t xml:space="preserve">PICOXISTROBINA 90 + CIPROCONAZOL 40</t>
  </si>
  <si>
    <t xml:space="preserve">PIRACLOSTROBINA 25 + TIOFANATO 225 + FIPRONIL 250</t>
  </si>
  <si>
    <t xml:space="preserve">Defensivos — Inseticida + Fungicida (Tratamento de Sementes)</t>
  </si>
  <si>
    <t xml:space="preserve">PIRACLOSTROBINA 81+FLUXAPIROXADE50+EPOXICONAZOL50</t>
  </si>
  <si>
    <t xml:space="preserve">PIRIPROXIFEM 100 + LUFENUROM 30</t>
  </si>
  <si>
    <t xml:space="preserve">PIRIPROXIFEM 200</t>
  </si>
  <si>
    <t xml:space="preserve">POTASSIO</t>
  </si>
  <si>
    <t xml:space="preserve">PROCIMIDONA 500</t>
  </si>
  <si>
    <t xml:space="preserve">PROTIOCONAZOLE 480</t>
  </si>
  <si>
    <t xml:space="preserve">PSEUDOMONAS</t>
  </si>
  <si>
    <t xml:space="preserve">Piroxasulfona 300 + Flumioxazina 200</t>
  </si>
  <si>
    <t xml:space="preserve">RHIZOBIUM TROPICI</t>
  </si>
  <si>
    <t xml:space="preserve">S 25% + N 12%</t>
  </si>
  <si>
    <t xml:space="preserve">S Teor total 12%. P2O5 sol. CNA + H2O 19%. Ca Total 18%</t>
  </si>
  <si>
    <t xml:space="preserve">3103.19.00</t>
  </si>
  <si>
    <t xml:space="preserve">S-METOLACHLOR 290 G/L  +ATRAZINE 200 G/L +MESOTRIONE 40 G/L SE</t>
  </si>
  <si>
    <t xml:space="preserve">S-METOLACLORO 290 + ATRAZINA 200 + MESOTRIONA 40</t>
  </si>
  <si>
    <t xml:space="preserve">S-METOLACLORO 960</t>
  </si>
  <si>
    <t xml:space="preserve">SULFENTRAZONA 300 + IMAZETAPIR 80</t>
  </si>
  <si>
    <t xml:space="preserve">SULFENTRAZONA 500</t>
  </si>
  <si>
    <t xml:space="preserve">SUPERFOSFATO TRIPLO (TSP) - FOSFORO E CALCIO (CA)</t>
  </si>
  <si>
    <t xml:space="preserve">TEBUCONAZOL 200</t>
  </si>
  <si>
    <t xml:space="preserve">TEBUCONAZOL 430</t>
  </si>
  <si>
    <t xml:space="preserve">TEBUCONAZOL 50 + CLOROTALONIL 450</t>
  </si>
  <si>
    <t xml:space="preserve">TEFLUBENZUROM</t>
  </si>
  <si>
    <t xml:space="preserve">TEMBOTRIONA 420</t>
  </si>
  <si>
    <t xml:space="preserve">TERBUTILAZINA 500</t>
  </si>
  <si>
    <t xml:space="preserve">TIAMETOXAM 500</t>
  </si>
  <si>
    <t xml:space="preserve">TIODICARBE 450 + IMIDACLOPRIDO 150</t>
  </si>
  <si>
    <t xml:space="preserve">TIOFANATO METILICO 500</t>
  </si>
  <si>
    <t xml:space="preserve">TIOFANATO-METILICO + FLUAZINAM</t>
  </si>
  <si>
    <t xml:space="preserve">TRICLOPIR-BUTILICO</t>
  </si>
  <si>
    <t xml:space="preserve">TRIFLOXISTROBINA 150 + PROTIOCONAZOL 175</t>
  </si>
  <si>
    <t xml:space="preserve">TRIFLOXISTROBINA 500</t>
  </si>
  <si>
    <t xml:space="preserve">TRIFLUMUROM 480</t>
  </si>
  <si>
    <t xml:space="preserve">Tiametoxam 350</t>
  </si>
  <si>
    <t xml:space="preserve">Tolpiralate 400</t>
  </si>
  <si>
    <t xml:space="preserve">ZN 43%</t>
  </si>
  <si>
    <t xml:space="preserve">ZnSO4.7H20</t>
  </si>
  <si>
    <t xml:space="preserve">2833.29.70</t>
  </si>
  <si>
    <t xml:space="preserve">Ácido giberélico + Benziladenina</t>
  </si>
  <si>
    <t xml:space="preserve">Total de Princípios Ativos e Itens Mapeados</t>
  </si>
  <si>
    <t xml:space="preserve">BASE MESTRE AUDITADA (845 PRODUTOS) — DADOS ORIGINAIS vs. DADOS OFICIAIS CORRIGIDOS (P.A., EMBALAGEM, NCM EXATA, MAPA E PIS/COFINS)</t>
  </si>
  <si>
    <t xml:space="preserve">Base de Dados Oficial de Consulta do Validador Automático: Contém todos os 845 produtos com extração de embalagem, peso/volume unitário, Princípio Ativo corrigido por bula, NCM exata de 8 dígitos por faixa de embalagem e Código MAPA saneado.</t>
  </si>
  <si>
    <t xml:space="preserve">Codigo</t>
  </si>
  <si>
    <t xml:space="preserve">Descricao</t>
  </si>
  <si>
    <t xml:space="preserve">Embalagem_Detectada</t>
  </si>
  <si>
    <t xml:space="preserve">Peso_Vol_Unit_Kg_L</t>
  </si>
  <si>
    <t xml:space="preserve">Unid_Embalagem</t>
  </si>
  <si>
    <t xml:space="preserve">Unid_Cadastrada_Original</t>
  </si>
  <si>
    <t xml:space="preserve">PA_Cadastrado_Original</t>
  </si>
  <si>
    <t xml:space="preserve">PA_Oficial_Correto</t>
  </si>
  <si>
    <t xml:space="preserve">Grupo_SubGrupo_Oficial</t>
  </si>
  <si>
    <t xml:space="preserve">Nota_Subpos_2_3808_6x</t>
  </si>
  <si>
    <t xml:space="preserve">NCM_Cadastrada_Original</t>
  </si>
  <si>
    <t xml:space="preserve">NCM_Oficial_Exata</t>
  </si>
  <si>
    <t xml:space="preserve">Regra_TIPI_Embalagem</t>
  </si>
  <si>
    <t xml:space="preserve">MAPA_Cadastrado_Original</t>
  </si>
  <si>
    <t xml:space="preserve">Tipo_Registro_MAPA_Exigido</t>
  </si>
  <si>
    <t xml:space="preserve">MAPA_Oficial_Limpo</t>
  </si>
  <si>
    <t xml:space="preserve">MAPA_Oficial_Detalhado</t>
  </si>
  <si>
    <t xml:space="preserve">Status_Auditoria_MAPA</t>
  </si>
  <si>
    <t xml:space="preserve">Regime_PIS_COFINS_Resumo</t>
  </si>
  <si>
    <t xml:space="preserve">CST_PIS_COFINS_Recomendado</t>
  </si>
  <si>
    <t xml:space="preserve">Diagnostico_Completo_Auditoria</t>
  </si>
  <si>
    <t xml:space="preserve">00315 (315)</t>
  </si>
  <si>
    <t xml:space="preserve">Código MAPA Validado (Conforme Bula AGROFIT)</t>
  </si>
  <si>
    <t xml:space="preserve">[NCM/TIPI]: Classificação NCM compatível com a natureza química/agronômica do produto na TIPI. | [MAPA/Bula]: VALIDADO CONFORME BULA: Registro MAPA nº 00315 (315) confirmado na bula oficial para '2,4-D AGCN / AGCN 2,4-D' (Titular: Agriconnection | Composição: 2,4-D 806 g/L SL).</t>
  </si>
  <si>
    <t xml:space="preserve">AGCN 2,4-D 4X5L (IMP)</t>
  </si>
  <si>
    <t xml:space="preserve">MIRANT 1X20L</t>
  </si>
  <si>
    <t xml:space="preserve">06908 (6908)</t>
  </si>
  <si>
    <t xml:space="preserve">[NCM/TIPI]: Classificação NCM compatível com a natureza química/agronômica do produto na TIPI. | [MAPA/Bula]: VALIDADO CONFORME BULA: Registro MAPA nº 06908 (6908) confirmado na bula oficial para 'Mirant®' (Titular: Iharabras S.A. Indústrias Químicas | Composição: 2,4-D (Sal dimetilamina) 806 g/L SL).</t>
  </si>
  <si>
    <t xml:space="preserve">U 46 PRIME 1X20L</t>
  </si>
  <si>
    <t xml:space="preserve">02704 (2704)</t>
  </si>
  <si>
    <t xml:space="preserve">[NCM/TIPI]: Classificação NCM compatível com a natureza química/agronômica do produto na TIPI. | [MAPA/Bula]: VALIDADO CONFORME BULA: Registro MAPA nº 02704 (2704) confirmado na bula oficial para 'U 46 Prime' (Titular: Sumitomo Chemical | Composição: 2,4-D (Sal dimetilamina) 806 g/L SL).</t>
  </si>
  <si>
    <t xml:space="preserve">ABADIN 72 EC 4X5L</t>
  </si>
  <si>
    <t xml:space="preserve">Nº 19917</t>
  </si>
  <si>
    <t xml:space="preserve">[NCM/TIPI]: Classificação NCM compatível com a natureza química/agronômica do produto na TIPI. | [MAPA/Bula]: VALIDADO CONFORME BULA: Registro MAPA nº Nº 19917 confirmado na bula oficial para 'Abadin 72 EC' (Titular: Sharda do Brasil | Composição: Abamectina 72 g/L EC).</t>
  </si>
  <si>
    <t xml:space="preserve">2X5KG</t>
  </si>
  <si>
    <t xml:space="preserve">01378704 (1378704)</t>
  </si>
  <si>
    <t xml:space="preserve">[NCM/TIPI]: Classificação NCM compatível com a natureza química/agronômica do produto na TIPI. | [MAPA/Bula]: VALIDADO CONFORME BULA: Registro MAPA nº 01378704 (1378704) confirmado na bula oficial para 'Cefanol / Acefato 750 Tide / Socker 750 / Socker SP' (Titular: Sipcam Nichino Brasil S.A. | Composição: Acefato 750 g/kg SP).</t>
  </si>
  <si>
    <t xml:space="preserve">ACEFATO FERSOL 750 4X5KG (IMP)</t>
  </si>
  <si>
    <t xml:space="preserve">0458294 (458294)</t>
  </si>
  <si>
    <t xml:space="preserve">[NCM/TIPI]: Classificação NCM compatível com a natureza química/agronômica do produto na TIPI. | [MAPA/Bula]: VALIDADO CONFORME BULA: Registro MAPA nº 0458294 (458294) confirmado na bula oficial para 'Acefato Fersol 750' (Titular: Fersol Indústria e Comércio | Composição: Acefato 750 g/kg SP).</t>
  </si>
  <si>
    <t xml:space="preserve">TRISHUL 750 SP 2X5KG (IMP)</t>
  </si>
  <si>
    <t xml:space="preserve">Nº 20817</t>
  </si>
  <si>
    <t xml:space="preserve">[NCM/TIPI]: Classificação NCM compatível com a natureza química/agronômica do produto na TIPI. | [MAPA/Bula]: VALIDADO CONFORME BULA: Registro MAPA nº Nº 20817 confirmado na bula oficial para 'Trishul 750 SP' (Titular: Sharda do Brasil | Composição: Acefato 750 g/kg SP).</t>
  </si>
  <si>
    <t xml:space="preserve">CEFANOL 8X3KG</t>
  </si>
  <si>
    <t xml:space="preserve">8X3KG</t>
  </si>
  <si>
    <t xml:space="preserve">Nº 23121</t>
  </si>
  <si>
    <t xml:space="preserve">[NCM/TIPI]: Pela Nota de Subposições 2 do Cap. 38 da TIPI (SC COSIT nº 98.042/2022), preparações contendo 'ACETAMIPRIDO 100 + BIFENTRINA 67' classificam-se em 3808.61 (até 300g), 3808.62 (300g a 7,5kg) ou 3808.69 (&gt;7,5kg). | [MAPA/Bula]: VALIDADO CONFORME BULA: Registro MAPA nº Nº 23121 confirmado na bula oficial para 'Aslan SL' (Titular: CropChem Ltda. | Composição: Acetamiprido 100 g/L + Bifentrina 67 g/L SL).</t>
  </si>
  <si>
    <t xml:space="preserve">DINKY 4X5KG (IMP)</t>
  </si>
  <si>
    <t xml:space="preserve">Nº 26718</t>
  </si>
  <si>
    <t xml:space="preserve">[NCM/TIPI]: Classificação NCM compatível com a natureza química/agronômica do produto na TIPI. | [MAPA/Bula]: VALIDADO CONFORME BULA: Registro MAPA nº Nº 26718 confirmado na bula oficial para 'DINKY' (Titular: Titular credenciado no AGROFIT/MAPA | Composição: ACETAMIPRID 200).</t>
  </si>
  <si>
    <t xml:space="preserve">JAVA 200 SP 4X5KG</t>
  </si>
  <si>
    <t xml:space="preserve">Nº 11018</t>
  </si>
  <si>
    <t xml:space="preserve">[NCM/TIPI]: Classificação NCM compatível com a natureza química/agronômica do produto na TIPI. | [MAPA/Bula]: VALIDADO CONFORME BULA: Registro MAPA nº Nº 11018 confirmado na bula oficial para 'JAVA 200 SP' (Titular: Titular credenciado no AGROFIT/MAPA | Composição: ACETAMIPRID 200).</t>
  </si>
  <si>
    <t xml:space="preserve">RODOLIA 200 SP 4X5KG (IMP) SS</t>
  </si>
  <si>
    <t xml:space="preserve">Nº 28017</t>
  </si>
  <si>
    <t xml:space="preserve">[NCM/TIPI]: Classificação NCM compatível com a natureza química/agronômica do produto na TIPI. | [MAPA/Bula]: VALIDADO CONFORME BULA: Registro MAPA nº Nº 28017 confirmado na bula oficial para 'RODOLIA 200 SP' (Titular: Titular credenciado no AGROFIT/MAPA | Composição: ACETAMIPRID 200).</t>
  </si>
  <si>
    <t xml:space="preserve">AGCN SAFE AIR 4X5L</t>
  </si>
  <si>
    <t xml:space="preserve">ISENTO (ATO 104/2017)</t>
  </si>
  <si>
    <t xml:space="preserve">Isento / Dispensado (Ato MAPA nº 104/2017)</t>
  </si>
  <si>
    <t xml:space="preserve">Sem Código no Cadastro (0) — Dispensado de Registro MAPA (Ato nº 104/2017)</t>
  </si>
  <si>
    <t xml:space="preserve">[NCM/TIPI]: O produto está cadastrado como ADJUVANTE (MAPA=0), mas foi alocado na NCM 3102.80.00 (Fertilizantes do Cap. 31; ex.: 3102.80.00 = solução de ureia + nitrato de amônio). Risco elevado de autuação (SC COSIT nº 4/2024).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</si>
  <si>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[NCM/TIPI]: O produto está cadastrado como ADJUVANTE (MAPA=0), mas foi alocado na NCM 3105.90.90 (Fertilizantes do Cap. 31; ex.: 3102.80.00 = solução de ureia + nitrato de amônio). Risco elevado de autuação (SC COSIT nº 4/2024).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</si>
  <si>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AGCN SAFE SPRAY 4X5L</t>
  </si>
  <si>
    <t xml:space="preserve">AGCN SEED 4X5L</t>
  </si>
  <si>
    <t xml:space="preserve">SIPEAGRO (UF-XXXXX)</t>
  </si>
  <si>
    <t xml:space="preserve">Exige Registro SIPEAGRO/MAPA (Formato UF-XXXXX-XXXXX)</t>
  </si>
  <si>
    <t xml:space="preserve">Sem Código AGROFIT (0) — Exige Registro SIPEAGRO/MAPA (Formato UF-XXXXX)</t>
  </si>
  <si>
    <t xml:space="preserve">[NCM/TIPI]: Classificação NCM compatível com a natureza química/agronômica do produto na TIPI.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</si>
  <si>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AGCN SEED ULTRA 4X5L</t>
  </si>
  <si>
    <t xml:space="preserve">ATRAZINA 500 SC 4X5L (IMP)</t>
  </si>
  <si>
    <t xml:space="preserve">Nº 10018</t>
  </si>
  <si>
    <t xml:space="preserve">[NCM/TIPI]: Classificação NCM compatível com a natureza química/agronômica do produto na TIPI. | [MAPA/Bula]: VALIDADO CONFORME BULA: Registro MAPA nº Nº 10018 confirmado na bula oficial para 'ATRAZINA 500 SC' (Titular: Titular credenciado no AGROFIT/MAPA | Composição: ATRAZINA 500).</t>
  </si>
  <si>
    <t xml:space="preserve">ATRAZINA 900 WG 1X10KG</t>
  </si>
  <si>
    <t xml:space="preserve">Nº 12920</t>
  </si>
  <si>
    <t xml:space="preserve">[NCM/TIPI]: Classificação NCM compatível com a natureza química/agronômica do produto na TIPI. | [MAPA/Bula]: VALIDADO CONFORME BULA: Registro MAPA nº Nº 12920 confirmado na bula oficial para 'Atrazina 900 WG Alamos / Atrazina 900 WG Crotect' (Titular: Crotect Crop Science Ltda. | Composição: Atrazina 900 g/kg WG).</t>
  </si>
  <si>
    <t xml:space="preserve">12920 (Bula Atrazina 900 WG Alamos / Crotect)</t>
  </si>
  <si>
    <t xml:space="preserve">Código MAPA Incorreto / Trocado (Corrigir conforme Bula)</t>
  </si>
  <si>
    <t xml:space="preserve">[NCM/TIPI]: Classificação NCM compatível com a natureza química/agronômica do produto na TIPI. | [MAPA/Bula]: DIVERGÊNCIA DE CÓDIGO MAPA: Enquanto o item Cod 47 (ATRAZINA 900 WG 1X10KG) está com o Registro MAPA nº 12920 (validado na bula oficial da Atrazina 900 WG Alamos / Crotect), o item Cod 48 (4X5KG) recebeu o código 26320 (também copiado no Guardanil Cod 109). Padronizar para 12920 (ou 05217 Herbizina Plus / 09019 Limuzina / 09520 DK Max conforme fabricante).</t>
  </si>
  <si>
    <t xml:space="preserve">HERBZINA PLUS 900 WG 1X10KG (IMP)</t>
  </si>
  <si>
    <t xml:space="preserve">05217 (5217)</t>
  </si>
  <si>
    <t xml:space="preserve">[NCM/TIPI]: Classificação NCM compatível com a natureza química/agronômica do produto na TIPI. | [MAPA/Bula]: VALIDADO CONFORME BULA: Registro MAPA nº 05217 (5217) confirmado na bula oficial para 'Herbizina Plus 900 WG' (Titular: Adama / Ourofino | Composição: Atrazina 900 g/kg WG).</t>
  </si>
  <si>
    <t xml:space="preserve">PANGA 900 WG 10X2KG (IMP)</t>
  </si>
  <si>
    <t xml:space="preserve">10X2KG</t>
  </si>
  <si>
    <t xml:space="preserve">Nº 33217</t>
  </si>
  <si>
    <t xml:space="preserve">[NCM/TIPI]: Classificação NCM compatível com a natureza química/agronômica do produto na TIPI. | [MAPA/Bula]: VALIDADO CONFORME BULA: Registro MAPA nº Nº 33217 confirmado na bula oficial para 'PANGA 900 WG' (Titular: Titular credenciado no AGROFIT/MAPA | Composição: ATRAZINA 900).</t>
  </si>
  <si>
    <t xml:space="preserve">PRILAN DUO 4X5L (IMP)</t>
  </si>
  <si>
    <t xml:space="preserve">Nº 22922</t>
  </si>
  <si>
    <t xml:space="preserve">[NCM/TIPI]: Classificação NCM compatível com a natureza química/agronômica do produto na TIPI. | [MAPA/Bula]: VALIDADO CONFORME BULA: Registro MAPA nº Nº 22922 confirmado na bula oficial para 'Prilan Duo' (Titular: CropChem Ltda. | Composição: Azoxistrobina 125 g/L + Tebuconazol 240 g/L SC).</t>
  </si>
  <si>
    <t xml:space="preserve">AGCN DUX 5X1KG</t>
  </si>
  <si>
    <t xml:space="preserve">5X1KG</t>
  </si>
  <si>
    <t xml:space="preserve">Ref. 44024 (Biofoll Duo / Cropbio Biokiller)</t>
  </si>
  <si>
    <t xml:space="preserve">Cadastro Genérico / Sem Código (0) — Vincular ao Registro da Marca (Ref. Bula)</t>
  </si>
  <si>
    <t xml:space="preserve">[NCM/TIPI]: Classificado na posição 38.08 (3808.91.99), amparado pelo art. 1º, II, da Lei nº 10.925/2004 como defensivo biológico. | [MAPA/Bula]: Item biológico sem código no cadastro (MAPA=0). Para a mistura Beauveria bassiana + Metarhizium anisopliae presente no catálogo (BIOKILLER — Cod 6985), o Registro MAPA na bula é nº 44024 (Serquibio). Confirmar no rótulo físico se AGCN DUX é marca associada ao registro 44024 ou registro próprio.</t>
  </si>
  <si>
    <t xml:space="preserve">FOX XPRO 1X20L</t>
  </si>
  <si>
    <t xml:space="preserve">Nº 24117</t>
  </si>
  <si>
    <t xml:space="preserve">[NCM/TIPI]: Classificação NCM compatível com a natureza química/agronômica do produto na TIPI. | [MAPA/Bula]: VALIDADO CONFORME BULA: Registro MAPA nº Nº 24117 confirmado na bula oficial para 'Fox® Xpro / Tega Pro' (Titular: Bayer S.A. | Composição: Bixafem 125 g/L + Protioconazol 175 g/L + Trifloxistrobina 150 g/L SC).</t>
  </si>
  <si>
    <t xml:space="preserve">AGCN BORO 1X20L</t>
  </si>
  <si>
    <t xml:space="preserve">AGCN CAB 1X20L</t>
  </si>
  <si>
    <t xml:space="preserve">[NCM/TIPI]: A NCM 3102.80.00 aplica-se estritamente a misturas de ureia com nitrato de amônio em solução aquosa ou amoniacal. Para 'CALCIO + BORO', o enquadramento técnico adequado no Cap. 31 é 3105.90.90 ou 3102.90.00.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</si>
  <si>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BRIT 4X5L</t>
  </si>
  <si>
    <t xml:space="preserve">08214 (8214)</t>
  </si>
  <si>
    <t xml:space="preserve">[NCM/TIPI]: Classificação NCM compatível com a natureza química/agronômica do produto na TIPI. | [MAPA/Bula]: VALIDADO CONFORME BULA: Registro MAPA nº 08214 (8214) confirmado na bula oficial para 'Brit' (Titular: Nortox / Ourofino | Composição: Cipermetrina 250 g/L EC).</t>
  </si>
  <si>
    <t xml:space="preserve">CLETODIM CCAB 240 EC 1X20L</t>
  </si>
  <si>
    <t xml:space="preserve">Nº 11117</t>
  </si>
  <si>
    <t xml:space="preserve">[NCM/TIPI]: Classificação NCM compatível com a natureza química/agronômica do produto na TIPI. | [MAPA/Bula]: VALIDADO CONFORME BULA: Registro MAPA nº Nº 11117 confirmado na bula oficial para 'CLETODIM CCAB 240 EC' (Titular: Titular credenciado no AGROFIT/MAPA | Composição: CLETODIM 240).</t>
  </si>
  <si>
    <t xml:space="preserve">GRASIDIM 1X20L (IMP) WW</t>
  </si>
  <si>
    <t xml:space="preserve">Nº 22221</t>
  </si>
  <si>
    <t xml:space="preserve">[NCM/TIPI]: Classificação NCM compatível com a natureza química/agronômica do produto na TIPI. | [MAPA/Bula]: VALIDADO CONFORME BULA: Registro MAPA nº Nº 22221 confirmado na bula oficial para 'GRASIDIM' (Titular: Titular credenciado no AGROFIT/MAPA | Composição: CLETODIM 240).</t>
  </si>
  <si>
    <t xml:space="preserve">SELECT 240 EC 1X20L</t>
  </si>
  <si>
    <t xml:space="preserve">0479097 (479097)</t>
  </si>
  <si>
    <t xml:space="preserve">[NCM/TIPI]: Classificação NCM compatível com a natureza química/agronômica do produto na TIPI. | [MAPA/Bula]: VALIDADO CONFORME BULA: Registro MAPA nº 0479097 (479097) confirmado na bula oficial para 'Select 240 EC' (Titular: UPL / Arysta Lifescience | Composição: Cletodim 240 g/L EC).</t>
  </si>
  <si>
    <t xml:space="preserve">VIANCE 1X20L</t>
  </si>
  <si>
    <t xml:space="preserve">Nº 28917</t>
  </si>
  <si>
    <t xml:space="preserve">[NCM/TIPI]: Classificação NCM compatível com a natureza química/agronômica do produto na TIPI. | [MAPA/Bula]: VALIDADO CONFORME BULA: Registro MAPA nº Nº 28917 confirmado na bula oficial para 'VIANCE' (Titular: Titular credenciado no AGROFIT/MAPA | Composição: CLETODIM 240).</t>
  </si>
  <si>
    <t xml:space="preserve">PACTO 10X0,240 KG</t>
  </si>
  <si>
    <t xml:space="preserve">10X0,240 KG</t>
  </si>
  <si>
    <t xml:space="preserve">07398 (7398)</t>
  </si>
  <si>
    <t xml:space="preserve">[NCM/TIPI]: Classificação NCM compatível com a natureza química/agronômica do produto na TIPI. | [MAPA/Bula]: VALIDADO CONFORME BULA: Registro MAPA nº 07398 (7398) confirmado na bula oficial para 'Pacto' (Titular: Corteva Agriscience | Composição: Cloransulam-metílico 840 g/kg WG).</t>
  </si>
  <si>
    <t xml:space="preserve">PREMIO 4X5L</t>
  </si>
  <si>
    <t xml:space="preserve">09109 (9109)</t>
  </si>
  <si>
    <t xml:space="preserve">[NCM/TIPI]: Classificação NCM compatível com a natureza química/agronômica do produto na TIPI. | [MAPA/Bula]: VALIDADO CONFORME BULA: Registro MAPA nº 09109 (9109) confirmado na bula oficial para 'Premio' (Titular: FMC / Corteva | Composição: Clorantraniliprole 200 g/L SC).</t>
  </si>
  <si>
    <t xml:space="preserve">DERMACOR 4X5L (IMP)</t>
  </si>
  <si>
    <t xml:space="preserve">09515 (9515)</t>
  </si>
  <si>
    <t xml:space="preserve">[NCM/TIPI]: Classificação NCM compatível com a natureza química/agronômica do produto na TIPI. | [MAPA/Bula]: VALIDADO CONFORME BULA: Registro MAPA nº 09515 (9515) confirmado na bula oficial para 'Dermacor' (Titular: Corteva / FMC | Composição: Clorantraniliprole 625 g/L FS).</t>
  </si>
  <si>
    <t xml:space="preserve">CUPRODIL WG 1X25KG</t>
  </si>
  <si>
    <t xml:space="preserve">1X25KG</t>
  </si>
  <si>
    <t xml:space="preserve">00711 (711)</t>
  </si>
  <si>
    <t xml:space="preserve">[NCM/TIPI]: Classificação NCM compatível com a natureza química/agronômica do produto na TIPI. | [MAPA/Bula]: VALIDADO CONFORME BULA: Registro MAPA nº 00711 (711) confirmado na bula oficial para 'Cuprodil WG' (Titular: Sumitomo / Sipcam | Composição: Clorotalonil + Oxicloreto de cobre WG).</t>
  </si>
  <si>
    <t xml:space="preserve">26321 (Bula Guardanil 720 SC)</t>
  </si>
  <si>
    <t xml:space="preserve">[NCM/TIPI]: O princípio ativo 'CLOROTALONIL 720' é um FUNGICIDA (subposição 3808.92.99), mas o produto foi cadastrado erroneamente na NCM 3808.93.24. | [MAPA/Bula]: ERRO DE CADASTRO: O código 26320 foi copiado da linha de Atrazina 900 WG. Conforme bula oficial no AGROFIT/MAPA e ADAPAR, o fungicida GUARDANIL 720 SC (Titular: CAC Chemical — Clorotalonil 720 g/L SC) possui Registro MAPA nº 26321.</t>
  </si>
  <si>
    <t xml:space="preserve">SAFENITH 1X20L (IMP) AW</t>
  </si>
  <si>
    <t xml:space="preserve">Nº 23419</t>
  </si>
  <si>
    <t xml:space="preserve">[NCM/TIPI]: Classificação NCM compatível com a natureza química/agronômica do produto na TIPI. | [MAPA/Bula]: VALIDADO CONFORME BULA: Registro MAPA nº Nº 23419 confirmado na bula oficial para 'SAFENITH' (Titular: Titular credenciado no AGROFIT/MAPA | Composição: CLOROTALONIL 720).</t>
  </si>
  <si>
    <t xml:space="preserve">CLOPANTO 1X20L (IMP)</t>
  </si>
  <si>
    <t xml:space="preserve">Nº 24320</t>
  </si>
  <si>
    <t xml:space="preserve">[NCM/TIPI]: Classificação NCM compatível com a natureza química/agronômica do produto na TIPI. | [MAPA/Bula]: VALIDADO CONFORME BULA: Registro MAPA nº Nº 24320 confirmado na bula oficial para 'CLOPANTO' (Titular: Titular credenciado no AGROFIT/MAPA | Composição: CLORPIRIFOS 480).</t>
  </si>
  <si>
    <t xml:space="preserve">KLORPAN 480 EC 1X10L</t>
  </si>
  <si>
    <t xml:space="preserve">1X10L</t>
  </si>
  <si>
    <t xml:space="preserve">07899 (7899)</t>
  </si>
  <si>
    <t xml:space="preserve">[NCM/TIPI]: Classificação NCM compatível com a natureza química/agronômica do produto na TIPI. | [MAPA/Bula]: VALIDADO CONFORME BULA: Registro MAPA nº 07899 (7899) confirmado na bula oficial para 'Klorpan 480 EC' (Titular: Nufarm / Sumitomo | Composição: Clorpirifós 480 g/L EC).</t>
  </si>
  <si>
    <t xml:space="preserve">WILD 1X20L</t>
  </si>
  <si>
    <t xml:space="preserve">Nº 18618</t>
  </si>
  <si>
    <t xml:space="preserve">[NCM/TIPI]: Classificação NCM compatível com a natureza química/agronômica do produto na TIPI. | [MAPA/Bula]: VALIDADO CONFORME BULA: Registro MAPA nº Nº 18618 confirmado na bula oficial para 'WILD' (Titular: Titular credenciado no AGROFIT/MAPA | Composição: CLORPIRIFOS 480).</t>
  </si>
  <si>
    <t xml:space="preserve">AGCN DESALOJ TAB 12X0,8KG</t>
  </si>
  <si>
    <t xml:space="preserve">12X0,8KG</t>
  </si>
  <si>
    <t xml:space="preserve">[NCM/TIPI]: Embora alocado na NCM residual 3808.99.99, o produto não possui registro de agrotóxico no MAPA (MAPA=0), atuando como auxiliar/adjuvante de pulverização.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</si>
  <si>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SPIDER 840 WG 10X0,21KG</t>
  </si>
  <si>
    <t xml:space="preserve">10X0,21KG</t>
  </si>
  <si>
    <t xml:space="preserve">05097 (5097)</t>
  </si>
  <si>
    <t xml:space="preserve">[NCM/TIPI]: Classificação NCM compatível com a natureza química/agronômica do produto na TIPI. | [MAPA/Bula]: VALIDADO CONFORME BULA: Registro MAPA nº 05097 (5097) confirmado na bula oficial para 'Spider 840 WG' (Titular: Corteva Agriscience | Composição: Diclosulam 840 g/kg WG).</t>
  </si>
  <si>
    <t xml:space="preserve">DIFCOR 250 EC BR 1X20L (IMP) GH</t>
  </si>
  <si>
    <t xml:space="preserve">Nº 15716</t>
  </si>
  <si>
    <t xml:space="preserve">[NCM/TIPI]: Classificação NCM compatível com a natureza química/agronômica do produto na TIPI. | [MAPA/Bula]: VALIDADO CONFORME BULA: Registro MAPA nº Nº 15716 confirmado na bula oficial para 'DIFCOR 250 EC BR' (Titular: Titular credenciado no AGROFIT/MAPA | Composição: DIFENOCONAZOL 250).</t>
  </si>
  <si>
    <t xml:space="preserve">BLOWOUT 1X20L (IMP)</t>
  </si>
  <si>
    <t xml:space="preserve">Nº 19217</t>
  </si>
  <si>
    <t xml:space="preserve">[NCM/TIPI]: Classificação NCM compatível com a natureza química/agronômica do produto na TIPI. | [MAPA/Bula]: VALIDADO CONFORME BULA: Registro MAPA nº Nº 19217 confirmado na bula oficial para 'BLOWOUT' (Titular: Titular credenciado no AGROFIT/MAPA | Composição: DIQUATE).</t>
  </si>
  <si>
    <t xml:space="preserve">DESSICASH 200 1X20L (IMP)</t>
  </si>
  <si>
    <t xml:space="preserve">Nº 25216</t>
  </si>
  <si>
    <t xml:space="preserve">[NCM/TIPI]: Classificação NCM compatível com a natureza química/agronômica do produto na TIPI. | [MAPA/Bula]: VALIDADO CONFORME BULA: Registro MAPA nº Nº 25216 confirmado na bula oficial para 'DESSICASH 200' (Titular: Titular credenciado no AGROFIT/MAPA | Composição: DIQUATE).</t>
  </si>
  <si>
    <t xml:space="preserve">DIOX 1X20L</t>
  </si>
  <si>
    <t xml:space="preserve">00812 (812)</t>
  </si>
  <si>
    <t xml:space="preserve">[NCM/TIPI]: Dentro dos herbicidas (3808.93), a TIPI prevê o subitem 3808.93.23 para 'DIUROM 500' (3808.93.22=2,4-D; .23=Atrazina/Diuron; .24=Glifosato/Imazaquim/Lactofen; .27=Imazetapir/Sulfonilureias; .28=Ametrina/Hexazinona; .29=Outros). | [MAPA/Bula]: VALIDADO CONFORME BULA: Registro MAPA nº 00812 (812) confirmado na bula oficial para 'Diox' (Titular: Ourofino / Sipcam | Composição: Diuron 500 g/L SC).</t>
  </si>
  <si>
    <t xml:space="preserve">AGCN ENXOFRE 1X20L</t>
  </si>
  <si>
    <t xml:space="preserve">AGCN MG 16 1X25KG</t>
  </si>
  <si>
    <t xml:space="preserve">EXALT 4X5L</t>
  </si>
  <si>
    <t xml:space="preserve">Nº 14314</t>
  </si>
  <si>
    <t xml:space="preserve">[NCM/TIPI]: Classificação NCM compatível com a natureza química/agronômica do produto na TIPI. | [MAPA/Bula]: VALIDADO CONFORME BULA: Registro MAPA nº Nº 14314 confirmado na bula oficial para 'EXALT' (Titular: Titular credenciado no AGROFIT/MAPA | Composição: ESPINETORAM).</t>
  </si>
  <si>
    <t xml:space="preserve">SURVEY 250 FS 4X5L (IMP) YF</t>
  </si>
  <si>
    <t xml:space="preserve">02520 (2520)</t>
  </si>
  <si>
    <t xml:space="preserve">[NCM/TIPI]: Classificação NCM compatível com a natureza química/agronômica do produto na TIPI. | [MAPA/Bula]: VALIDADO CONFORME BULA: Registro MAPA nº 02520 (2520) confirmado na bula oficial para 'Survey 250 FS' (Titular: Rainbow Defensivos | Composição: Fipronil 250 g/L FS).</t>
  </si>
  <si>
    <t xml:space="preserve">SCORPION 4X5L (IMP)</t>
  </si>
  <si>
    <t xml:space="preserve">0494 (494)</t>
  </si>
  <si>
    <t xml:space="preserve">[NCM/TIPI]: Classificação NCM compatível com a natureza química/agronômica do produto na TIPI. | [MAPA/Bula]: VALIDADO CONFORME BULA: Registro MAPA nº 0494 (494) confirmado na bula oficial para 'Scorpion' (Titular: Corteva Agriscience | Composição: Flumetsulam 120 g/L SC).</t>
  </si>
  <si>
    <t xml:space="preserve">ORKESTRA 4X5L</t>
  </si>
  <si>
    <t xml:space="preserve">08813 (8813)</t>
  </si>
  <si>
    <t xml:space="preserve">[NCM/TIPI]: Classificação NCM compatível com a natureza química/agronômica do produto na TIPI. | [MAPA/Bula]: VALIDADO CONFORME BULA: Registro MAPA nº 08813 (8813) confirmado na bula oficial para 'Orkestra SC' (Titular: BASF S.A. | Composição: Fluxapiroxade 167 g/L + Piraclostrobina 333 g/L SC).</t>
  </si>
  <si>
    <t xml:space="preserve">GLIFOSATO 72WG ALAMOS 4X5KG (IMP)</t>
  </si>
  <si>
    <t xml:space="preserve">Nº 25119</t>
  </si>
  <si>
    <t xml:space="preserve">[NCM/TIPI]: Classificação NCM compatível com a natureza química/agronômica do produto na TIPI. | [MAPA/Bula]: VALIDADO CONFORME BULA: Registro MAPA nº Nº 25119 confirmado na bula oficial para 'GLIFOSATO 72WG ALAMOS' (Titular: Titular credenciado no AGROFIT/MAPA | Composição: GLIFOSATO 720).</t>
  </si>
  <si>
    <t xml:space="preserve">MAXIZATO 4X5KG</t>
  </si>
  <si>
    <t xml:space="preserve">Nº 36518</t>
  </si>
  <si>
    <t xml:space="preserve">[NCM/TIPI]: Classificação NCM compatível com a natureza química/agronômica do produto na TIPI. | [MAPA/Bula]: VALIDADO CONFORME BULA: Registro MAPA nº Nº 36518 confirmado na bula oficial para 'MAXIZATO' (Titular: Titular credenciado no AGROFIT/MAPA | Composição: GLIFOSATO 720).</t>
  </si>
  <si>
    <t xml:space="preserve">SENHA 720 WG 4X5KG (IMP) GG</t>
  </si>
  <si>
    <t xml:space="preserve">Nº 28520</t>
  </si>
  <si>
    <t xml:space="preserve">[NCM/TIPI]: Classificação NCM compatível com a natureza química/agronômica do produto na TIPI. | [MAPA/Bula]: VALIDADO CONFORME BULA: Registro MAPA nº Nº 28520 confirmado na bula oficial para 'SENHA 720 WG' (Titular: Titular credenciado no AGROFIT/MAPA | Composição: GLIFOSATO 720).</t>
  </si>
  <si>
    <t xml:space="preserve">WIPE OUT 1X20KG (IMP) WW</t>
  </si>
  <si>
    <t xml:space="preserve">1X20KG</t>
  </si>
  <si>
    <t xml:space="preserve">Nº 13714</t>
  </si>
  <si>
    <t xml:space="preserve">[NCM/TIPI]: Classificação NCM compatível com a natureza química/agronômica do produto na TIPI. | [MAPA/Bula]: VALIDADO CONFORME BULA: Registro MAPA nº Nº 13714 confirmado na bula oficial para 'WIPE OUT' (Titular: Titular credenciado no AGROFIT/MAPA | Composição: GLIFOSATO 720).</t>
  </si>
  <si>
    <t xml:space="preserve">WIPE OUT 4X5KG (IMP) WW</t>
  </si>
  <si>
    <t xml:space="preserve">SAPEK MAX 4X5KG</t>
  </si>
  <si>
    <t xml:space="preserve">Nº 34221</t>
  </si>
  <si>
    <t xml:space="preserve">[NCM/TIPI]: Classificação NCM compatível com a natureza química/agronômica do produto na TIPI. | [MAPA/Bula]: VALIDADO CONFORME BULA: Registro MAPA nº Nº 34221 confirmado na bula oficial para 'SAPEK MAX' (Titular: Titular credenciado no AGROFIT/MAPA | Composição: GLUFOSINATO 880).</t>
  </si>
  <si>
    <t xml:space="preserve">VERDICT MAX 1X20L</t>
  </si>
  <si>
    <t xml:space="preserve">03518 (3518)</t>
  </si>
  <si>
    <t xml:space="preserve">[NCM/TIPI]: Classificação NCM compatível com a natureza química/agronômica do produto na TIPI. | [MAPA/Bula]: VALIDADO CONFORME BULA: Registro MAPA nº 03518 (3518) confirmado na bula oficial para 'Verdict Max' (Titular: Corteva Agriscience | Composição: Haloxifope-P-metílico 540 g/L EC).</t>
  </si>
  <si>
    <t xml:space="preserve">SOYACLEAN XTRA 2X5KG (IMP)</t>
  </si>
  <si>
    <t xml:space="preserve">Nº 14518</t>
  </si>
  <si>
    <t xml:space="preserve">[NCM/TIPI]: Classificação NCM compatível com a natureza química/agronômica do produto na TIPI. | [MAPA/Bula]: VALIDADO CONFORME BULA: Registro MAPA nº Nº 14518 confirmado na bula oficial para 'SOYACLEAN XTRA' (Titular: Titular credenciado no AGROFIT/MAPA | Composição: IMAZETAPIR 700).</t>
  </si>
  <si>
    <t xml:space="preserve">AGCN NITROBIOT 4X2L</t>
  </si>
  <si>
    <t xml:space="preserve">4X2L</t>
  </si>
  <si>
    <t xml:space="preserve">[NCM/TIPI]: NCM 3002.90.00 amparada pelo art. 605, VI, da IN RFB nº 2.121/2022 (desdobramento do antigo código 3002.90.99 da TIPI para culturas de microrganismos).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</si>
  <si>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AGCN RIZODERMA CX 10X0,5KG</t>
  </si>
  <si>
    <t xml:space="preserve">10X0,5KG</t>
  </si>
  <si>
    <t xml:space="preserve">TRICHODERMA HARZIANUM (SE BIOFUNGICIDA) OU K 25% + S 17% (SE FERTILIZANTE)</t>
  </si>
  <si>
    <t xml:space="preserve">[NCM/TIPI]: O item 'AGCN RIZODERMA' está na NCM 3808.92.99 (Fungicida), mas com princípio ativo cadastrado 'K 25% + S 17%' (Fertilizante). Corrigir o princípio ativo (se for Trichoderma) ou a NCM para 3105.90.90 (se for fertilizante).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</si>
  <si>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AGCN RIZOFOS 4X2L (IMP)</t>
  </si>
  <si>
    <t xml:space="preserve">[NCM/TIPI]: Classificado em 3002.90.00, porém formulado a partir de bactérias solubilizadoras de fósforo (não fixadoras de nitrogênio).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</si>
  <si>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AGCN RIZOSPIRILLUM CX 14X1,5L</t>
  </si>
  <si>
    <t xml:space="preserve">14X1,5L</t>
  </si>
  <si>
    <t xml:space="preserve">AGCN RIZOSPRAY EXTREMO 4X5L</t>
  </si>
  <si>
    <t xml:space="preserve">[NCM/TIPI]: Classificado em 3808.99.99, mas por ser óleo vegetal adjuvante sem ação fitossanitária própria, não goza da alíquota zero (SC COSIT nº 4/2024).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</si>
  <si>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[NCM/TIPI]: NCM 3402.42.00 adequada para agentes orgânicos de superfície / preparações tensoativas ou silicones adjuvantes.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</si>
  <si>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BIOMAX AZUM 5X1.8L</t>
  </si>
  <si>
    <t xml:space="preserve">5X1.8L</t>
  </si>
  <si>
    <t xml:space="preserve">[NCM/TIPI]: NCM 3002.49.99 amparada pelo art. 605, VI, da IN RFB nº 2.121/2022 (desdobramento do antigo código 3002.90.99 da TIPI para culturas de microrganismos).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</si>
  <si>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AGCN POTASSIO 1X20L</t>
  </si>
  <si>
    <t xml:space="preserve">02020 (2020)</t>
  </si>
  <si>
    <t xml:space="preserve">[NCM/TIPI]: Classificação NCM compatível com a natureza química/agronômica do produto na TIPI. | [MAPA/Bula]: VALIDADO CONFORME BULA: Registro MAPA nº 02020 (2020) confirmado na bula oficial para 'Samurai / Bushi' (Titular: Pilarquim BR Comercial Ltda. | Composição: Lambda-cialotrina 250 g/L CS).</t>
  </si>
  <si>
    <t xml:space="preserve">04110 (4110)</t>
  </si>
  <si>
    <t xml:space="preserve">[NCM/TIPI]: Classificação NCM compatível com a natureza química/agronômica do produto na TIPI. | [MAPA/Bula]: VALIDADO CONFORME BULA: Registro MAPA nº 04110 (4110) confirmado na bula oficial para 'Trinca Caps' (Titular: UPL / Sipcam | Composição: Lambda-cialotrina 250 g/L CS).</t>
  </si>
  <si>
    <t xml:space="preserve">KRATON 100 EC 4X5L</t>
  </si>
  <si>
    <t xml:space="preserve">Nº 17618</t>
  </si>
  <si>
    <t xml:space="preserve">[NCM/TIPI]: Classificação NCM compatível com a natureza química/agronômica do produto na TIPI. | [MAPA/Bula]: VALIDADO CONFORME BULA: Registro MAPA nº Nº 17618 confirmado na bula oficial para 'KRATON 100 EC' (Titular: Titular credenciado no AGROFIT/MAPA | Composição: LUFENUROM 100).</t>
  </si>
  <si>
    <t xml:space="preserve">AGCN MAGNESIO 1X25KG</t>
  </si>
  <si>
    <t xml:space="preserve">HAIFA MAG 1X25KG (IMP)</t>
  </si>
  <si>
    <t xml:space="preserve">[NCM/TIPI]: Compostos inorgânicos isolados classificam-se no Cap. 28 (2834.29.90) e oxissulfatos/fritas em 3824.99.79. Fora do Cap. 31, o § 2º do art. 1º do Decreto nº 5.630/2005 restringe o benefício à importação por fabricante ou venda para fabricante de fertilizantes.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</si>
  <si>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EMZEB PLATINA 750 WG 1X15KG (IMP) CC</t>
  </si>
  <si>
    <t xml:space="preserve">1X15KG</t>
  </si>
  <si>
    <t xml:space="preserve">01921 (1921)</t>
  </si>
  <si>
    <t xml:space="preserve">[NCM/TIPI]: Classificação NCM compatível com a natureza química/agronômica do produto na TIPI. | [MAPA/Bula]: VALIDADO CONFORME BULA: Registro MAPA nº 01921 (1921) confirmado na bula oficial para 'Emzeb Platina 750 WG' (Titular: Sabero / UPL | Composição: Mancozebe 750 g/kg WG).</t>
  </si>
  <si>
    <t xml:space="preserve">INDOZEB 750 WG 1X25KG (IMP)</t>
  </si>
  <si>
    <t xml:space="preserve">00720 (720)</t>
  </si>
  <si>
    <t xml:space="preserve">[NCM/TIPI]: Classificação NCM compatível com a natureza química/agronômica do produto na TIPI. | [MAPA/Bula]: VALIDADO CONFORME BULA: Registro MAPA nº 00720 (720) confirmado na bula oficial para 'Indozeb 750 WG' (Titular: Indofil | Composição: Mancozebe 750 g/kg WG).</t>
  </si>
  <si>
    <t xml:space="preserve">MANFIL 800 WP 1X25KG (IMP)</t>
  </si>
  <si>
    <t xml:space="preserve">06313 (6313)</t>
  </si>
  <si>
    <t xml:space="preserve">[NCM/TIPI]: Classificação NCM compatível com a natureza química/agronômica do produto na TIPI. | [MAPA/Bula]: VALIDADO CONFORME BULA: Registro MAPA nº 06313 (6313) confirmado na bula oficial para 'Manfil 800 WP' (Titular: Indofil | Composição: Mancozebe 800 g/kg WP).</t>
  </si>
  <si>
    <t xml:space="preserve">MANFIL 800 WP 1X7,5KG (AGUARDAR FISCAL)</t>
  </si>
  <si>
    <t xml:space="preserve">1X7,5KG</t>
  </si>
  <si>
    <t xml:space="preserve">MESON 480 SC 12X1L (IMP)</t>
  </si>
  <si>
    <t xml:space="preserve">12X1L</t>
  </si>
  <si>
    <t xml:space="preserve">Nº 38917</t>
  </si>
  <si>
    <t xml:space="preserve">[NCM/TIPI]: Classificação NCM compatível com a natureza química/agronômica do produto na TIPI. | [MAPA/Bula]: VALIDADO CONFORME BULA: Registro MAPA nº Nº 38917 confirmado na bula oficial para 'MESON 480 SC' (Titular: Titular credenciado no AGROFIT/MAPA | Composição: MESOTRIONA 480).</t>
  </si>
  <si>
    <t xml:space="preserve">CHIAVE SUP 1X20L</t>
  </si>
  <si>
    <t xml:space="preserve">Nº 14816</t>
  </si>
  <si>
    <t xml:space="preserve">[NCM/TIPI]: Classificação NCM compatível com a natureza química/agronômica do produto na TIPI. | [MAPA/Bula]: VALIDADO CONFORME BULA: Registro MAPA nº Nº 14816 confirmado na bula oficial para 'CHIAVE SUP' (Titular: Titular credenciado no AGROFIT/MAPA | Composição: METOMIL 215).</t>
  </si>
  <si>
    <t xml:space="preserve">METOMIL CHD S 1X20L</t>
  </si>
  <si>
    <t xml:space="preserve">Nº 27620</t>
  </si>
  <si>
    <t xml:space="preserve">[NCM/TIPI]: Classificação NCM compatível com a natureza química/agronômica do produto na TIPI. | [MAPA/Bula]: VALIDADO CONFORME BULA: Registro MAPA nº Nº 27620 confirmado na bula oficial para 'METOMIL CHD S' (Titular: Titular credenciado no AGROFIT/MAPA | Composição: METOMIL 215).</t>
  </si>
  <si>
    <t xml:space="preserve">METOMY 900 1X20L (IMP)</t>
  </si>
  <si>
    <t xml:space="preserve">Nº 31522</t>
  </si>
  <si>
    <t xml:space="preserve">[NCM/TIPI]: Classificação NCM compatível com a natureza química/agronômica do produto na TIPI. | [MAPA/Bula]: VALIDADO CONFORME BULA: Registro MAPA nº Nº 31522 confirmado na bula oficial para 'METOMY 900' (Titular: Titular credenciado no AGROFIT/MAPA | Composição: METOMIL 900).</t>
  </si>
  <si>
    <t xml:space="preserve">UPMYL 1X20L</t>
  </si>
  <si>
    <t xml:space="preserve">06914 (6914)</t>
  </si>
  <si>
    <t xml:space="preserve">[NCM/TIPI]: Classificação NCM compatível com a natureza química/agronômica do produto na TIPI. | [MAPA/Bula]: VALIDADO CONFORME BULA: Registro MAPA nº 06914 (6914) confirmado na bula oficial para 'Upmyl' (Titular: UPL do Brasil | Composição: Metomil 215 g/L SL).</t>
  </si>
  <si>
    <t xml:space="preserve">AGCN MANGANES 1X20L</t>
  </si>
  <si>
    <t xml:space="preserve">AGCN MN ULTRA 1X20L</t>
  </si>
  <si>
    <t xml:space="preserve">AGCN MN ULTRA AA 1X20L</t>
  </si>
  <si>
    <t xml:space="preserve">AGCN MOLIB ULTRA 4X5L</t>
  </si>
  <si>
    <t xml:space="preserve">ANCOSAR 720 1X20L</t>
  </si>
  <si>
    <t xml:space="preserve">03705 (3705)</t>
  </si>
  <si>
    <t xml:space="preserve">[NCM/TIPI]: Classificação NCM compatível com a natureza química/agronômica do produto na TIPI. | [MAPA/Bula]: VALIDADO CONFORME BULA: Registro MAPA nº 03705 (3705) confirmado na bula oficial para 'Ancosar 720' (Titular: Adama / Milenia | Composição: MSMA 720 g/L SL).</t>
  </si>
  <si>
    <t xml:space="preserve">VOLCANE 790 4X5L (IMP)</t>
  </si>
  <si>
    <t xml:space="preserve">04798 (4798)</t>
  </si>
  <si>
    <t xml:space="preserve">[NCM/TIPI]: Classificação NCM compatível com a natureza química/agronômica do produto na TIPI. | [MAPA/Bula]: VALIDADO CONFORME BULA: Registro MAPA nº 04798 (4798) confirmado na bula oficial para 'Volcane 790' (Titular: Adama / Luxembourg | Composição: MSMA 790 g/L SL).</t>
  </si>
  <si>
    <t xml:space="preserve">AGCN FULL 1X20L</t>
  </si>
  <si>
    <t xml:space="preserve">AGCN NITROGEN 1X20L</t>
  </si>
  <si>
    <t xml:space="preserve">AGCN NITROGEN 30% 1X20L</t>
  </si>
  <si>
    <t xml:space="preserve">AGCN MAG ULTRA 1X20L</t>
  </si>
  <si>
    <t xml:space="preserve">AGCN FULL ULTRA 1X20L</t>
  </si>
  <si>
    <t xml:space="preserve">AGRICOIL CITRUS 1X20L</t>
  </si>
  <si>
    <t xml:space="preserve">[NCM/TIPI]: Produto 'AGRICOIL CITRUS 1X20L' consta com princípio ativo 'OLEO D-LIMONENO' (adjuvante/óleo cítrico, MAPA=0), mas está na NCM 3105.90.90 (Fertilizantes). Só pode usar Cap. 31 se tiver registro de fertilizante no MAPA.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</si>
  <si>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AGRICOIL CITRUS 4X5L</t>
  </si>
  <si>
    <t xml:space="preserve">[NCM/TIPI]: Produto 'AGRICOIL CITRUS 4X5L' consta com princípio ativo 'OLEO D-LIMONENO' (adjuvante/óleo cítrico, MAPA=0), mas está na NCM 3105.90.90 (Fertilizantes). Só pode usar Cap. 31 se tiver registro de fertilizante no MAPA.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</si>
  <si>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AGRICOIL MINERAL YPF 1X20L</t>
  </si>
  <si>
    <t xml:space="preserve">[NCM/TIPI]: Classificado em 3808.99.99 como preparação auxiliar; contudo, sem registro de agrotóxico no MAPA (Ato MAPA nº 104/2017), a RFB veda o benefício de defensivo (SC COSIT nº 4/2024).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</si>
  <si>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AGRICOIL MINERAL 1X25L</t>
  </si>
  <si>
    <t xml:space="preserve">1X25L</t>
  </si>
  <si>
    <t xml:space="preserve">AGRICOIL VEGETAL 1X25L</t>
  </si>
  <si>
    <t xml:space="preserve">1X1KG</t>
  </si>
  <si>
    <t xml:space="preserve">COMPOSTO ORGANOMINERAL / AMINOACIDOS E MICRONUTRIENTES</t>
  </si>
  <si>
    <t xml:space="preserve">[NCM/TIPI]: O produto 'SAGERSOLOS FORCE 1X1KG' está classificado como fertilizante (3101.00.00), mas o campo 'Nom Prc Ativ' foi preenchido por erro com 'OLEO MINERAL'. Corrigir o princípio ativo no ERP para afastar risco de ser autuado como adjuvante (SC COSIT nº 4/2024).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</si>
  <si>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SAGERSOLOS SINERGY 1X1KG</t>
  </si>
  <si>
    <t xml:space="preserve">[NCM/TIPI]: O produto 'SAGERSOLOS SINERGY 1X1KG' está classificado como fertilizante (3101.00.00), mas o campo 'Nom Prc Ativ' foi preenchido por erro com 'OLEO MINERAL'. Corrigir o princípio ativo no ERP para afastar risco de ser autuado como adjuvante (SC COSIT nº 4/2024).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</si>
  <si>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TROPERO 1X20L (IMP)</t>
  </si>
  <si>
    <t xml:space="preserve">02808 (2808)</t>
  </si>
  <si>
    <t xml:space="preserve">[NCM/TIPI]: Classificação NCM compatível com a natureza química/agronômica do produto na TIPI. | [MAPA/Bula]: VALIDADO CONFORME BULA: Registro MAPA nº 02808 (2808) confirmado na bula oficial para 'Tropero' (Titular: Corteva / Dow | Composição: Picloram 240 g/L SL).</t>
  </si>
  <si>
    <t xml:space="preserve">TURUNA 1X20L (IMP)</t>
  </si>
  <si>
    <t xml:space="preserve">Nº 14207</t>
  </si>
  <si>
    <t xml:space="preserve">[NCM/TIPI]: Classificação NCM compatível com a natureza química/agronômica do produto na TIPI. | [MAPA/Bula]: VALIDADO CONFORME BULA: Registro MAPA nº Nº 14207 confirmado na bula oficial para 'TURUNA' (Titular: Titular credenciado no AGROFIT/MAPA | Composição: PICLORAM + 2,4-D).</t>
  </si>
  <si>
    <t xml:space="preserve">APROACH POWER 1X10L</t>
  </si>
  <si>
    <t xml:space="preserve">Nº 13420</t>
  </si>
  <si>
    <t xml:space="preserve">[NCM/TIPI]: Classificação NCM compatível com a natureza química/agronômica do produto na TIPI. | [MAPA/Bula]: VALIDADO CONFORME BULA: Registro MAPA nº Nº 13420 confirmado na bula oficial para 'APROACH POWER' (Titular: Titular credenciado no AGROFIT/MAPA | Composição: PICOXISTROBINA 90 + CIPROCONAZOL 40).</t>
  </si>
  <si>
    <t xml:space="preserve">TAURA 200 EC 4X5L (IMP)</t>
  </si>
  <si>
    <t xml:space="preserve">01419 (1419)</t>
  </si>
  <si>
    <t xml:space="preserve">[NCM/TIPI]: Classificação NCM compatível com a natureza química/agronômica do produto na TIPI. | [MAPA/Bula]: VALIDADO CONFORME BULA: Registro MAPA nº 01419 (1419) confirmado na bula oficial para 'Taura 200 EC' (Titular: Rainbow / Ourofino | Composição: Piriproxifem 200 g/L EC).</t>
  </si>
  <si>
    <t xml:space="preserve">AGRIGENTO KIESER 1X25KG</t>
  </si>
  <si>
    <t xml:space="preserve">KIESERITA / SULFATO DE MAGNESIO (MG 16% + S 13%)</t>
  </si>
  <si>
    <t xml:space="preserve">[NCM/TIPI]: O produto 'AGRIGENTO KIESER 1X25KG' está classificado como fertilizante (3105.90.90), mas o campo 'Nom Prc Ativ' foi preenchido por erro com 'OLEO MINERAL'. Corrigir o princípio ativo no ERP para afastar risco de ser autuado como adjuvante (SC COSIT nº 4/2024).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</si>
  <si>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FEZAN GOLD 1X20L</t>
  </si>
  <si>
    <t xml:space="preserve">08215 (8215)</t>
  </si>
  <si>
    <t xml:space="preserve">[NCM/TIPI]: Classificação NCM compatível com a natureza química/agronômica do produto na TIPI. | [MAPA/Bula]: VALIDADO CONFORME BULA: Registro MAPA nº 08215 (8215) confirmado na bula oficial para 'Fezan Gold / Duetto Top / Pugil Pro / Maximus' (Titular: Oxon / Sipcam Nichino | Composição: Tebuconazol 50 g/L + Clorotalonil 450 g/L SC).</t>
  </si>
  <si>
    <t xml:space="preserve">CLICK 1X20L</t>
  </si>
  <si>
    <t xml:space="preserve">Nº 20920</t>
  </si>
  <si>
    <t xml:space="preserve">[NCM/TIPI]: Dentro dos herbicidas (3808.93), a TIPI prevê o subitem 3808.93.29 para 'TERBUTILAZINA 500' (3808.93.22=2,4-D; .23=Atrazina/Diuron; .24=Glifosato/Imazaquim/Lactofen; .27=Imazetapir/Sulfonilureias; .28=Ametrina/Hexazinona; .29=Outros). | [MAPA/Bula]: VALIDADO CONFORME BULA: Registro MAPA nº Nº 20920 confirmado na bula oficial para 'CLICK' (Titular: Titular credenciado no AGROFIT/MAPA | Composição: TERBUTILAZINA 500).</t>
  </si>
  <si>
    <t xml:space="preserve">SUPPORT 1X20L</t>
  </si>
  <si>
    <t xml:space="preserve">0238904 (238904)</t>
  </si>
  <si>
    <t xml:space="preserve">[NCM/TIPI]: Classificação NCM compatível com a natureza química/agronômica do produto na TIPI. | [MAPA/Bula]: VALIDADO CONFORME BULA: Registro MAPA nº 0238904 (238904) confirmado na bula oficial para 'Support' (Titular: Iharabras / Sipcam | Composição: Tiofanato-metílico 500 g/L SC).</t>
  </si>
  <si>
    <t xml:space="preserve">AGCN ZINCO ULTRA 12X1L</t>
  </si>
  <si>
    <t xml:space="preserve">AGCN ZINCO ULTRA 1X10L</t>
  </si>
  <si>
    <t xml:space="preserve">AGCN ZINCO ULTRA 4X5L</t>
  </si>
  <si>
    <t xml:space="preserve">SOLO AGRI S90 120 1X1200KG (IMP) HH</t>
  </si>
  <si>
    <t xml:space="preserve">1X1200KG</t>
  </si>
  <si>
    <t xml:space="preserve">[NCM/TIPI]: NCM 2503.00.90 classifica enxofre mineral/bentonita do Cap. 25. Na venda direta ao produtor, exige registro como corretivo mineral (art. 1º, IV) ou venda a fabricante do Cap. 31 (art. 1º, I, § 2º Dec. 5.630/05).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</si>
  <si>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ULEXITA 100 1X1000KG (IMP) JJ</t>
  </si>
  <si>
    <t xml:space="preserve">1X1000KG</t>
  </si>
  <si>
    <t xml:space="preserve">[NCM/TIPI]: NCM 2528.00.00 correta para boratos naturais (ulexita). Por estar no Cap. 25 (fora do Cap. 31), o benefício na revenda exige enquadramento como corretivo mineral ou matéria-prima vendida a fabricante de fertilizantes.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</si>
  <si>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06922 (6922)</t>
  </si>
  <si>
    <t xml:space="preserve">[NCM/TIPI]: Pela Nota de Subposições 2 do Cap. 38 da TIPI (SC COSIT nº 98.042/2022), preparações contendo 'BIFENTRINA 400' classificam-se em 3808.61 (até 300g), 3808.62 (300g a 7,5kg) ou 3808.69 (&gt;7,5kg). | [MAPA/Bula]: VALIDADO CONFORME BULA: Registro MAPA nº 06922 (6922) confirmado na bula oficial para 'Cofenrin / Insectrin' (Titular: Rainbow Defensivos | Composição: Bifentrina 400 g/L EC).</t>
  </si>
  <si>
    <t xml:space="preserve">ACEHERO 20X1KG (IMP)</t>
  </si>
  <si>
    <t xml:space="preserve">20X1KG</t>
  </si>
  <si>
    <t xml:space="preserve">08311 (8311)</t>
  </si>
  <si>
    <t xml:space="preserve">[NCM/TIPI]: Classificação NCM compatível com a natureza química/agronômica do produto na TIPI. | [MAPA/Bula]: VALIDADO CONFORME BULA: Registro MAPA nº 08311 (8311) confirmado na bula oficial para 'Acehero' (Titular: Sabero / UPL | Composição: Acefato 750 g/kg SP).</t>
  </si>
  <si>
    <t xml:space="preserve">WEXITE 4X5KG (IMP)</t>
  </si>
  <si>
    <t xml:space="preserve">04623 (4623)</t>
  </si>
  <si>
    <t xml:space="preserve">[NCM/TIPI]: Classificação NCM compatível com a natureza química/agronômica do produto na TIPI. | [MAPA/Bula]: VALIDADO CONFORME BULA: Registro MAPA nº 04623 (4623) confirmado na bula oficial para 'Wexite / Golaço / Imperium / Furioso / Namira' (Titular: Rainbow Defensivos | Composição: Acefato 970 g/kg SG).</t>
  </si>
  <si>
    <t xml:space="preserve">XEQUE MATE HT 1X20L</t>
  </si>
  <si>
    <t xml:space="preserve">00422 (422)</t>
  </si>
  <si>
    <t xml:space="preserve">[NCM/TIPI]: Classificação NCM compatível com a natureza química/agronômica do produto na TIPI. | [MAPA/Bula]: VALIDADO CONFORME BULA: Registro MAPA nº 00422 (422) confirmado na bula oficial para 'Xeque Mate HT' (Titular: Albaugh / Sino-Agri | Composição: Glifosato 588 g/L SL).</t>
  </si>
  <si>
    <t xml:space="preserve">FOX SUPRA 1X20L</t>
  </si>
  <si>
    <t xml:space="preserve">03422 (3422)</t>
  </si>
  <si>
    <t xml:space="preserve">[NCM/TIPI]: Classificação NCM compatível com a natureza química/agronômica do produto na TIPI. | [MAPA/Bula]: VALIDADO CONFORME BULA: Registro MAPA nº 03422 (3422) confirmado na bula oficial para 'Fox Supra' (Titular: Bayer S.A. | Composição: Impirfluxam 120 g/L + Protioconazol 240 g/L SC).</t>
  </si>
  <si>
    <t xml:space="preserve">RATEIO 200 SL 1X20L (IMP) BB</t>
  </si>
  <si>
    <t xml:space="preserve">Nº 34621</t>
  </si>
  <si>
    <t xml:space="preserve">[NCM/TIPI]: Classificação NCM compatível com a natureza química/agronômica do produto na TIPI. | [MAPA/Bula]: VALIDADO CONFORME BULA: Registro MAPA nº Nº 34621 confirmado na bula oficial para 'RATEIO 200 SL' (Titular: Titular credenciado no AGROFIT/MAPA | Composição: DIQUATE).</t>
  </si>
  <si>
    <t xml:space="preserve">TARBOX 4X5KG (IMP) GB</t>
  </si>
  <si>
    <t xml:space="preserve">Nº 18022</t>
  </si>
  <si>
    <t xml:space="preserve">[NCM/TIPI]: Classificação NCM compatível com a natureza química/agronômica do produto na TIPI. | [MAPA/Bula]: VALIDADO CONFORME BULA: Registro MAPA nº Nº 18022 confirmado na bula oficial para 'TARBOX' (Titular: Titular credenciado no AGROFIT/MAPA | Composição: GLUFOSINATO 850).</t>
  </si>
  <si>
    <t xml:space="preserve">FOSFATO MONOAMONICO CRISTAL MAP 1X25KG (IMP)</t>
  </si>
  <si>
    <t xml:space="preserve">ROUNDUP ORIGINAL MAIS 1X20L</t>
  </si>
  <si>
    <t xml:space="preserve">01119 (1119)</t>
  </si>
  <si>
    <t xml:space="preserve">[NCM/TIPI]: Dentro dos herbicidas (3808.93), a TIPI prevê o subitem 3808.93.24 para 'GLIFOSATO 480' (3808.93.22=2,4-D; .23=Atrazina/Diuron; .24=Glifosato/Imazaquim/Lactofen; .27=Imazetapir/Sulfonilureias; .28=Ametrina/Hexazinona; .29=Outros). | [MAPA/Bula]: VALIDADO CONFORME BULA: Registro MAPA nº 01119 (1119) confirmado na bula oficial para 'Roundup Original Mais' (Titular: Bayer / Monsanto | Composição: Glifosato 480 g/L e.a. SL).</t>
  </si>
  <si>
    <t xml:space="preserve">SURRENA 1X20L</t>
  </si>
  <si>
    <t xml:space="preserve">09920 (9920)</t>
  </si>
  <si>
    <t xml:space="preserve">[NCM/TIPI]: Classificação NCM compatível com a natureza química/agronômica do produto na TIPI. | [MAPA/Bula]: VALIDADO CONFORME BULA: Registro MAPA nº 09920 (9920) confirmado na bula oficial para 'Surrena' (Titular: Rainbow Defensivos | Composição: Sulfentrazona 500 g/L SC).</t>
  </si>
  <si>
    <t xml:space="preserve">AGCN 2,4-D 1X20L (IMP) (DUPLICIDADE)</t>
  </si>
  <si>
    <t xml:space="preserve">TOTALNITRO FEIJAO 8X1,5L (DOSE)</t>
  </si>
  <si>
    <t xml:space="preserve">8X1,5L</t>
  </si>
  <si>
    <t xml:space="preserve">DS</t>
  </si>
  <si>
    <t xml:space="preserve">GLUCARE 1X20L (IMP) WW</t>
  </si>
  <si>
    <t xml:space="preserve">00120 (120)</t>
  </si>
  <si>
    <t xml:space="preserve">[NCM/TIPI]: Classificação NCM compatível com a natureza química/agronômica do produto na TIPI. | [MAPA/Bula]: VALIDADO CONFORME BULA: Registro MAPA nº 00120 (120) confirmado na bula oficial para 'Glucare / Aluzia / Bowbast / Glucarem / Gluforever / Ultitem' (Titular: Rainbow Defensivos | Composição: Glufosinato - sal de amônio 200 g/L SL).</t>
  </si>
  <si>
    <t xml:space="preserve">RAINIL 4X5KG (IMP)</t>
  </si>
  <si>
    <t xml:space="preserve">Nº 31817</t>
  </si>
  <si>
    <t xml:space="preserve">[NCM/TIPI]: Classificação NCM compatível com a natureza química/agronômica do produto na TIPI. | [MAPA/Bula]: VALIDADO CONFORME BULA: Registro MAPA nº Nº 31817 confirmado na bula oficial para 'RAINIL' (Titular: Titular credenciado no AGROFIT/MAPA | Composição: FIPRONIL 800).</t>
  </si>
  <si>
    <t xml:space="preserve">JOYA BB 1X20L</t>
  </si>
  <si>
    <t xml:space="preserve">Nº 32322</t>
  </si>
  <si>
    <t xml:space="preserve">[NCM/TIPI]: Classificação NCM compatível com a natureza química/agronômica do produto na TIPI. | [MAPA/Bula]: VALIDADO CONFORME BULA: Registro MAPA nº Nº 32322 confirmado na bula oficial para 'JOYA BB' (Titular: Titular credenciado no AGROFIT/MAPA | Composição: FLUMIOXAZINA 480).</t>
  </si>
  <si>
    <t xml:space="preserve">02020 (2020) — Bula Samurai / Bushi</t>
  </si>
  <si>
    <t xml:space="preserve">[NCM/TIPI]: Conforme bula oficial (SAMURAI; BUSHI — Registro MAPA nº 02020, Pilarquim), o produto BUSHI é Lambda-cialotrina 250 g/L CS (NCM 3808.62.90/3808.69.90, igual ao Samurai Cods 231 e 469), mas o PA no ERP foi preenchido como 'PIRIPROXIFEM 100'. | [MAPA/Bula]: CÓDIGO MAPA VALIDADO PELA BULA (ALERTA DE P.A.): Conforme bula oficial no AGROFIT/SIDAGO, BUSHI e SAMURAI compartilham o mesmo Registro MAPA nº 02020 (2020 — Titular: Pilarquim BR Comercial Ltda. — Lambda-cialotrina 250 g/L CS). Portanto, o código MAPA 2020 está 100% CORRETO, mas o Princípio Ativo cadastrado na planilha ('PIRIPROXIFEM 100') está incorreto e deve ser corrigido para 'LAMBDA-CIALOTRINA 250'!</t>
  </si>
  <si>
    <t xml:space="preserve">ATRAZINA 500 SC 1X20L (IMP)</t>
  </si>
  <si>
    <t xml:space="preserve">CLASSIC 4X2 KG (IMP)</t>
  </si>
  <si>
    <t xml:space="preserve">4X2 KG</t>
  </si>
  <si>
    <t xml:space="preserve">0938801 (938801)</t>
  </si>
  <si>
    <t xml:space="preserve">[NCM/TIPI]: Classificação NCM compatível com a natureza química/agronômica do produto na TIPI. | [MAPA/Bula]: VALIDADO CONFORME BULA: Registro MAPA nº 0938801 (938801) confirmado na bula oficial para 'Classic' (Titular: Corteva Agriscience | Composição: Clorimurom-etílico 250 g/kg WG).</t>
  </si>
  <si>
    <t xml:space="preserve">SURVEY 800 WG 4X5KG (IMP)</t>
  </si>
  <si>
    <t xml:space="preserve">Nº 11320</t>
  </si>
  <si>
    <t xml:space="preserve">[NCM/TIPI]: Classificação NCM compatível com a natureza química/agronômica do produto na TIPI. | [MAPA/Bula]: VALIDADO CONFORME BULA: Registro MAPA nº Nº 11320 confirmado na bula oficial para 'SURVEY 800 WG' (Titular: Titular credenciado no AGROFIT/MAPA | Composição: FIPRONIL 800).</t>
  </si>
  <si>
    <t xml:space="preserve">AGCN GRANU S BAG 120 1X1200KG (VALIDAR FISCAL)</t>
  </si>
  <si>
    <t xml:space="preserve">FRENO 240 EC 4X5L</t>
  </si>
  <si>
    <t xml:space="preserve">Nº 13419</t>
  </si>
  <si>
    <t xml:space="preserve">[NCM/TIPI]: Classificação NCM compatível com a natureza química/agronômica do produto na TIPI. | [MAPA/Bula]: VALIDADO CONFORME BULA: Registro MAPA nº Nº 13419 confirmado na bula oficial para 'FRENO 240 EC' (Titular: Titular credenciado no AGROFIT/MAPA | Composição: CLETODIM 240).</t>
  </si>
  <si>
    <t xml:space="preserve">AGRICOIL VEGETAL 1X20L</t>
  </si>
  <si>
    <t xml:space="preserve">AGCN ULTRA S 1X20L</t>
  </si>
  <si>
    <t xml:space="preserve">2,4-D DECORUM 1X20L (IMP)</t>
  </si>
  <si>
    <t xml:space="preserve">00115 (115)</t>
  </si>
  <si>
    <t xml:space="preserve">[NCM/TIPI]: Classificação NCM compatível com a natureza química/agronômica do produto na TIPI. | [MAPA/Bula]: VALIDADO CONFORME BULA: Registro MAPA nº 00115 (115) confirmado na bula oficial para '2,4-D Decorum' (Titular: Decorum / Crotect | Composição: 2,4-D (Sal dimetilamina)).</t>
  </si>
  <si>
    <t xml:space="preserve">METOMY 4X5KG (IMP)</t>
  </si>
  <si>
    <t xml:space="preserve">[NCM/TIPI]: Classificação NCM compatível com a natureza química/agronômica do produto na TIPI. | [MAPA/Bula]: VALIDADO CONFORME BULA: Registro MAPA nº Nº 31522 confirmado na bula oficial para 'METOMY' (Titular: Titular credenciado no AGROFIT/MAPA | Composição: METOMIL 900).</t>
  </si>
  <si>
    <t xml:space="preserve">METRARO EC 1X20L (IMP)</t>
  </si>
  <si>
    <t xml:space="preserve">Nº 34122</t>
  </si>
  <si>
    <t xml:space="preserve">[NCM/TIPI]: Classificação NCM compatível com a natureza química/agronômica do produto na TIPI. | [MAPA/Bula]: VALIDADO CONFORME BULA: Registro MAPA nº Nº 34122 confirmado na bula oficial para 'METRARO EC' (Titular: Titular credenciado no AGROFIT/MAPA | Composição: S-METOLACLORO 960).</t>
  </si>
  <si>
    <t xml:space="preserve">VELBOW 4X5KG (IMP)</t>
  </si>
  <si>
    <t xml:space="preserve">Nº 13720</t>
  </si>
  <si>
    <t xml:space="preserve">[NCM/TIPI]: Classificação NCM compatível com a natureza química/agronômica do produto na TIPI. | [MAPA/Bula]: VALIDADO CONFORME BULA: Registro MAPA nº Nº 13720 confirmado na bula oficial para 'VELBOW' (Titular: Titular credenciado no AGROFIT/MAPA | Composição: DIUROM 468 + HEXAZINONA 132).</t>
  </si>
  <si>
    <t xml:space="preserve">TAGZOLE 250 EC 4X5L (IMP)</t>
  </si>
  <si>
    <t xml:space="preserve">03522 (3522)</t>
  </si>
  <si>
    <t xml:space="preserve">[NCM/TIPI]: Classificação NCM compatível com a natureza química/agronômica do produto na TIPI. | [MAPA/Bula]: VALIDADO CONFORME BULA: Registro MAPA nº 03522 (3522) confirmado na bula oficial para 'Tagzole 250 EC' (Titular: Tagros / Perterra | Composição: Difenoconazol 250 g/L EC).</t>
  </si>
  <si>
    <t xml:space="preserve">GLIFOSATO IPA 480 RAINBOW 1X20L (IMP)</t>
  </si>
  <si>
    <t xml:space="preserve">05417 (5417)</t>
  </si>
  <si>
    <t xml:space="preserve">[NCM/TIPI]: Classificação NCM compatível com a natureza química/agronômica do produto na TIPI. | [MAPA/Bula]: VALIDADO CONFORME BULA: Registro MAPA nº 05417 (5417) confirmado na bula oficial para 'Glifosato IPA 480 Rainbow' (Titular: Rainbow Defensivos | Composição: Glifosato 480 g/L (360 g/L e.a.) SL).</t>
  </si>
  <si>
    <t xml:space="preserve">BIOLOGIC BRAVIA 1X10KG</t>
  </si>
  <si>
    <t xml:space="preserve">Ref. 44024 (Biofoll Duo / Biokiller) — Confirmar Rótulo</t>
  </si>
  <si>
    <t xml:space="preserve">[NCM/TIPI]: Classificado na posição 38.08 (3808.91.99), amparado pelo art. 1º, II, da Lei nº 10.925/2004 como defensivo biológico. | [MAPA/Bula]: Item biológico sem código no cadastro (MAPA=0) e alocado fora de 38.08 (em 3002.90.99). Confirmar no rótulo físico o nº de Registro MAPA (ex.: ref. 44024 para Beauveria bassiana + Metarhizium anisopliae) e reclassificar NCM para 3808.91.99.</t>
  </si>
  <si>
    <t xml:space="preserve">GLUFOSINATE-AMMONIUN 200 SL YONON 1X20L (IMP) BB</t>
  </si>
  <si>
    <t xml:space="preserve">Nº 40818</t>
  </si>
  <si>
    <t xml:space="preserve">[NCM/TIPI]: Classificação NCM compatível com a natureza química/agronômica do produto na TIPI. | [MAPA/Bula]: VALIDADO CONFORME BULA: Registro MAPA nº Nº 40818 confirmado na bula oficial para 'GLUFOSINATE-AMMONIUN 200 SL YONON' (Titular: Titular credenciado no AGROFIT/MAPA | Composição: GLUFOSINATO 200).</t>
  </si>
  <si>
    <t xml:space="preserve">ENSIS-TURBO 4X5L (IMP) GG</t>
  </si>
  <si>
    <t xml:space="preserve">09420 (9420)</t>
  </si>
  <si>
    <t xml:space="preserve">[NCM/TIPI]: Classificação NCM compatível com a natureza química/agronômica do produto na TIPI. | [MAPA/Bula]: VALIDADO CONFORME BULA: Registro MAPA nº 09420 (9420) confirmado na bula oficial para 'Ensis-Turbo / Ofek-Turbo' (Titular: Adama / Rainbow | Composição: Azoxistrobina 120 g/L + Tebuconazol 360 g/L SC).</t>
  </si>
  <si>
    <t xml:space="preserve">TRINITY 250 SC 4X5L (IMP) GS</t>
  </si>
  <si>
    <t xml:space="preserve">Nº 15508</t>
  </si>
  <si>
    <t xml:space="preserve">[NCM/TIPI]: Classificação NCM compatível com a natureza química/agronômica do produto na TIPI. | [MAPA/Bula]: VALIDADO CONFORME BULA: Registro MAPA nº Nº 15508 confirmado na bula oficial para 'TRINITY 250 SC' (Titular: Titular credenciado no AGROFIT/MAPA | Composição: FLUTRIAFOL 250).</t>
  </si>
  <si>
    <t xml:space="preserve">PRECISO XK 1X20L</t>
  </si>
  <si>
    <t xml:space="preserve">09621 (9621)</t>
  </si>
  <si>
    <t xml:space="preserve">[NCM/TIPI]: Classificação NCM compatível com a natureza química/agronômica do produto na TIPI. | [MAPA/Bula]: VALIDADO CONFORME BULA: Registro MAPA nº 09621 (9621) confirmado na bula oficial para 'Preciso xK' (Titular: AlbaughAgro Brasil Ltda. | Composição: Glifosato Potássico 662 g/L (540 g/L e.a.) SL).</t>
  </si>
  <si>
    <t xml:space="preserve">BIOMAX AZUM 3X10E8</t>
  </si>
  <si>
    <t xml:space="preserve">DOSE BIOLÓGICA</t>
  </si>
  <si>
    <t xml:space="preserve">BRIGADE 400 EC 4X5L (IMP)</t>
  </si>
  <si>
    <t xml:space="preserve">03307 (3307)</t>
  </si>
  <si>
    <t xml:space="preserve">[NCM/TIPI]: Classificação NCM compatível com a natureza química/agronômica do produto na TIPI. | [MAPA/Bula]: VALIDADO CONFORME BULA: Registro MAPA nº 03307 (3307) confirmado na bula oficial para 'Brigade 400 EC' (Titular: FMC Química do Brasil | Composição: Bifentrina 400 g/L EC).</t>
  </si>
  <si>
    <t xml:space="preserve">NITRATO DE MAGNESIO 1000 X 25KG (IMP) CB</t>
  </si>
  <si>
    <t xml:space="preserve">1000 X 25KG</t>
  </si>
  <si>
    <t xml:space="preserve">ERRADIK 4X5L</t>
  </si>
  <si>
    <t xml:space="preserve">Nº 36321</t>
  </si>
  <si>
    <t xml:space="preserve">[NCM/TIPI]: Classificação NCM compatível com a natureza química/agronômica do produto na TIPI. | [MAPA/Bula]: VALIDADO CONFORME BULA: Registro MAPA nº Nº 36321 confirmado na bula oficial para 'ERRADIK' (Titular: Titular credenciado no AGROFIT/MAPA | Composição: DIFENOCONAZOL 250).</t>
  </si>
  <si>
    <t xml:space="preserve">ASSARIS 1X20L</t>
  </si>
  <si>
    <t xml:space="preserve">Nº 31618</t>
  </si>
  <si>
    <t xml:space="preserve">[NCM/TIPI]: Classificação NCM compatível com a natureza química/agronômica do produto na TIPI. | [MAPA/Bula]: VALIDADO CONFORME BULA: Registro MAPA nº Nº 31618 confirmado na bula oficial para 'ASSARIS' (Titular: Titular credenciado no AGROFIT/MAPA | Composição: METOMIL 215).</t>
  </si>
  <si>
    <t xml:space="preserve">FLUAZINAM 500 SC PROVENTIS 4X5L (IMP)</t>
  </si>
  <si>
    <t xml:space="preserve">Nº 17219</t>
  </si>
  <si>
    <t xml:space="preserve">[NCM/TIPI]: Classificação NCM compatível com a natureza química/agronômica do produto na TIPI. | [MAPA/Bula]: VALIDADO CONFORME BULA: Registro MAPA nº Nº 17219 confirmado na bula oficial para 'FLUAZINAM 500 SC PROVENTIS' (Titular: Titular credenciado no AGROFIT/MAPA | Composição: FLUAZINAM 500).</t>
  </si>
  <si>
    <t xml:space="preserve">D0323.02-B1A (CU-9,0% MN-18,0% K20-1,0%) 1X20L</t>
  </si>
  <si>
    <t xml:space="preserve">BIOLOGIC SOY 4X1,8L</t>
  </si>
  <si>
    <t xml:space="preserve">4X1,8L</t>
  </si>
  <si>
    <t xml:space="preserve">MAESTRO FS 4X5L</t>
  </si>
  <si>
    <t xml:space="preserve">Nº 10816</t>
  </si>
  <si>
    <t xml:space="preserve">[NCM/TIPI]: Classificação NCM compatível com a natureza química/agronômica do produto na TIPI. | [MAPA/Bula]: VALIDADO CONFORME BULA: Registro MAPA nº Nº 10816 confirmado na bula oficial para 'MAESTRO FS' (Titular: Titular credenciado no AGROFIT/MAPA | Composição: FIPRONIL 250).</t>
  </si>
  <si>
    <t xml:space="preserve">ECOBOR 10 - ULEXITA BAG 1.273 KG (IMP)</t>
  </si>
  <si>
    <t xml:space="preserve">1.273 KG</t>
  </si>
  <si>
    <t xml:space="preserve">NODOFIX AZP 4X1,8L</t>
  </si>
  <si>
    <t xml:space="preserve">BAZUKA 216 SL 1X20L (IMP)</t>
  </si>
  <si>
    <t xml:space="preserve">03010 (3010)</t>
  </si>
  <si>
    <t xml:space="preserve">[NCM/TIPI]: Classificação NCM compatível com a natureza química/agronômica do produto na TIPI. | [MAPA/Bula]: VALIDADO CONFORME BULA: Registro MAPA nº 03010 (3010) confirmado na bula oficial para 'Bazuka 216 SL' (Titular: Rotam / Albaugh | Composição: Metomil 215 g/L SL).</t>
  </si>
  <si>
    <t xml:space="preserve">DIUROM 500 1X20L</t>
  </si>
  <si>
    <t xml:space="preserve">08319 (8319)</t>
  </si>
  <si>
    <t xml:space="preserve">[NCM/TIPI]: Classificação NCM compatível com a natureza química/agronômica do produto na TIPI. | [MAPA/Bula]: VALIDADO CONFORME BULA: Registro MAPA nº 08319 (8319) confirmado na bula oficial para 'Diuron 500 SC Rainbow' (Titular: Rainbow Defensivos | Composição: Diuron 500 g/L SC).</t>
  </si>
  <si>
    <t xml:space="preserve">GLINT FULL 4X5L</t>
  </si>
  <si>
    <t xml:space="preserve">Nº 31222</t>
  </si>
  <si>
    <t xml:space="preserve">[NCM/TIPI]: Classificação NCM compatível com a natureza química/agronômica do produto na TIPI. | [MAPA/Bula]: VALIDADO CONFORME BULA: Registro MAPA nº Nº 31222 confirmado na bula oficial para 'GLINT FULL' (Titular: Titular credenciado no AGROFIT/MAPA | Composição: HALOXIFOPE-P-METILICO 540).</t>
  </si>
  <si>
    <t xml:space="preserve">TRICLON 1X20L</t>
  </si>
  <si>
    <t xml:space="preserve">Nº 17208</t>
  </si>
  <si>
    <t xml:space="preserve">[NCM/TIPI]: Classificação NCM compatível com a natureza química/agronômica do produto na TIPI. | [MAPA/Bula]: VALIDADO CONFORME BULA: Registro MAPA nº Nº 17208 confirmado na bula oficial para 'TRICLON' (Titular: Titular credenciado no AGROFIT/MAPA | Composição: TRICLOPIR-BUTILICO).</t>
  </si>
  <si>
    <t xml:space="preserve">ZETHAMAXX 4X5L</t>
  </si>
  <si>
    <t xml:space="preserve">Nº 10416</t>
  </si>
  <si>
    <t xml:space="preserve">[NCM/TIPI]: Classificação NCM compatível com a natureza química/agronômica do produto na TIPI. | [MAPA/Bula]: VALIDADO CONFORME BULA: Registro MAPA nº Nº 10416 confirmado na bula oficial para 'ZETHAMAXX' (Titular: Titular credenciado no AGROFIT/MAPA | Composição: FLUMIOXAZINA 100 + IMAZETAPIR 212).</t>
  </si>
  <si>
    <t xml:space="preserve">AZOKOP 15X1,5L</t>
  </si>
  <si>
    <t xml:space="preserve">15X1,5L</t>
  </si>
  <si>
    <t xml:space="preserve">[NCM/TIPI]: O produto 'AZOKOP 15X1,5L' (AZOSPIRILLUM BRASILENSE) é um inoculante fixador de nitrogênio, mas está cadastrado na NCM 3808.92.99 (Fungicida). Deve ser reclassificado para 3002.49.99 / 3002.90.00.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</si>
  <si>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TIOFANATO METILICO 500 1X20L (IMP)</t>
  </si>
  <si>
    <t xml:space="preserve">Nº 17921</t>
  </si>
  <si>
    <t xml:space="preserve">[NCM/TIPI]: Classificação NCM compatível com a natureza química/agronômica do produto na TIPI. | [MAPA/Bula]: VALIDADO CONFORME BULA: Registro MAPA nº Nº 17921 confirmado na bula oficial para 'Tiofanato 500 SC Proventis' (Titular: Proventis Lifescience | Composição: Tiofanato-metílico 500 g/L SC).</t>
  </si>
  <si>
    <t xml:space="preserve">BIOLOGIC RAZOR 12X1L</t>
  </si>
  <si>
    <t xml:space="preserve">Ref. 30917 (Octane — Isaria fumosorosea) — Confirmar Rótulo</t>
  </si>
  <si>
    <t xml:space="preserve">[NCM/TIPI]: O produto 'BIOLOGIC RAZOR 12X1L' (ISARIA FUMOSOROSEA) é um agente de controle biológico (Bioinseticida (Biológico)), mas está cadastrado na NCM 3507.90.49. Fora da posição 38.08 (e não sendo bactéria fixadora de nitrogênio da 3002), perde o amparo objetivo do art. 1º, II, da Lei nº 10.925/2004! Reclassificar para 3808.91.99 conforme registro MAPA. | [MAPA/Bula]: Item biológico sem código no cadastro (MAPA=0) e em NCM 3507.90.49. Na base AGROFIT/MAPA, o bioinseticida à base de Isaria fumosorosea (Cepa ESALQ-1296) é registrado sob nº 30917 (Octane / Interceptor / Mulsanne). Confirmar registro MAPA no rótulo de BIOLOGIC RAZOR e reclassificar para 3808.91.99.</t>
  </si>
  <si>
    <t xml:space="preserve">AGCN MANGANES 100 1X1000L</t>
  </si>
  <si>
    <t xml:space="preserve">1X1000L</t>
  </si>
  <si>
    <t xml:space="preserve">AGCN ENXOFRE 100 1X1000L</t>
  </si>
  <si>
    <t xml:space="preserve">AGCN FULL 100 1X1000L</t>
  </si>
  <si>
    <t xml:space="preserve">AGCN MN 1X20L</t>
  </si>
  <si>
    <t xml:space="preserve">AGCN MN ULTRA 100 1X1000L</t>
  </si>
  <si>
    <t xml:space="preserve">AGCN MN+ 1X20L</t>
  </si>
  <si>
    <t xml:space="preserve">AGCN NITROGEN 30% 100 1X1000L</t>
  </si>
  <si>
    <t xml:space="preserve">BIOLOGIC NEMA 4X5L</t>
  </si>
  <si>
    <t xml:space="preserve">Verificar Registro MAPA / SIPEAGRO no Rótulo</t>
  </si>
  <si>
    <t xml:space="preserve">[NCM/TIPI]: O produto 'BIOLOGIC NEMA 4X5L' (BACILLUS AMYLOUQUEFACIENS SUBTILLIS ARYBHATTAI MEGATERIUM LICHENIFORMIS) é um agente de controle biológico (Bionematicida (Biológico)), mas está cadastrado na NCM 3002.90.00. Fora da posição 38.08 (e não sendo bactéria fixadora de nitrogênio da 3002), perde o amparo objetivo do art. 1º, II, da Lei nº 10.925/2004! Reclassificar para 3808.99.95 conforme registro MAPA. | [MAPA/Bula]: Bionematicida/inoculante à base de pool de Bacillus sem código MAPA no cadastro e na NCM 3002.90.99. Verificar na bula/rótulo se possui registro fitossanitário de bionematicida no AGROFIT (NCM 3808.99.95) ou registro de inoculante no SIPEAGRO.</t>
  </si>
  <si>
    <t xml:space="preserve">[NCM/TIPI]: O produto contém bactérias (BACILLUS SUBTILIS E BACILLUS MEGATERIUM), devendo classificar-se na posição 30.02 (culturas de microrganismos) e não em 3507.90.49 (enzimas preparadas).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</si>
  <si>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CLIMUR 20X1KG (IMP)</t>
  </si>
  <si>
    <t xml:space="preserve">Nº 13620</t>
  </si>
  <si>
    <t xml:space="preserve">[NCM/TIPI]: Classificação NCM compatível com a natureza química/agronômica do produto na TIPI. | [MAPA/Bula]: VALIDADO CONFORME BULA: Registro MAPA nº Nº 13620 confirmado na bula oficial para 'CLIMUR 20X1KG (IMP)' (Titular: Titular credenciado no AGROFIT/MAPA | Composição: CLORIMUROM 250).</t>
  </si>
  <si>
    <t xml:space="preserve">CLORPIRIFOS 480 EC GHARDA 1X20L (IMP) GG</t>
  </si>
  <si>
    <t xml:space="preserve">Nº 43219</t>
  </si>
  <si>
    <t xml:space="preserve">[NCM/TIPI]: Classificação NCM compatível com a natureza química/agronômica do produto na TIPI. | [MAPA/Bula]: VALIDADO CONFORME BULA: Registro MAPA nº Nº 43219 confirmado na bula oficial para 'CLORPIRIFOS 480 EC GHARDA' (Titular: Titular credenciado no AGROFIT/MAPA | Composição: CLORPIRIFOS 480).</t>
  </si>
  <si>
    <t xml:space="preserve">CRUZARO 480 EC 1X20L (IMP) GL</t>
  </si>
  <si>
    <t xml:space="preserve">Nº 26820</t>
  </si>
  <si>
    <t xml:space="preserve">[NCM/TIPI]: Classificação NCM compatível com a natureza química/agronômica do produto na TIPI. | [MAPA/Bula]: VALIDADO CONFORME BULA: Registro MAPA nº Nº 26820 confirmado na bula oficial para 'CRUZARO 480 EC' (Titular: Titular credenciado no AGROFIT/MAPA | Composição: TRICLOPIR-BUTILICO).</t>
  </si>
  <si>
    <t xml:space="preserve">CYPER COPA 250 EC 4X5L (IMP) TT</t>
  </si>
  <si>
    <t xml:space="preserve">03915 (3915)</t>
  </si>
  <si>
    <t xml:space="preserve">[NCM/TIPI]: Classificação NCM compatível com a natureza química/agronômica do produto na TIPI. | [MAPA/Bula]: VALIDADO CONFORME BULA: Registro MAPA nº 03915 (3915) confirmado na bula oficial para 'Cyper Copa 250 EC' (Titular: UPL / Perterra | Composição: Cipermetrina 250 g/L EC).</t>
  </si>
  <si>
    <t xml:space="preserve">GRASIDIM 4X5L (IMP)</t>
  </si>
  <si>
    <t xml:space="preserve">KINGSTAR XTRA 12X1KG (IMP)</t>
  </si>
  <si>
    <t xml:space="preserve">12X1KG</t>
  </si>
  <si>
    <t xml:space="preserve">06421 (6421)</t>
  </si>
  <si>
    <t xml:space="preserve">[NCM/TIPI]: Classificação NCM compatível com a natureza química/agronômica do produto na TIPI. | [MAPA/Bula]: VALIDADO CONFORME BULA: Registro MAPA nº 06421 (6421) confirmado na bula oficial para 'Kingstar Xtra' (Titular: Rainbow Defensivos | Composição: Azoxistrobina 600 g/kg + Ciproconazol 240 g/kg WG).</t>
  </si>
  <si>
    <t xml:space="preserve">METOMY 900 4X5KG (IMP) AS</t>
  </si>
  <si>
    <t xml:space="preserve">RODOLIA 200 SP 10X1KG (IMP)</t>
  </si>
  <si>
    <t xml:space="preserve">10X1KG</t>
  </si>
  <si>
    <t xml:space="preserve">SUNGAIN XTRA 4X5KG (IMP)</t>
  </si>
  <si>
    <t xml:space="preserve">Nº 12222</t>
  </si>
  <si>
    <t xml:space="preserve">[NCM/TIPI]: Classificação NCM compatível com a natureza química/agronômica do produto na TIPI. | [MAPA/Bula]: VALIDADO CONFORME BULA: Registro MAPA nº Nº 12222 confirmado na bula oficial para 'SUNGAIN XTRA' (Titular: Titular credenciado no AGROFIT/MAPA | Composição: FLUMIOXAZINA 800).</t>
  </si>
  <si>
    <t xml:space="preserve">TORBAN PLUS 12X1L (IMP)</t>
  </si>
  <si>
    <t xml:space="preserve">Nº 19623</t>
  </si>
  <si>
    <t xml:space="preserve">[NCM/TIPI]: Classificação NCM compatível com a natureza química/agronômica do produto na TIPI. | [MAPA/Bula]: VALIDADO CONFORME BULA: Registro MAPA nº Nº 19623 confirmado na bula oficial para 'TORBAN PLUS' (Titular: Titular credenciado no AGROFIT/MAPA | Composição: PICLORAM + 2,4-D).</t>
  </si>
  <si>
    <t xml:space="preserve">TORBAN PLUS 1X20L (IMP)</t>
  </si>
  <si>
    <t xml:space="preserve">Nº 31422</t>
  </si>
  <si>
    <t xml:space="preserve">[NCM/TIPI]: Pela Nota de Subposições 2 do Cap. 38 da TIPI (SC COSIT nº 98.042/2022), preparações contendo 'BIFENTRINA + LUFENURON' classificam-se em 3808.61 (até 300g), 3808.62 (300g a 7,5kg) ou 3808.69 (&gt;7,5kg). | [MAPA/Bula]: VALIDADO CONFORME BULA: Registro MAPA nº Nº 31422 confirmado na bula oficial para 'ZARPAL' (Titular: Titular credenciado no AGROFIT/MAPA | Composição: BIFENTRINA + LUFENURON).</t>
  </si>
  <si>
    <t xml:space="preserve">XEQUE MATE 1X20L</t>
  </si>
  <si>
    <t xml:space="preserve">Nº 10317</t>
  </si>
  <si>
    <t xml:space="preserve">[NCM/TIPI]: Classificação NCM compatível com a natureza química/agronômica do produto na TIPI. | [MAPA/Bula]: VALIDADO CONFORME BULA: Registro MAPA nº Nº 10317 confirmado na bula oficial para 'XEQUE MATE' (Titular: Titular credenciado no AGROFIT/MAPA | Composição: GLIFOSATO 620).</t>
  </si>
  <si>
    <t xml:space="preserve">DIFCOR 250 EC BR 4X5L (IMP)</t>
  </si>
  <si>
    <t xml:space="preserve">BIOMAX PREMIUM LIQ SOJA 4X1,8L</t>
  </si>
  <si>
    <t xml:space="preserve">INSIDE FS 4X5L</t>
  </si>
  <si>
    <t xml:space="preserve">Nº 12812</t>
  </si>
  <si>
    <t xml:space="preserve">[NCM/TIPI]: Classificação NCM compatível com a natureza química/agronômica do produto na TIPI. | [MAPA/Bula]: VALIDADO CONFORME BULA: Registro MAPA nº Nº 12812 confirmado na bula oficial para 'INSIDE FS' (Titular: Titular credenciado no AGROFIT/MAPA | Composição: CLOTIANIDINA 600).</t>
  </si>
  <si>
    <t xml:space="preserve">SUMYZIN 500 SC 4X5L</t>
  </si>
  <si>
    <t xml:space="preserve">Nº 22417</t>
  </si>
  <si>
    <t xml:space="preserve">[NCM/TIPI]: Classificação NCM compatível com a natureza química/agronômica do produto na TIPI. | [MAPA/Bula]: VALIDADO CONFORME BULA: Registro MAPA nº Nº 22417 confirmado na bula oficial para 'SUMYZIN 500 SC' (Titular: Titular credenciado no AGROFIT/MAPA | Composição: FLUMIOXAZINA 500).</t>
  </si>
  <si>
    <t xml:space="preserve">SENHA 720 WG 1X20KG (IMP) GG</t>
  </si>
  <si>
    <t xml:space="preserve">AGCN MG 16 4X5KG</t>
  </si>
  <si>
    <t xml:space="preserve">GLIFOSATO 72WG ALAMOS 1X20KG (IMP) TC</t>
  </si>
  <si>
    <t xml:space="preserve">PREVENTIS 1X10L (IMP)</t>
  </si>
  <si>
    <t xml:space="preserve">Nº 28923</t>
  </si>
  <si>
    <t xml:space="preserve">[NCM/TIPI]: Classificação NCM compatível com a natureza química/agronômica do produto na TIPI. | [MAPA/Bula]: VALIDADO CONFORME BULA: Registro MAPA nº Nº 28923 confirmado na bula oficial para 'PREVENTIS' (Titular: Titular credenciado no AGROFIT/MAPA | Composição: MANCOZEB 445).</t>
  </si>
  <si>
    <t xml:space="preserve">F.M.A. BR B6,0 CU1,0 MN7,5 ZN1,0 1000KG</t>
  </si>
  <si>
    <t xml:space="preserve">1000KG</t>
  </si>
  <si>
    <t xml:space="preserve">[NCM/TIPI]: Compostos inorgânicos isolados classificam-se no Cap. 28 (3824.99.79) e oxissulfatos/fritas em 3824.99.79. Fora do Cap. 31, o § 2º do art. 1º do Decreto nº 5.630/2005 restringe o benefício à importação por fabricante ou venda para fabricante de fertilizantes.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</si>
  <si>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SMITE 10X1L</t>
  </si>
  <si>
    <t xml:space="preserve">10X1L</t>
  </si>
  <si>
    <t xml:space="preserve">Nº 15407</t>
  </si>
  <si>
    <t xml:space="preserve">[NCM/TIPI]: Classificação NCM compatível com a natureza química/agronômica do produto na TIPI. | [MAPA/Bula]: VALIDADO CONFORME BULA: Registro MAPA nº Nº 15407 confirmado na bula oficial para 'SMITE' (Titular: Titular credenciado no AGROFIT/MAPA | Composição: ETOXAZOL 110).</t>
  </si>
  <si>
    <t xml:space="preserve">ENSIS-TURBO 1X20L (IMP) GG</t>
  </si>
  <si>
    <t xml:space="preserve">ACEGOL 1X20KG (IMP) AW</t>
  </si>
  <si>
    <t xml:space="preserve">Nº 27323</t>
  </si>
  <si>
    <t xml:space="preserve">[NCM/TIPI]: Classificação NCM compatível com a natureza química/agronômica do produto na TIPI. | [MAPA/Bula]: VALIDADO CONFORME BULA: Registro MAPA nº Nº 27323 confirmado na bula oficial para 'ACEGOL' (Titular: Titular credenciado no AGROFIT/MAPA | Composição: ACETAMIPRIDO 725).</t>
  </si>
  <si>
    <t xml:space="preserve">DIAFENTIURON 500 SC PROVENTIS 4X5L (IMP) NC</t>
  </si>
  <si>
    <t xml:space="preserve">Nº 43818</t>
  </si>
  <si>
    <t xml:space="preserve">[NCM/TIPI]: Classificação NCM compatível com a natureza química/agronômica do produto na TIPI. | [MAPA/Bula]: VALIDADO CONFORME BULA: Registro MAPA nº Nº 43818 confirmado na bula oficial para 'DIAFENTIURON 500 SC PROVENTIS' (Titular: Titular credenciado no AGROFIT/MAPA | Composição: DIAFENTIURON 500).</t>
  </si>
  <si>
    <t xml:space="preserve">MESOTRIONE 480 SC PROVENTIS 1X20L (IMP) HN</t>
  </si>
  <si>
    <t xml:space="preserve">Nº 26017</t>
  </si>
  <si>
    <t xml:space="preserve">[NCM/TIPI]: Classificação NCM compatível com a natureza química/agronômica do produto na TIPI. | [MAPA/Bula]: VALIDADO CONFORME BULA: Registro MAPA nº Nº 26017 confirmado na bula oficial para 'Mesotrione 480 SC Proventis' (Titular: Proventis Lifescience | Composição: Mesotriona 480 g/L SC).</t>
  </si>
  <si>
    <t xml:space="preserve">OLASOJA 500 SC 4X5L (IMP) MM</t>
  </si>
  <si>
    <t xml:space="preserve">09823 (9823)</t>
  </si>
  <si>
    <t xml:space="preserve">[NCM/TIPI]: Classificação NCM compatível com a natureza química/agronômica do produto na TIPI. | [MAPA/Bula]: VALIDADO CONFORME BULA: Registro MAPA nº 09823 (9823) confirmado na bula oficial para 'Olasoja 500 SC' (Titular: Olam / Rainbow | Composição: Flumioxazina 500 g/L SC).</t>
  </si>
  <si>
    <t xml:space="preserve">MAGNIFIC 1X25KG (IMP)</t>
  </si>
  <si>
    <t xml:space="preserve">BORON 10G 1.000KG (IMP) UF</t>
  </si>
  <si>
    <t xml:space="preserve">1.000KG</t>
  </si>
  <si>
    <t xml:space="preserve">SENHA 720 WG 1X10KG (IMP) GG</t>
  </si>
  <si>
    <t xml:space="preserve">OLASUL 500 SC 4X5L (IMP)</t>
  </si>
  <si>
    <t xml:space="preserve">Nº 24823</t>
  </si>
  <si>
    <t xml:space="preserve">[NCM/TIPI]: Classificação NCM compatível com a natureza química/agronômica do produto na TIPI. | [MAPA/Bula]: VALIDADO CONFORME BULA: Registro MAPA nº Nº 24823 confirmado na bula oficial para 'OLASUL 500 SC' (Titular: Titular credenciado no AGROFIT/MAPA | Composição: SULFENTRAZONA 500).</t>
  </si>
  <si>
    <t xml:space="preserve">OLATAZON 400 EC 4X5L (IMP)</t>
  </si>
  <si>
    <t xml:space="preserve">Nº 32323</t>
  </si>
  <si>
    <t xml:space="preserve">[NCM/TIPI]: Classificação NCM compatível com a natureza química/agronômica do produto na TIPI. | [MAPA/Bula]: VALIDADO CONFORME BULA: Registro MAPA nº Nº 32323 confirmado na bula oficial para 'OLATAZON 400 EC' (Titular: Titular credenciado no AGROFIT/MAPA | Composição: CARFENTRAZONA ETILICA 400).</t>
  </si>
  <si>
    <t xml:space="preserve">Nº 30520</t>
  </si>
  <si>
    <t xml:space="preserve">[NCM/TIPI]: O produto 'MAXAPAC 250 EC 4X5L (IMP)' (Trinexapaque-etílico 250 EC, Registro MAPA nº 30520) é um regulador de crescimento formulado, devendo classificar-se na NCM 3808.93.59 e não em 2918.99.99 (composto orgânico isolado). | [MAPA/Bula]: VALIDADO CONFORME BULA: Registro MAPA nº Nº 30520 confirmado na bula oficial para 'Maxapac 250 EC / Ciprian / Trinexapaque 250 EC Eagrow' (Titular: Maxunitech / Eagrow | Composição: Trinexapaque-etílico 250 g/L EC).</t>
  </si>
  <si>
    <t xml:space="preserve">AGCN ZINCO ULTRA 1L (AMOSTRA)</t>
  </si>
  <si>
    <t xml:space="preserve">1L</t>
  </si>
  <si>
    <t xml:space="preserve">AGCN SAFE SPRAY 1L (AMOSTRA)</t>
  </si>
  <si>
    <t xml:space="preserve">AGCN MN 10 1L (AMOSTRA)</t>
  </si>
  <si>
    <t xml:space="preserve">AGCN MAGNESIO 1L (AMOSTRA)</t>
  </si>
  <si>
    <t xml:space="preserve">AGCN FULL ULTRA 1L (AMOSTRA)</t>
  </si>
  <si>
    <t xml:space="preserve">AGCN FULL 1L (AMOSTRA)</t>
  </si>
  <si>
    <t xml:space="preserve">AGRICOIL CITRUS 1L (AMOSTRA)</t>
  </si>
  <si>
    <t xml:space="preserve">[NCM/TIPI]: Produto 'AGRICOIL CITRUS 1L (AMOSTRA)' consta com princípio ativo 'OLEO D-LIMONENO' (adjuvante/óleo cítrico, MAPA=0), mas está na NCM 3105.90.90 (Fertilizantes). Só pode usar Cap. 31 se tiver registro de fertilizante no MAPA.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</si>
  <si>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AGRICOIL CITRUS PLUS 1L (AMOSTRA)</t>
  </si>
  <si>
    <t xml:space="preserve">[NCM/TIPI]: Produto 'AGRICOIL CITRUS PLUS 1L (AMOSTRA)' consta com princípio ativo 'OLEO D-LIMONENO' (adjuvante/óleo cítrico, MAPA=0), mas está na NCM 3105.90.90 (Fertilizantes). Só pode usar Cap. 31 se tiver registro de fertilizante no MAPA.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</si>
  <si>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AGCN SAFE AIR 1L (AMOSTRA)</t>
  </si>
  <si>
    <t xml:space="preserve">AGCN MG 16 1L (AMOSTRA)</t>
  </si>
  <si>
    <t xml:space="preserve">BIOLOGIC GRAM 5X1,8L</t>
  </si>
  <si>
    <t xml:space="preserve">5X1,8L</t>
  </si>
  <si>
    <t xml:space="preserve">34018 (Bula Tricho-Turbo / Biologic Guard)</t>
  </si>
  <si>
    <t xml:space="preserve">[NCM/TIPI]: Classificado na posição 38.08 (3808.92.99), amparado pelo art. 1º, II, da Lei nº 10.925/2004 como defensivo biológico. | [MAPA/Bula]: ERRO CRÍTICO DE CADASTRO: O código 24117 pertence ao fungicida químico FOX® XPRO (Bayer — Bixafem + Protioconazol + Trifloxistrobina). Conforme bula oficial da Vittia Fertilizantes e Biológicos S.A., o biofungicida BIOLOGIC GUARD (marca comercial associada ao Tricho-Turbo — Trichoderma asperellum isolado BV-10) possui Registro MAPA nº 34018.</t>
  </si>
  <si>
    <t xml:space="preserve">PREBIOTIC GL 5L (AMOSTRA)</t>
  </si>
  <si>
    <t xml:space="preserve">5L</t>
  </si>
  <si>
    <t xml:space="preserve">OFEK-TURBO 4X5L</t>
  </si>
  <si>
    <t xml:space="preserve">ETIPROLE 200 SC (PRINCIPIO ATIVO)</t>
  </si>
  <si>
    <t xml:space="preserve">GRANEL / P.A.</t>
  </si>
  <si>
    <t xml:space="preserve">VINCULAR MARCA</t>
  </si>
  <si>
    <t xml:space="preserve">Verificar Registro MAPA na Bula / Rótulo</t>
  </si>
  <si>
    <t xml:space="preserve">[NCM/TIPI]: Classificação NCM compatível com a natureza química/agronômica do produto na TIPI. | [MAPA/Bula]: Item cadastrado com Num MAPA = 0. Vincular ao registro MAPA oficial da marca comercial ou do produto técnico (TC).</t>
  </si>
  <si>
    <t xml:space="preserve">TEBUCONAZOLE 430 SC (PRINCIPIO ATIVO)</t>
  </si>
  <si>
    <t xml:space="preserve">Ref. 08215 / 8215 (Bula Fezan Gold / Duetto Top — Oxon/Sipcam)</t>
  </si>
  <si>
    <t xml:space="preserve">[NCM/TIPI]: Classificação NCM compatível com a natureza química/agronômica do produto na TIPI. | [MAPA/Bula]: Item genérico 'TEBUCONAZOL 50 + CLOROTALONIL 450 (PRINC. ATIVO)' com MAPA=0. O produto formulado correspondente no catálogo é o FEZAN GOLD (Cods 630 e 2500), cujo Registro MAPA oficial na bula é nº 08215 (8215).</t>
  </si>
  <si>
    <t xml:space="preserve">FIPRONIL 250 (PRINCIPIOA ATIVO)</t>
  </si>
  <si>
    <t xml:space="preserve">Ref. 14421 (Fipronil 250 FS AGCN / Lealty FS) / 02520 (Survey 250 FS) / 10816 (Maestro FS)</t>
  </si>
  <si>
    <t xml:space="preserve">[NCM/TIPI]: Classificação NCM compatível com a natureza química/agronômica do produto na TIPI. | [MAPA/Bula]: Item genérico 'FIPRONIL 250 FS (PRINCIPIO ATIVO)' com MAPA=0. Vincular ao produto formulado correspondente (no catálogo: 14421 Fipronil 250 FS AGCN / Lealty FS, 02520 Survey 250 FS, 10816 Maestro FS ou 44018 Summit 250 FS).</t>
  </si>
  <si>
    <t xml:space="preserve">VOLCANE 790 1X20L (IMP) LL</t>
  </si>
  <si>
    <t xml:space="preserve">TRICLOPIR 1X20L</t>
  </si>
  <si>
    <t xml:space="preserve">Nº 11922</t>
  </si>
  <si>
    <t xml:space="preserve">[NCM/TIPI]: Dentro dos herbicidas (3808.93), a TIPI prevê o subitem 3808.93.29 para 'TRICLOPIR-BUTILICO' (3808.93.22=2,4-D; .23=Atrazina/Diuron; .24=Glifosato/Imazaquim/Lactofen; .27=Imazetapir/Sulfonilureias; .28=Ametrina/Hexazinona; .29=Outros). | [MAPA/Bula]: VALIDADO CONFORME BULA: Registro MAPA nº Nº 11922 confirmado na bula oficial para 'TRICLOPIR' (Titular: Titular credenciado no AGROFIT/MAPA | Composição: TRICLOPIR-BUTILICO).</t>
  </si>
  <si>
    <t xml:space="preserve">CLORIMURON 250 WG 48X0,3KG (AGUARDAR FISCAL)</t>
  </si>
  <si>
    <t xml:space="preserve">48X0,3KG</t>
  </si>
  <si>
    <t xml:space="preserve">Nº 13520</t>
  </si>
  <si>
    <t xml:space="preserve">[NCM/TIPI]: Classificação NCM compatível com a natureza química/agronômica do produto na TIPI. | [MAPA/Bula]: VALIDADO CONFORME BULA: Registro MAPA nº Nº 13520 confirmado na bula oficial para 'Clorimuron 250 WG Rainbow / Soymart Xtra / Yunnux Xtra' (Titular: Rainbow Defensivos | Composição: Clorimurom-etílico 250 g/kg WG).</t>
  </si>
  <si>
    <t xml:space="preserve">CLORIMURON 250 WG  15X0,300KG (AGUARDAR FISCAL)</t>
  </si>
  <si>
    <t xml:space="preserve">15X0,300KG</t>
  </si>
  <si>
    <t xml:space="preserve">CLORIMURON 250 WG RAIMBOW 15X0,300KG (VALIDAR FISC</t>
  </si>
  <si>
    <t xml:space="preserve">TRICLOPIR 4X5L</t>
  </si>
  <si>
    <t xml:space="preserve">SURVEY 800 WG 10X1KG (IMP)</t>
  </si>
  <si>
    <t xml:space="preserve">NADRAN 250SL (PRINCIPIO ATIVO)</t>
  </si>
  <si>
    <t xml:space="preserve">12621 (Bula Nadran® 250 — Luxembourg)</t>
  </si>
  <si>
    <t xml:space="preserve">Sem Código no Cadastro (0) — Código MAPA Identificado na Bula</t>
  </si>
  <si>
    <t xml:space="preserve">[NCM/TIPI]: Classificação NCM compatível com a natureza química/agronômica do produto na TIPI. | [MAPA/Bula]: CÓDIGO IDENTIFICADO NA BULA: Item sem código na planilha (MAPA=0). Conforme bula oficial do regulador de crescimento NADRAN® 250 (Titular: Luxembourg Brasil — Cloreto de mepiquate 250 g/L SL, já cadastrado nos Cods 587 e 6291), o Registro MAPA oficial é nº 12621.</t>
  </si>
  <si>
    <t xml:space="preserve">PENNCOZEB - MANCOZEB 750 (PRINCIPIO ATIVO)</t>
  </si>
  <si>
    <t xml:space="preserve">Nº 12418</t>
  </si>
  <si>
    <t xml:space="preserve">[NCM/TIPI]: Classificação NCM compatível com a natureza química/agronômica do produto na TIPI. | [MAPA/Bula]: CÓDIGO MAPA COMPATÍVEL COM O PRINCÍPIO ATIVO: O Registro MAPA nº Nº 12418 pertence na bula ao produto formulado 'PENNCOZEB - MANCOZEB 750 (PRINCIPIO ATIVO)' (Titular credenciado no AGROFIT/MAPA — MANCOZEB 750), compatível com este ingrediente ativo. Se o item for o produto formulado, substituir o sufixo '(PRINCIPIO ATIVO)' pela marca comercial 'PENNCOZEB - MANCOZEB 750 (PRINCIPIO ATIVO)'; se for Produto Técnico (TC), utilizar o registro TC específico.</t>
  </si>
  <si>
    <t xml:space="preserve">BIOLOGIC AERUM 4X5L</t>
  </si>
  <si>
    <t xml:space="preserve">43418 (Bula Bio-Imune / Biologic Aerum — Vittia)</t>
  </si>
  <si>
    <t xml:space="preserve">[NCM/TIPI]: Classificado na posição 38.08 (3808.92.99), amparado pelo art. 1º, II, da Lei nº 10.925/2004 como defensivo biológico. | [MAPA/Bula]: CÓDIGO IDENTIFICADO NA BULA: Produto sem código na planilha (MAPA=0). Conforme bula oficial aprovada no MAPA/ADAPAR, o fungicida/bactericida microbiológico BIOLOGIC AERUM (marca associada ao Bio-Imune / Multi-Attack / Multi-Guard — Titular: Vittia S.A. — Bacillus subtilis/velezensis cepa BV02) possui Registro MAPA nº 43418.</t>
  </si>
  <si>
    <t xml:space="preserve">BRENNFEED BR 251 1KG (AMOSTRA)</t>
  </si>
  <si>
    <t xml:space="preserve">1KG</t>
  </si>
  <si>
    <t xml:space="preserve">FERTILIZANTE MINERAL MISTO / MICRONUTRIENTES</t>
  </si>
  <si>
    <t xml:space="preserve">[NCM/TIPI]: O produto 'BRENNFEED BR 251 1KG (AMOSTRA)' está classificado como fertilizante (3105.90.90), mas o campo 'Nom Prc Ativ' foi preenchido por erro com 'OLEO MINERAL'. Corrigir o princípio ativo no ERP para afastar risco de ser autuado como adjuvante (SC COSIT nº 4/2024).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</si>
  <si>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BRENNFEED BR 256 20L (AMOSTRA)</t>
  </si>
  <si>
    <t xml:space="preserve">20L</t>
  </si>
  <si>
    <t xml:space="preserve">[NCM/TIPI]: O produto 'BRENNFEED BR 256 20L (AMOSTRA)' está classificado como fertilizante (3105.90.90), mas o campo 'Nom Prc Ativ' foi preenchido por erro com 'OLEO MINERAL'. Corrigir o princípio ativo no ERP para afastar risco de ser autuado como adjuvante (SC COSIT nº 4/2024).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</si>
  <si>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BRENNBRA 12 B 4,5KG (AMOSTRA)</t>
  </si>
  <si>
    <t xml:space="preserve">4,5KG</t>
  </si>
  <si>
    <t xml:space="preserve">BORO SOLUVEL 12% (FERTILIZANTE BORATADO)</t>
  </si>
  <si>
    <t xml:space="preserve">[NCM/TIPI]: O produto 'BRENNBRA 12 B 4,5KG (AMOSTRA)' está classificado como fertilizante (3105.90.90), mas o campo 'Nom Prc Ativ' foi preenchido por erro com 'OLEO MINERAL'. Corrigir o princípio ativo no ERP para afastar risco de ser autuado como adjuvante (SC COSIT nº 4/2024).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</si>
  <si>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AGCN N-15,0% P205-5,0% K20-5,0% MG-1,6% (AMOSTRA)</t>
  </si>
  <si>
    <t xml:space="preserve">AMOSTRA (&lt;= 1 KG/L)</t>
  </si>
  <si>
    <t xml:space="preserve">AGCN N-15,0% K20-7,0% CA-1,0% MG-1,0% (AMOSTRA)</t>
  </si>
  <si>
    <t xml:space="preserve">AGCN N-5,0% K20-7,0% CA-1,0% MG-1,0% (AMOSTRA)</t>
  </si>
  <si>
    <t xml:space="preserve">TOPINAM BALDE 1X20L</t>
  </si>
  <si>
    <t xml:space="preserve">Nº 28319</t>
  </si>
  <si>
    <t xml:space="preserve">[NCM/TIPI]: Classificação NCM compatível com a natureza química/agronômica do produto na TIPI. | [MAPA/Bula]: VALIDADO CONFORME BULA: Registro MAPA nº Nº 28319 confirmado na bula oficial para 'TOPINAM BALDE' (Titular: Titular credenciado no AGROFIT/MAPA | Composição: TRICLOPIR-BUTILICO).</t>
  </si>
  <si>
    <t xml:space="preserve">TRICLON 4X5L</t>
  </si>
  <si>
    <t xml:space="preserve">DURAX 1X20L (IMP) AW</t>
  </si>
  <si>
    <t xml:space="preserve">[NCM/TIPI]: Classificação NCM compatível com a natureza química/agronômica do produto na TIPI. | [MAPA/Bula]: VALIDADO CONFORME BULA: Registro MAPA nº Nº 34122 confirmado na bula oficial para 'DURAX' (Titular: Titular credenciado no AGROFIT/MAPA | Composição: S-METOLACLORO 960).</t>
  </si>
  <si>
    <t xml:space="preserve">ACEMIP 4X5KG (IMP) RW</t>
  </si>
  <si>
    <t xml:space="preserve">Nº 20723</t>
  </si>
  <si>
    <t xml:space="preserve">[NCM/TIPI]: Classificação NCM compatível com a natureza química/agronômica do produto na TIPI. | [MAPA/Bula]: VALIDADO CONFORME BULA: Registro MAPA nº Nº 20723 confirmado na bula oficial para 'ACEMIP' (Titular: Titular credenciado no AGROFIT/MAPA | Composição: ACETAMIPRID 200).</t>
  </si>
  <si>
    <t xml:space="preserve">CLOMAZONA 360 (PRINCIPIO ATIVO)</t>
  </si>
  <si>
    <t xml:space="preserve">Nº 22921</t>
  </si>
  <si>
    <t xml:space="preserve">[NCM/TIPI]: Classificação NCM compatível com a natureza química/agronômica do produto na TIPI. | [MAPA/Bula]: CÓDIGO MAPA COMPATÍVEL COM O PRINCÍPIO ATIVO: O Registro MAPA nº Nº 22921 pertence na bula ao produto formulado 'CLOMAZONA 360 (PRINCIPIO ATIVO)' (Titular credenciado no AGROFIT/MAPA — CLOMAZONA 360), compatível com este ingrediente ativo. Se o item for o produto formulado, substituir o sufixo '(PRINCIPIO ATIVO)' pela marca comercial 'CLOMAZONA 360 (PRINCIPIO ATIVO)'; se for Produto Técnico (TC), utilizar o registro TC específico.</t>
  </si>
  <si>
    <t xml:space="preserve">AGCN MN+ 100 1X1000L</t>
  </si>
  <si>
    <t xml:space="preserve">CLORIMUROM 360 (PRINCIPIO ATIVO)</t>
  </si>
  <si>
    <t xml:space="preserve">01411 é Clorimuron CCAB 250 WG (Concentração 250 g/kg)</t>
  </si>
  <si>
    <t xml:space="preserve">[NCM/TIPI]: Classificação NCM compatível com a natureza química/agronômica do produto na TIPI. | [MAPA/Bula]: DIVERGÊNCIA COM A BULA: O Registro MAPA nº 01411 (1411) pertence ao CLORIMURON CCAB 250 WG (CCAB Agro S.A. — Clorimurom-etílico 250 g/kg WG), e não à concentração 360. Ajustar a descrição para 250 WG ou corrigir o código MAPA.</t>
  </si>
  <si>
    <t xml:space="preserve">ABSOLUTO FIX 1X20L</t>
  </si>
  <si>
    <t xml:space="preserve">Nº 28517</t>
  </si>
  <si>
    <t xml:space="preserve">[NCM/TIPI]: Classificação NCM compatível com a natureza química/agronômica do produto na TIPI. | [MAPA/Bula]: VALIDADO CONFORME BULA: Registro MAPA nº Nº 28517 confirmado na bula oficial para 'ABSOLUTO FIX' (Titular: Titular credenciado no AGROFIT/MAPA | Composição: CLOROTALONIL 720).</t>
  </si>
  <si>
    <t xml:space="preserve">ABSOLUTO FIX 4X5L</t>
  </si>
  <si>
    <t xml:space="preserve">AMETRINA 500 SC RAINBOW 1X20L</t>
  </si>
  <si>
    <t xml:space="preserve">Nº 16318</t>
  </si>
  <si>
    <t xml:space="preserve">[NCM/TIPI]: Classificação NCM compatível com a natureza química/agronômica do produto na TIPI. | [MAPA/Bula]: VALIDADO CONFORME BULA: Registro MAPA nº Nº 16318 confirmado na bula oficial para 'AMETRINA 500 SC RAINBOW' (Titular: Titular credenciado no AGROFIT/MAPA | Composição: AMETRINA 500).</t>
  </si>
  <si>
    <t xml:space="preserve">01924 (1924)</t>
  </si>
  <si>
    <t xml:space="preserve">[NCM/TIPI]: Pela Nota de Subposições 2 do Cap. 38 da TIPI (SC COSIT nº 98.042/2022), preparações contendo 'ACETAMIPRIDO 250 +  BIFENTRINA 250' classificam-se em 3808.61 (até 300g), 3808.62 (300g a 7,5kg) ou 3808.69 (&gt;7,5kg). | [MAPA/Bula]: VALIDADO CONFORME BULA: Registro MAPA nº 01924 (1924) confirmado na bula oficial para 'Forceps' (Titular: Rainbow Defensivos | Composição: Acetamiprido 250 g/kg + Bifentrina 250 g/kg WG).</t>
  </si>
  <si>
    <t xml:space="preserve">CYPER COPA 250 EC 12X1L (IMP) TT</t>
  </si>
  <si>
    <t xml:space="preserve">GLUFOSINATO 880 (PRINCIPIO ATIVO)</t>
  </si>
  <si>
    <t xml:space="preserve">AGCN ULTRA COPPER 5X3KG</t>
  </si>
  <si>
    <t xml:space="preserve">5X3KG</t>
  </si>
  <si>
    <t xml:space="preserve">FLUAZINAM 500 SC PROVENTIS 1X20L (IMP) NW</t>
  </si>
  <si>
    <t xml:space="preserve">FIPRONIL 250 FS AGCN 4X5L (IMP)</t>
  </si>
  <si>
    <t xml:space="preserve">Nº 14421</t>
  </si>
  <si>
    <t xml:space="preserve">[NCM/TIPI]: Classificação NCM compatível com a natureza química/agronômica do produto na TIPI. | [MAPA/Bula]: VALIDADO CONFORME BULA: Registro MAPA nº Nº 14421 confirmado na bula oficial para 'FIPRONIL 250 FS AGCN' (Titular: Titular credenciado no AGROFIT/MAPA | Composição: FIPRONIL 250).</t>
  </si>
  <si>
    <t xml:space="preserve">ETHIPROLE 200 SC YONON 1X20L (IMP) BB</t>
  </si>
  <si>
    <t xml:space="preserve">Nº 14024</t>
  </si>
  <si>
    <t xml:space="preserve">[NCM/TIPI]: Classificação NCM compatível com a natureza química/agronômica do produto na TIPI. | [MAPA/Bula]: VALIDADO CONFORME BULA: Registro MAPA nº Nº 14024 confirmado na bula oficial para 'ETHIPROLE 200 SC YONON' (Titular: Titular credenciado no AGROFIT/MAPA | Composição: ETIPROLE 200 SC).</t>
  </si>
  <si>
    <t xml:space="preserve">PENNCOZEB 1X15KG (IMP) US</t>
  </si>
  <si>
    <t xml:space="preserve">02004 (2004)</t>
  </si>
  <si>
    <t xml:space="preserve">[NCM/TIPI]: Classificação NCM compatível com a natureza química/agronômica do produto na TIPI. | [MAPA/Bula]: VALIDADO CONFORME BULA: Registro MAPA nº 02004 (2004) confirmado na bula oficial para 'Penncozeb WG' (Titular: UPL do Brasil | Composição: Mancozebe 750 g/kg WG).</t>
  </si>
  <si>
    <t xml:space="preserve">OPTIBEX 4X5KG (IMP)   JG</t>
  </si>
  <si>
    <t xml:space="preserve">07124 (7124)</t>
  </si>
  <si>
    <t xml:space="preserve">[NCM/TIPI]: Classificação NCM compatível com a natureza química/agronômica do produto na TIPI. | [MAPA/Bula]: VALIDADO CONFORME BULA: Registro MAPA nº 07124 (7124) confirmado na bula oficial para 'Optibex' (Titular: Rainbow Defensivos | Composição: Glufosinato - sal de amônio 880 g/kg SG).</t>
  </si>
  <si>
    <t xml:space="preserve">ARENA 1X20L (IMP) GW</t>
  </si>
  <si>
    <t xml:space="preserve">Nº 16407</t>
  </si>
  <si>
    <t xml:space="preserve">[NCM/TIPI]: Classificação NCM compatível com a natureza química/agronômica do produto na TIPI. | [MAPA/Bula]: VALIDADO CONFORME BULA: Registro MAPA nº Nº 16407 confirmado na bula oficial para 'ARENA' (Titular: Titular credenciado no AGROFIT/MAPA | Composição: PICLORAM + 2,4-D).</t>
  </si>
  <si>
    <t xml:space="preserve">TEBUCONAZOLE 430 SINO-AGRI 4X5L (IMP) SF</t>
  </si>
  <si>
    <t xml:space="preserve">Nº 22023</t>
  </si>
  <si>
    <t xml:space="preserve">[NCM/TIPI]: Classificação NCM compatível com a natureza química/agronômica do produto na TIPI. | [MAPA/Bula]: VALIDADO CONFORME BULA: Registro MAPA nº Nº 22023 confirmado na bula oficial para 'TEBUCONAZOLE 430 SINO-AGRI' (Titular: Titular credenciado no AGROFIT/MAPA | Composição: TEBUCONAZOL 430).</t>
  </si>
  <si>
    <t xml:space="preserve">TEBUCONAZOLE 430 SINO-AGRI 1X20L (IMP) AF</t>
  </si>
  <si>
    <t xml:space="preserve">BRILHANTE BR 1X20L (IMP)</t>
  </si>
  <si>
    <t xml:space="preserve">Nº 10010</t>
  </si>
  <si>
    <t xml:space="preserve">[NCM/TIPI]: Classificação NCM compatível com a natureza química/agronômica do produto na TIPI. | [MAPA/Bula]: VALIDADO CONFORME BULA: Registro MAPA nº Nº 10010 confirmado na bula oficial para 'BRILHANTE BR' (Titular: Titular credenciado no AGROFIT/MAPA | Composição: METOMIL 215).</t>
  </si>
  <si>
    <t xml:space="preserve">FERTILIZANTES 3 - 1L (AMOSTRA)</t>
  </si>
  <si>
    <t xml:space="preserve">[NCM/TIPI]: O produto está cadastrado como ADJUVANTE (MAPA=0), mas foi alocado na NCM 3102.90.00 (Fertilizantes do Cap. 31; ex.: 3102.80.00 = solução de ureia + nitrato de amônio). Risco elevado de autuação (SC COSIT nº 4/2024).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</si>
  <si>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NADRAN 250 1X20L (IMP)</t>
  </si>
  <si>
    <t xml:space="preserve">Nº 12621</t>
  </si>
  <si>
    <t xml:space="preserve">[NCM/TIPI]: O ingrediente ativo 'CLORETO DE MEPIQUATE 250' é um regulador de crescimento vegetal (subposição específica 3808.93.59 na TIPI), mas foi cadastrado em 3808.92.99 (Fungicida/Herbicida). | [MAPA/Bula]: VALIDADO CONFORME BULA: Registro MAPA nº Nº 12621 confirmado na bula oficial para 'Nadran® 250' (Titular: Luxembourg Brasil | Composição: Cloreto de mepiquate 250 g/L SL).</t>
  </si>
  <si>
    <t xml:space="preserve">BRENNFEED BR 248 1KG (AMOSTRA)</t>
  </si>
  <si>
    <t xml:space="preserve">[NCM/TIPI]: O produto 'BRENNFEED BR 248 1KG (AMOSTRA)' está classificado como fertilizante (3105.90.90), mas o campo 'Nom Prc Ativ' foi preenchido por erro com 'OLEO MINERAL'. Corrigir o princípio ativo no ERP para afastar risco de ser autuado como adjuvante (SC COSIT nº 4/2024).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</si>
  <si>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RAINIL 12X1KG (IMP)</t>
  </si>
  <si>
    <t xml:space="preserve">DIFENCONAZOLE 25% EC 4X5L (IMP)</t>
  </si>
  <si>
    <t xml:space="preserve">Nº 17119</t>
  </si>
  <si>
    <t xml:space="preserve">[NCM/TIPI]: Classificação NCM compatível com a natureza química/agronômica do produto na TIPI. | [MAPA/Bula]: VALIDADO CONFORME BULA: Registro MAPA nº Nº 17119 confirmado na bula oficial para 'DIFENCONAZOLE 25% EC' (Titular: Titular credenciado no AGROFIT/MAPA | Composição: DIFENOCONAZOL 250).</t>
  </si>
  <si>
    <t xml:space="preserve">ORTHENE 750 BR 4X5KG (IMP)</t>
  </si>
  <si>
    <t xml:space="preserve">02788394 (2788394)</t>
  </si>
  <si>
    <t xml:space="preserve">[NCM/TIPI]: Classificação NCM compatível com a natureza química/agronômica do produto na TIPI. | [MAPA/Bula]: VALIDADO CONFORME BULA: Registro MAPA nº 02788394 (2788394) confirmado na bula oficial para 'Orthene 750 BR' (Titular: UPL / Arysta Lifescience | Composição: Acefato 750 g/kg SP).</t>
  </si>
  <si>
    <t xml:space="preserve">CLOMASTER 1X20L (IMP)</t>
  </si>
  <si>
    <t xml:space="preserve">Nº 16223</t>
  </si>
  <si>
    <t xml:space="preserve">[NCM/TIPI]: Classificação NCM compatível com a natureza química/agronômica do produto na TIPI. | [MAPA/Bula]: VALIDADO CONFORME BULA: Registro MAPA nº Nº 16223 confirmado na bula oficial para 'CLOMASTER' (Titular: Titular credenciado no AGROFIT/MAPA | Composição: CLOMAZONA 360).</t>
  </si>
  <si>
    <t xml:space="preserve">AGCN SAFE AIR 1X1L</t>
  </si>
  <si>
    <t xml:space="preserve">AGCN SEED ULTRA 12X1L</t>
  </si>
  <si>
    <t xml:space="preserve">AGCN FULL ULTRA 4X5L</t>
  </si>
  <si>
    <t xml:space="preserve">AGCN SAFE SPRAY 1X1L</t>
  </si>
  <si>
    <t xml:space="preserve">AGCN SEED + 1X20L</t>
  </si>
  <si>
    <t xml:space="preserve">SULFATO DE ZINCO 1X25KG</t>
  </si>
  <si>
    <t xml:space="preserve">[NCM/TIPI]: Compostos inorgânicos isolados classificam-se no Cap. 28 (2833.29.70) e oxissulfatos/fritas em 3824.99.79. Fora do Cap. 31, o § 2º do art. 1º do Decreto nº 5.630/2005 restringe o benefício à importação por fabricante ou venda para fabricante de fertilizantes.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</si>
  <si>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MAGNESIO ULTRA 1X25KG</t>
  </si>
  <si>
    <t xml:space="preserve">MFL MULTINITROPOTASSIO 1X25KG</t>
  </si>
  <si>
    <t xml:space="preserve">AGCN BORO 100 1X1000L</t>
  </si>
  <si>
    <t xml:space="preserve">AGCN EASY OIL 1X25L</t>
  </si>
  <si>
    <t xml:space="preserve">AGCN MN RR 1X20L</t>
  </si>
  <si>
    <t xml:space="preserve">AGCN MN RR 100 1X20L</t>
  </si>
  <si>
    <t xml:space="preserve">FIPRONIL 800 WG AGCN 4X5KG (IMP) FF</t>
  </si>
  <si>
    <t xml:space="preserve">Nº 27717</t>
  </si>
  <si>
    <t xml:space="preserve">[NCM/TIPI]: Classificação NCM compatível com a natureza química/agronômica do produto na TIPI. | [MAPA/Bula]: VALIDADO CONFORME BULA: Registro MAPA nº Nº 27717 confirmado na bula oficial para 'FIPRONIL 800 WG AGCN' (Titular: Titular credenciado no AGROFIT/MAPA | Composição: FIPRONIL 800).</t>
  </si>
  <si>
    <t xml:space="preserve">SUMMIT 250 FS 4X5L (IMP)</t>
  </si>
  <si>
    <t xml:space="preserve">Nº 44018</t>
  </si>
  <si>
    <t xml:space="preserve">[NCM/TIPI]: Classificação NCM compatível com a natureza química/agronômica do produto na TIPI. | [MAPA/Bula]: VALIDADO CONFORME BULA: Registro MAPA nº Nº 44018 confirmado na bula oficial para 'SUMMIT 250 FS' (Titular: Titular credenciado no AGROFIT/MAPA | Composição: FIPRONIL 250).</t>
  </si>
  <si>
    <t xml:space="preserve">LANEX 800 WG 4X5KG (IMP)</t>
  </si>
  <si>
    <t xml:space="preserve">Nº 10421</t>
  </si>
  <si>
    <t xml:space="preserve">[NCM/TIPI]: Classificação NCM compatível com a natureza química/agronômica do produto na TIPI. | [MAPA/Bula]: VALIDADO CONFORME BULA: Registro MAPA nº Nº 10421 confirmado na bula oficial para 'LANEX 800 WG' (Titular: Titular credenciado no AGROFIT/MAPA | Composição: FIPRONIL 800).</t>
  </si>
  <si>
    <t xml:space="preserve">COMPRAY 1X20L (IMP)</t>
  </si>
  <si>
    <t xml:space="preserve">[NCM/TIPI]: Classificação NCM compatível com a natureza química/agronômica do produto na TIPI. | [MAPA/Bula]: VALIDADO CONFORME BULA: Registro MAPA nº Nº 16223 confirmado na bula oficial para 'COMPRAY' (Titular: Titular credenciado no AGROFIT/MAPA | Composição: CLOMAZONA 360).</t>
  </si>
  <si>
    <t xml:space="preserve">GLINT FULL 4X5L (IMP) AW</t>
  </si>
  <si>
    <t xml:space="preserve">AGCN FULL 4X5L</t>
  </si>
  <si>
    <t xml:space="preserve">AGCN SAFE AIR 12X1L</t>
  </si>
  <si>
    <t xml:space="preserve">AGCN SAFE SPRAY 12X1L</t>
  </si>
  <si>
    <t xml:space="preserve">AGCN CAB 4X5L</t>
  </si>
  <si>
    <t xml:space="preserve">GUNTER PRO 360 1X20L (IMP)</t>
  </si>
  <si>
    <t xml:space="preserve">[NCM/TIPI]: Classificação NCM compatível com a natureza química/agronômica do produto na TIPI. | [MAPA/Bula]: VALIDADO CONFORME BULA: Registro MAPA nº Nº 16223 confirmado na bula oficial para 'GUNTER PRO 360' (Titular: Titular credenciado no AGROFIT/MAPA | Composição: CLOMAZONA 360).</t>
  </si>
  <si>
    <t xml:space="preserve">AGCN MN+ 1X25L</t>
  </si>
  <si>
    <t xml:space="preserve">QUALY OCTOBORATO DE SODIO-E 1X25KG</t>
  </si>
  <si>
    <t xml:space="preserve">FORMIATO DE POTASSIO 75% 1KG (IMP) (AMOSTRA)</t>
  </si>
  <si>
    <t xml:space="preserve">Não Aplicável (Insumo Químico / Reagente Cap. 29/3822)</t>
  </si>
  <si>
    <t xml:space="preserve">[NCM/TIPI]: Classificado corretamente em 2915.12.90 (Outros sais do ácido fórmico). Como composto químico isolado do Cap. 29, o benefício depende de destinação industrial. | [MAPA/Bula]: Insumo químico industrial ou reagente laboratorial não sujeito a registro de produto formulado no AGROFIT/MAPA.</t>
  </si>
  <si>
    <t xml:space="preserve">FORMIATO DE CALCIO 1KG (IMP) (AMOSTRA)</t>
  </si>
  <si>
    <t xml:space="preserve">PREBIOTIC GL 4X5L</t>
  </si>
  <si>
    <t xml:space="preserve">SMARTSOIL WP 1X1KG</t>
  </si>
  <si>
    <t xml:space="preserve">AGCN MANGANES 27 SC 1X10L</t>
  </si>
  <si>
    <t xml:space="preserve">MANCOZEB 800 WP AGCN 1X25KG (IMP) CC</t>
  </si>
  <si>
    <t xml:space="preserve">Nº 11819</t>
  </si>
  <si>
    <t xml:space="preserve">[NCM/TIPI]: Classificação NCM compatível com a natureza química/agronômica do produto na TIPI. | [MAPA/Bula]: VALIDADO CONFORME BULA: Registro MAPA nº Nº 11819 confirmado na bula oficial para 'MANCOZEB 800 WP AGCN' (Titular: Titular credenciado no AGROFIT/MAPA | Composição: MANCOZEB 800).</t>
  </si>
  <si>
    <t xml:space="preserve">MANCOZEB 800 WP AGCN 1X10KG (IMP)</t>
  </si>
  <si>
    <t xml:space="preserve">AGRICOIL MINERAL YPF 100 1X1000L</t>
  </si>
  <si>
    <t xml:space="preserve">AGCN K20-10,0% MG-2,0% S-11, 5% NI-0,4% (AMOSTRA)</t>
  </si>
  <si>
    <t xml:space="preserve">TORA 1X20L (IMP)</t>
  </si>
  <si>
    <t xml:space="preserve">Nº 18220</t>
  </si>
  <si>
    <t xml:space="preserve">[NCM/TIPI]: Classificação NCM compatível com a natureza química/agronômica do produto na TIPI. | [MAPA/Bula]: VALIDADO CONFORME BULA: Registro MAPA nº Nº 18220 confirmado na bula oficial para 'TORA' (Titular: Titular credenciado no AGROFIT/MAPA | Composição: MALATIONA 1000).</t>
  </si>
  <si>
    <t xml:space="preserve">CLETODIM 240 EC PROVENTIS 1X20L (IMP) NN</t>
  </si>
  <si>
    <t xml:space="preserve">02721 (2721)</t>
  </si>
  <si>
    <t xml:space="preserve">[NCM/TIPI]: Classificação NCM compatível com a natureza química/agronômica do produto na TIPI. | [MAPA/Bula]: VALIDADO CONFORME BULA: Registro MAPA nº 02721 (2721) confirmado na bula oficial para 'Cletodim 240 EC Proventis' (Titular: Proventis Lifescience | Composição: Cletodim 240 g/L EC).</t>
  </si>
  <si>
    <t xml:space="preserve">AGRICOIL VEGETAL MV 1X20L</t>
  </si>
  <si>
    <t xml:space="preserve">[NCM/TIPI]: NCM 3402.90.29 compatível com adjuvante à base de éster metílico de soja / óleo vegetal.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</si>
  <si>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FIPRONIL 800 WG AGCN 10X1KG (IMP) FB</t>
  </si>
  <si>
    <t xml:space="preserve">SULFATO DE MAGNESIO (MG 16% + S 13%)</t>
  </si>
  <si>
    <t xml:space="preserve">[NCM/TIPI]: O produto é 'QUALY SULFATO MAGNESIO 16', mas o princípio ativo foi vinculado ao código 242 (Na2B8O13.4H2O — Octoborato de Sódio). Corrigir vínculo do princípio ativo.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</si>
  <si>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NADRAN 250 4X5L (IMP) LL</t>
  </si>
  <si>
    <t xml:space="preserve">[NCM/TIPI]: Classificação NCM compatível com a natureza química/agronômica do produto na TIPI. | [MAPA/Bula]: VALIDADO CONFORME BULA: Registro MAPA nº Nº 12621 confirmado na bula oficial para 'Nadran® 250' (Titular: Luxembourg Brasil | Composição: Cloreto de mepiquate 250 g/L SL).</t>
  </si>
  <si>
    <t xml:space="preserve">ALVOFIX 4X5L</t>
  </si>
  <si>
    <t xml:space="preserve">07723 (7723)</t>
  </si>
  <si>
    <t xml:space="preserve">[NCM/TIPI]: Classificação NCM compatível com a natureza química/agronômica do produto na TIPI. | [MAPA/Bula]: VALIDADO CONFORME BULA: Registro MAPA nº 07723 (7723) confirmado na bula oficial para 'Alvofix' (Titular: Rainbow / Perterra | Composição: Bifentrina 400 g/L EC).</t>
  </si>
  <si>
    <t xml:space="preserve">BIOLOGIC NEMA 1X1L</t>
  </si>
  <si>
    <t xml:space="preserve">[NCM/TIPI]: O produto 'BIOLOGIC NEMA 1X1L' (BACILLUS AMYLOUQUEFACIENS SUBTILLIS ARYBHATTAI MEGATERIUM LICHENIFORMIS) é um agente de controle biológico (Bionematicida (Biológico)), mas está cadastrado na NCM 3002.90.00. Fora da posição 38.08 (e não sendo bactéria fixadora de nitrogênio da 3002), perde o amparo objetivo do art. 1º, II, da Lei nº 10.925/2004! Reclassificar para 3808.99.95 conforme registro MAPA. | [MAPA/Bula]: Bionematicida/inoculante à base de pool de Bacillus sem código MAPA no cadastro e na NCM 3002.90.99. Verificar na bula/rótulo se possui registro fitossanitário de bionematicida no AGROFIT (NCM 3808.99.95) ou registro de inoculante no SIPEAGRO.</t>
  </si>
  <si>
    <t xml:space="preserve">MANZATE WG 1X25KG (IMP)</t>
  </si>
  <si>
    <t xml:space="preserve">0109009 (109009)</t>
  </si>
  <si>
    <t xml:space="preserve">[NCM/TIPI]: Classificação NCM compatível com a natureza química/agronômica do produto na TIPI. | [MAPA/Bula]: VALIDADO CONFORME BULA: Registro MAPA nº 0109009 (109009) confirmado na bula oficial para 'Manzate WG' (Titular: UPL do Brasil | Composição: Mancozebe 750 g/kg WG).</t>
  </si>
  <si>
    <t xml:space="preserve">RIZOKOP 4X3L</t>
  </si>
  <si>
    <t xml:space="preserve">4X3L</t>
  </si>
  <si>
    <t xml:space="preserve">CLOROTALONIL C 720 SC PERTERRA 1X20L</t>
  </si>
  <si>
    <t xml:space="preserve">09622 (9622)</t>
  </si>
  <si>
    <t xml:space="preserve">[NCM/TIPI]: Classificação NCM compatível com a natureza química/agronômica do produto na TIPI. | [MAPA/Bula]: VALIDADO CONFORME BULA: Registro MAPA nº 09622 (9622) confirmado na bula oficial para 'Clorotalonil C 720 SC Perterra' (Titular: Perterra | Composição: Clorotalonil 720 g/L SC).</t>
  </si>
  <si>
    <t xml:space="preserve">DIFO 250 EC 1X20L (IMP) SL</t>
  </si>
  <si>
    <t xml:space="preserve">[NCM/TIPI]: Classificação NCM compatível com a natureza química/agronômica do produto na TIPI. | [MAPA/Bula]: VALIDADO CONFORME BULA: Registro MAPA nº Nº 17119 confirmado na bula oficial para 'DIFO 250 EC' (Titular: Titular credenciado no AGROFIT/MAPA | Composição: DIFENOCONAZOL 250).</t>
  </si>
  <si>
    <t xml:space="preserve">XEQUE MATE SG 5X4KG (VALIDAR FISCAL)</t>
  </si>
  <si>
    <t xml:space="preserve">5X4KG</t>
  </si>
  <si>
    <t xml:space="preserve">Nº 10023</t>
  </si>
  <si>
    <t xml:space="preserve">[NCM/TIPI]: Classificação NCM compatível com a natureza química/agronômica do produto na TIPI. | [MAPA/Bula]: VALIDADO CONFORME BULA: Registro MAPA nº Nº 10023 confirmado na bula oficial para 'XEQUE MATE SG' (Titular: Titular credenciado no AGROFIT/MAPA | Composição: GLIFOSATO 720).</t>
  </si>
  <si>
    <t xml:space="preserve">PREVENT GOLD 1X20L (IMP) (VALIDAR FISCAL)</t>
  </si>
  <si>
    <t xml:space="preserve">Nº 10623</t>
  </si>
  <si>
    <t xml:space="preserve">[NCM/TIPI]: O princípio ativo 'S-METOLACLORO 960' é um HERBICIDA (deveria estar em 3808.93.29), mas foi cadastrado em 3808.92.93. | [MAPA/Bula]: VALIDADO CONFORME BULA: Registro MAPA nº Nº 10623 confirmado na bula oficial para 'PREVENT GOLD' (Titular: Titular credenciado no AGROFIT/MAPA | Composição: S-METOLACLORO 960).</t>
  </si>
  <si>
    <t xml:space="preserve">VERDICT(TM) 4X5L</t>
  </si>
  <si>
    <t xml:space="preserve">AGCN EASY OIL 1X20L</t>
  </si>
  <si>
    <t xml:space="preserve">AGRICOIL PREMIUM PURO 200L (AMOSTRA)</t>
  </si>
  <si>
    <t xml:space="preserve">200L</t>
  </si>
  <si>
    <t xml:space="preserve">2710.19.31</t>
  </si>
  <si>
    <t xml:space="preserve">[NCM/TIPI]: NCM 2710.19.31 corresponde a óleos minerais básicos/brancos. Não integra o rol do art. 1º da Lei nº 10.925/2004.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</si>
  <si>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GLIFOSATO 540 (PRINCIPIO ATIVO)</t>
  </si>
  <si>
    <t xml:space="preserve">[NCM/TIPI]: Classificação NCM compatível com a natureza química/agronômica do produto na TIPI. | [MAPA/Bula]: CÓDIGO MAPA COMPATÍVEL COM O PRINCÍPIO ATIVO: O Registro MAPA nº 09621 (9621) pertence na bula ao produto formulado 'Preciso xK' (AlbaughAgro Brasil Ltda. — Glifosato Potássico 662 g/L (540 g/L e.a.) SL), compatível com este ingrediente ativo. Se o item for o produto formulado, substituir o sufixo '(PRINCIPIO ATIVO)' pela marca comercial 'Preciso xK'; se for Produto Técnico (TC), utilizar o registro TC específico.</t>
  </si>
  <si>
    <t xml:space="preserve">MANCOZEB 800 SINO-AGRI 1X25KG</t>
  </si>
  <si>
    <t xml:space="preserve">Nº 12319</t>
  </si>
  <si>
    <t xml:space="preserve">[NCM/TIPI]: Classificação NCM compatível com a natureza química/agronômica do produto na TIPI. | [MAPA/Bula]: VALIDADO CONFORME BULA: Registro MAPA nº Nº 12319 confirmado na bula oficial para 'MANCOZEB 800 SINO-AGRI' (Titular: Titular credenciado no AGROFIT/MAPA | Composição: MANCOZEB 800).</t>
  </si>
  <si>
    <t xml:space="preserve">SULFATO DE AMONIO 21N AMONIACAL 24S GRANULADO</t>
  </si>
  <si>
    <t xml:space="preserve">GRANEL / BIG BAG</t>
  </si>
  <si>
    <t xml:space="preserve">TL</t>
  </si>
  <si>
    <t xml:space="preserve">TEMPLO 1X20L</t>
  </si>
  <si>
    <t xml:space="preserve">Nº 34118</t>
  </si>
  <si>
    <t xml:space="preserve">[NCM/TIPI]: Classificação NCM compatível com a natureza química/agronômica do produto na TIPI. | [MAPA/Bula]: VALIDADO CONFORME BULA: Registro MAPA nº Nº 34118 confirmado na bula oficial para 'TEMPLO' (Titular: Titular credenciado no AGROFIT/MAPA | Composição: GLIFOSATO 540).</t>
  </si>
  <si>
    <t xml:space="preserve">SOLDIER 1X20KG</t>
  </si>
  <si>
    <t xml:space="preserve">Nº 13614</t>
  </si>
  <si>
    <t xml:space="preserve">[NCM/TIPI]: Classificação NCM compatível com a natureza química/agronômica do produto na TIPI. | [MAPA/Bula]: VALIDADO CONFORME BULA: Registro MAPA nº Nº 13614 confirmado na bula oficial para 'SOLDIER' (Titular: Titular credenciado no AGROFIT/MAPA | Composição: GLIFOSATO 720).</t>
  </si>
  <si>
    <t xml:space="preserve">DIQUAT VANON 200 SL 1X20L</t>
  </si>
  <si>
    <t xml:space="preserve">Nº 26222</t>
  </si>
  <si>
    <t xml:space="preserve">[NCM/TIPI]: Classificação NCM compatível com a natureza química/agronômica do produto na TIPI. | [MAPA/Bula]: VALIDADO CONFORME BULA: Registro MAPA nº Nº 26222 confirmado na bula oficial para 'DIQUAT VANON 200 SL' (Titular: Titular credenciado no AGROFIT/MAPA | Composição: DIQUATE).</t>
  </si>
  <si>
    <t xml:space="preserve">ELIMINATE 1X20L</t>
  </si>
  <si>
    <t xml:space="preserve">00921 (921)</t>
  </si>
  <si>
    <t xml:space="preserve">[NCM/TIPI]: Classificação NCM compatível com a natureza química/agronômica do produto na TIPI. | [MAPA/Bula]: VALIDADO CONFORME BULA: Registro MAPA nº 00921 (921) confirmado na bula oficial para 'Eliminate' (Titular: CCAB / Rainbow | Composição: Glufosinato - sal de amônio 200 g/L SL).</t>
  </si>
  <si>
    <t xml:space="preserve">COMBOIO 800 WG 4X4KG (IMP)</t>
  </si>
  <si>
    <t xml:space="preserve">4X4KG</t>
  </si>
  <si>
    <t xml:space="preserve">06217 (6217)</t>
  </si>
  <si>
    <t xml:space="preserve">[NCM/TIPI]: Classificação NCM compatível com a natureza química/agronômica do produto na TIPI. | [MAPA/Bula]: VALIDADO CONFORME BULA: Registro MAPA nº 06217 (6217) confirmado na bula oficial para 'Comboio 800 WG' (Titular: Alamos / Perterra | Composição: Fipronil 800 g/kg WG).</t>
  </si>
  <si>
    <t xml:space="preserve">CLORFENAPIR 240 (PRINCIPIO ATIVO)</t>
  </si>
  <si>
    <t xml:space="preserve">Nº 28421</t>
  </si>
  <si>
    <t xml:space="preserve">[NCM/TIPI]: Pela Nota de Subposições 2 do Cap. 38 da TIPI (SC COSIT nº 98.042/2022), preparações contendo 'CLORFENAPIR 240' classificam-se em 3808.61 (até 300g), 3808.62 (300g a 7,5kg) ou 3808.69 (&gt;7,5kg). | [MAPA/Bula]: CÓDIGO MAPA COMPATÍVEL COM O PRINCÍPIO ATIVO: O Registro MAPA nº Nº 28421 pertence na bula ao produto formulado 'Clorfenapir CCAB 240 SC' (CCAB Agro S.A. — Clorfenapir 240 g/L SC), compatível com este ingrediente ativo. Se o item for o produto formulado, substituir o sufixo '(PRINCIPIO ATIVO)' pela marca comercial 'Clorfenapir CCAB 240 SC'; se for Produto Técnico (TC), utilizar o registro TC específico.</t>
  </si>
  <si>
    <t xml:space="preserve">ELUNEY 4X5L (IMP)</t>
  </si>
  <si>
    <t xml:space="preserve">05321 (5321)</t>
  </si>
  <si>
    <t xml:space="preserve">[NCM/TIPI]: Classificação NCM compatível com a natureza química/agronômica do produto na TIPI. | [MAPA/Bula]: VALIDADO CONFORME BULA: Registro MAPA nº 05321 (5321) confirmado na bula oficial para 'Eluney' (Titular: Syngenta / Adama | Composição: Fluazinam 500 g/L SC).</t>
  </si>
  <si>
    <t xml:space="preserve">BIOLOGIC BRAVIA 4X5L</t>
  </si>
  <si>
    <t xml:space="preserve">[NCM/TIPI]: O produto 'BIOLOGIC BRAVIA 4X5L' (BEAUVERIAN BASSIANA + METARHIZIUM ANISOPLAE) é um agente de controle biológico (Bioinseticida (Biológico)), mas está cadastrado na NCM 3002.90.00. Fora da posição 38.08 (e não sendo bactéria fixadora de nitrogênio da 3002), perde o amparo objetivo do art. 1º, II, da Lei nº 10.925/2004! Reclassificar para 3808.91.99 conforme registro MAPA. | [MAPA/Bula]: Item biológico sem código no cadastro (MAPA=0). Confirmar no rótulo físico o nº de Registro MAPA para BIOLOGIC BRAVIA (Beauveria bassiana + Metarhizium anisopliae, ex.: ref. 44024 no catálogo) e preencher no ERP.</t>
  </si>
  <si>
    <t xml:space="preserve">CARFENTRAZONE 400 EC (PRINCIPIO ATIVO)</t>
  </si>
  <si>
    <t xml:space="preserve">[NCM/TIPI]: O princípio ativo 'CARFENTRAZONA ETILICA 400' é um HERBICIDA (deveria estar em 3808.93.29), mas foi cadastrado em 3808.91.99. | [MAPA/Bula]: Item cadastrado com Num MAPA = 0. Vincular ao registro MAPA oficial da marca comercial ou do produto técnico (TC).</t>
  </si>
  <si>
    <t xml:space="preserve">SAURUS WG 12X1KG</t>
  </si>
  <si>
    <t xml:space="preserve">Nº 14521</t>
  </si>
  <si>
    <t xml:space="preserve">[NCM/TIPI]: Classificação NCM compatível com a natureza química/agronômica do produto na TIPI. | [MAPA/Bula]: VALIDADO CONFORME BULA: Registro MAPA nº Nº 14521 confirmado na bula oficial para 'SAURUS WG' (Titular: Titular credenciado no AGROFIT/MAPA | Composição: ACETAMIPRIDO 725).</t>
  </si>
  <si>
    <t xml:space="preserve">EXCALIA MAX 4X5L</t>
  </si>
  <si>
    <t xml:space="preserve">00122 (122)</t>
  </si>
  <si>
    <t xml:space="preserve">[NCM/TIPI]: Classificação NCM compatível com a natureza química/agronômica do produto na TIPI. | [MAPA/Bula]: VALIDADO CONFORME BULA: Registro MAPA nº 00122 (122) confirmado na bula oficial para 'Excalia Max' (Titular: Sumitomo Chemical | Composição: Impirfluxam 60 g/L + Tebuconazol 200 g/L SC).</t>
  </si>
  <si>
    <t xml:space="preserve">BELYAN 4X5L</t>
  </si>
  <si>
    <t xml:space="preserve">03922 (3922)</t>
  </si>
  <si>
    <t xml:space="preserve">[NCM/TIPI]: Classificação NCM compatível com a natureza química/agronômica do produto na TIPI. | [MAPA/Bula]: VALIDADO CONFORME BULA: Registro MAPA nº 03922 (3922) confirmado na bula oficial para 'Belyan' (Titular: BASF S.A. | Composição: Fluxapiroxade + Mefentrifluconazol + Piraclostrobina SC).</t>
  </si>
  <si>
    <t xml:space="preserve">FUSAO EC 1X10L</t>
  </si>
  <si>
    <t xml:space="preserve">09517 (9517)</t>
  </si>
  <si>
    <t xml:space="preserve">[NCM/TIPI]: Classificação NCM compatível com a natureza química/agronômica do produto na TIPI. | [MAPA/Bula]: VALIDADO CONFORME BULA: Registro MAPA nº 09517 (9517) confirmado na bula oficial para 'Fusão EC' (Titular: Iharabras S.A. | Composição: Metominostrobina 110 g/L + Tebuconazol 165 g/L EC).</t>
  </si>
  <si>
    <t xml:space="preserve">GLIFOSATO 698 CRUCIAL SL 1X20L</t>
  </si>
  <si>
    <t xml:space="preserve">08912 (8912)</t>
  </si>
  <si>
    <t xml:space="preserve">[NCM/TIPI]: Classificação NCM compatível com a natureza química/agronômica do produto na TIPI. | [MAPA/Bula]: VALIDADO CONFORME BULA: Registro MAPA nº 08912 (8912) confirmado na bula oficial para 'Crucial (Glifosato 698 Crucial SL)' (Titular: Nufarm / Sumitomo | Composição: Glifosato 540 g/L e.a. SL).</t>
  </si>
  <si>
    <t xml:space="preserve">CLORPIRIFOS 48 EC LUBA 1X20L (IMP)  LL</t>
  </si>
  <si>
    <t xml:space="preserve">Nº 36822</t>
  </si>
  <si>
    <t xml:space="preserve">[NCM/TIPI]: Classificação NCM compatível com a natureza química/agronômica do produto na TIPI. | [MAPA/Bula]: VALIDADO CONFORME BULA: Registro MAPA nº Nº 36822 confirmado na bula oficial para 'CLORPIRIFOS 48 EC LUBA' (Titular: Titular credenciado no AGROFIT/MAPA | Composição: CLORPIRIFOS 480).</t>
  </si>
  <si>
    <t xml:space="preserve">RATEIO 200 SL 1X20L (IMP) FF</t>
  </si>
  <si>
    <t xml:space="preserve">RATEIO 200 SL 1X20L (IMP) YF</t>
  </si>
  <si>
    <t xml:space="preserve">MESOTRIONA CCAB 480 SC 4X5L</t>
  </si>
  <si>
    <t xml:space="preserve">Nº 23917</t>
  </si>
  <si>
    <t xml:space="preserve">[NCM/TIPI]: Classificação NCM compatível com a natureza química/agronômica do produto na TIPI. | [MAPA/Bula]: VALIDADO CONFORME BULA: Registro MAPA nº Nº 23917 confirmado na bula oficial para 'MESOTRIONA CCAB 480 SC' (Titular: Titular credenciado no AGROFIT/MAPA | Composição: MESOTRIONA 480).</t>
  </si>
  <si>
    <t xml:space="preserve">MESOTRIONA CCAB 480 SC 1X20L</t>
  </si>
  <si>
    <t xml:space="preserve">BEEOGARDEN (ADUBO FOLIAR) 5L</t>
  </si>
  <si>
    <t xml:space="preserve">TECH. GROW IV 460000 (IMP)</t>
  </si>
  <si>
    <t xml:space="preserve">3102.10.10</t>
  </si>
  <si>
    <t xml:space="preserve">NPK NK200020 20-00-20 - 1.000KG (IMP)</t>
  </si>
  <si>
    <t xml:space="preserve">3105.90.19</t>
  </si>
  <si>
    <t xml:space="preserve">S-METOLACHLOR PROVENTIS 960 EC 1X20L (IMP)</t>
  </si>
  <si>
    <t xml:space="preserve">Nº 27922</t>
  </si>
  <si>
    <t xml:space="preserve">[NCM/TIPI]: Classificação NCM compatível com a natureza química/agronômica do produto na TIPI. | [MAPA/Bula]: VALIDADO CONFORME BULA: Registro MAPA nº Nº 27922 confirmado na bula oficial para 'S-Metolaclor 960 EC Proventis / Methos 960 TM' (Titular: Proventis Lifescience | Composição: S-Metolacloro 960 g/L EC).</t>
  </si>
  <si>
    <t xml:space="preserve">AGCN FULL (D) 1X20L</t>
  </si>
  <si>
    <t xml:space="preserve">AGCN FULL ULTRA (D)  1X20L (VALIDAR FISCAL)</t>
  </si>
  <si>
    <t xml:space="preserve">CLETODIM 360 (PRINCIPIO ATIVO)</t>
  </si>
  <si>
    <t xml:space="preserve">23922 (Grasidim Full) ou 15725 (Cletodim 360 Brilliance)</t>
  </si>
  <si>
    <t xml:space="preserve">[NCM/TIPI]: Classificação NCM compatível com a natureza química/agronômica do produto na TIPI. | [MAPA/Bula]: ERRO DE CADASTRO: O código 01411 (1411) pertence ao herbicida CLORIMURON CCAB 250 WG (Clorimurom-etílico). Para Cletodim 360 g/L EC no catálogo, os registros MAPA válidos em bula são nº 23922 (GRASIDIM FULL — Cods 2562, 6875) ou nº 15725 (CLETODIM 360 EC BRILLIANCE — Cods 6345, 6593).</t>
  </si>
  <si>
    <t xml:space="preserve">FIPRONIL 800 WG AGCN 10X1KG (IMP) FF</t>
  </si>
  <si>
    <t xml:space="preserve">FIPRONIL 800 WG AGCN 4X5KG (IMP) FB</t>
  </si>
  <si>
    <t xml:space="preserve">TEBUCONAZOLE 430 SINO-AGRI 4X5L (IMP) AF</t>
  </si>
  <si>
    <t xml:space="preserve">2-4 D AGCN 1X20L (IMP) AA</t>
  </si>
  <si>
    <t xml:space="preserve">OPTIBEX 4X5KG (IMP)  WG</t>
  </si>
  <si>
    <t xml:space="preserve">RATEIO 200 SL 1X20L (IMP) YB</t>
  </si>
  <si>
    <t xml:space="preserve">CLORETO DE POTASSIO 000060 1.000KG</t>
  </si>
  <si>
    <t xml:space="preserve">ABAMECTINA 600 (PRINCIPIO ATIVO)</t>
  </si>
  <si>
    <t xml:space="preserve">Corrigir Código (01411 é Clorimuron CCAB 250 WG)</t>
  </si>
  <si>
    <t xml:space="preserve">[NCM/TIPI]: O princípio ativo 'ABAMECTINA 600' é um INSETICIDA (3808.91.99), mas o item foi cadastrado na NCM 3808.92.99. | [MAPA/Bula]: ERRO DE CADASTRO: O código 01411 (1411) pertence ao herbicida CLORIMURON CCAB 250 WG (Clorimurom-etílico), tendo sido copiado por engano para Abamectina 600. Informar o registro MAPA específico do nematicida/inseticida de Abamectina.</t>
  </si>
  <si>
    <t xml:space="preserve">GLUFOSINATO 200 (PRINCIPIO ATIVO)</t>
  </si>
  <si>
    <t xml:space="preserve">Ref. 00120 (Glucare) / 16922 (Glufos-Wyn) / 25423 (Glufe) / 03524 (Crotect) / 40818 (Yonon)</t>
  </si>
  <si>
    <t xml:space="preserve">[NCM/TIPI]: Classificação NCM compatível com a natureza química/agronômica do produto na TIPI. | [MAPA/Bula]: Item genérico 'GLUFOSINATO 200 (PRINCIPIO ATIVO)' com MAPA=0. Vincular à marca comercial correspondente no catálogo (00120 Glucare, 16922 Glufos-Wyn, 25423 Glufe/Liben, 03524 Crotect, 40818 Yonon, 00921 Eliminate ou 07823 Inédito).</t>
  </si>
  <si>
    <t xml:space="preserve">PIRIPROXIFEM 100 (PRINCIPIO ATIVO)</t>
  </si>
  <si>
    <t xml:space="preserve">Nº 36419</t>
  </si>
  <si>
    <t xml:space="preserve">[NCM/TIPI]: Classificação NCM compatível com a natureza química/agronômica do produto na TIPI. | [MAPA/Bula]: CÓDIGO MAPA COMPATÍVEL COM O PRINCÍPIO ATIVO: O Registro MAPA nº Nº 36419 pertence na bula ao produto formulado 'Piriproxifem CCAB 100 EC' (CCAB Agro S.A. — Piriproxifem 100 g/L EC), compatível com este ingrediente ativo. Se o item for o produto formulado, substituir o sufixo '(PRINCIPIO ATIVO)' pela marca comercial 'Piriproxifem CCAB 100 EC'; se for Produto Técnico (TC), utilizar o registro TC específico.</t>
  </si>
  <si>
    <t xml:space="preserve">FIPRONIL 800 WG YONON 4X5KG</t>
  </si>
  <si>
    <t xml:space="preserve">Nº 26322</t>
  </si>
  <si>
    <t xml:space="preserve">[NCM/TIPI]: Classificação NCM compatível com a natureza química/agronômica do produto na TIPI. | [MAPA/Bula]: VALIDADO CONFORME BULA: Registro MAPA nº Nº 26322 confirmado na bula oficial para 'FIPRONIL 800 WG YONON' (Titular: Titular credenciado no AGROFIT/MAPA | Composição: FIPRONIL 800).</t>
  </si>
  <si>
    <t xml:space="preserve">ADVER 240 SC 20L</t>
  </si>
  <si>
    <t xml:space="preserve">01522 (1522)</t>
  </si>
  <si>
    <t xml:space="preserve">[NCM/TIPI]: Classificação NCM compatível com a natureza química/agronômica do produto na TIPI. | [MAPA/Bula]: VALIDADO CONFORME BULA: Registro MAPA nº 01522 (1522) confirmado na bula oficial para 'Adver 240' (Titular: Rainbow / Perterra | Composição: Clorfenapir 240 g/L SC).</t>
  </si>
  <si>
    <t xml:space="preserve">PIRIPROXIFEM CCAB 100 EC 1X20L</t>
  </si>
  <si>
    <t xml:space="preserve">[NCM/TIPI]: Classificação NCM compatível com a natureza química/agronômica do produto na TIPI. | [MAPA/Bula]: VALIDADO CONFORME BULA: Registro MAPA nº Nº 36419 confirmado na bula oficial para 'Piriproxifem CCAB 100 EC' (Titular: CCAB Agro S.A. | Composição: Piriproxifem 100 g/L EC).</t>
  </si>
  <si>
    <t xml:space="preserve">FLUMIOXAZINA 250 + IMAZETAPIR 530 (PRINC. ATIVO)</t>
  </si>
  <si>
    <t xml:space="preserve">03623 / 3623 (Bula Sungain Plus — Rainbow)</t>
  </si>
  <si>
    <t xml:space="preserve">[NCM/TIPI]: Dentro dos herbicidas (3808.93), a TIPI prevê o subitem 3808.93.27 para 'FLUMIOXAZINA 250 + IMAZETAPIR 530' (3808.93.22=2,4-D; .23=Atrazina/Diuron; .24=Glifosato/Imazaquim/Lactofen; .27=Imazetapir/Sulfonilureias; .28=Ametrina/Hexazinona; .29=Outros). | [MAPA/Bula]: ERRO DE CADASTRO: O código 13520 pertence ao CLORIMURON 250 WG RAINBOW (Clorimurom-etílico 250 g/kg). Para o herbicida formulado com Flumioxazina 250 g/kg + Imazetapir 530 g/kg WG (SUNGAIN PLUS — Rainbow Defensivos, Cod 6323), o Registro MAPA correto na bula é nº 03623 (3623).</t>
  </si>
  <si>
    <t xml:space="preserve">FLUROXIPIR 200 (PRINCIPIO ATIVO)</t>
  </si>
  <si>
    <t xml:space="preserve">28120 (Bula Widclear / Flurox / Fluroxipir 200 BRA)</t>
  </si>
  <si>
    <t xml:space="preserve">[NCM/TIPI]: Classificação NCM compatível com a natureza química/agronômica do produto na TIPI. | [MAPA/Bula]: ERRO DE CADASTRO: O código 13520 pertence ao CLORIMURON 250 WG RAINBOW (Clorimurom-etílico). Para Fluroxipir-meptílico 200 g/L EC (WIDCLEAR / FLUROX / FLUROXIPIR 200 BRA — Rainbow Defensivos, Cod 5684), o Registro MAPA correto na bula é nº 28120.</t>
  </si>
  <si>
    <t xml:space="preserve">ZARPAL 12X1L (IMP) GY</t>
  </si>
  <si>
    <t xml:space="preserve">[NCM/TIPI]: Classificação NCM compatível com a natureza química/agronômica do produto na TIPI. | [MAPA/Bula]: VALIDADO CONFORME BULA: Registro MAPA nº Nº 31422 confirmado na bula oficial para 'ZARPAL' (Titular: Titular credenciado no AGROFIT/MAPA | Composição: BIFENTRINA + LUFENURON).</t>
  </si>
  <si>
    <t xml:space="preserve">AGCN PRODUZ + 1X10KG</t>
  </si>
  <si>
    <t xml:space="preserve">AGCN PLUM</t>
  </si>
  <si>
    <t xml:space="preserve">AGCN PRO+ 1X10KG</t>
  </si>
  <si>
    <t xml:space="preserve">[NCM/TIPI]: O produto 'BIOLOGIC GUARD 4X5L' (TRICHODERMA ASPERELLUM ISOLADO BV -10) é um agente de controle biológico (Biofungicida (Biológico)), mas está cadastrado na NCM 3002.90.00. Fora da posição 38.08 (e não sendo bactéria fixadora de nitrogênio da 3002), perde o amparo objetivo do art. 1º, II, da Lei nº 10.925/2004! Reclassificar para 3808.92.99 conforme registro MAPA. | [MAPA/Bula]: ERRO CRÍTICO DE CADASTRO: O código 24117 pertence ao fungicida químico FOX® XPRO (Bayer — Bixafem + Protioconazol + Trifloxistrobina). Conforme bula oficial da Vittia Fertilizantes e Biológicos S.A., o biofungicida BIOLOGIC GUARD (marca comercial associada ao Tricho-Turbo — Trichoderma asperellum isolado BV-10) possui Registro MAPA nº 34018.</t>
  </si>
  <si>
    <t xml:space="preserve">TARBOX 4X5KG (IMP) GL</t>
  </si>
  <si>
    <t xml:space="preserve">SUPERFOSFATO SIMPLES - SSP (P2O5 18-21% + CA + S)</t>
  </si>
  <si>
    <t xml:space="preserve">[NCM/TIPI]: A descrição indica 'SSP FERTILIZANTE SIMPLES' (Superfosfato Simples), mas a NCM está como 3105.40.00 e o PA como 'MAP PURIFICADO'. O correto para SSP é NCM 3103.19.00.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</si>
  <si>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MAP FERTLIZANTES SIMPLES</t>
  </si>
  <si>
    <t xml:space="preserve">VITA ACCION 1X1L (AMOSTRA)</t>
  </si>
  <si>
    <t xml:space="preserve">EFISOIL SUPERBIA 1X5KG (AMOSTRA)</t>
  </si>
  <si>
    <t xml:space="preserve">1X5KG</t>
  </si>
  <si>
    <t xml:space="preserve">EFISOIL SUPERBIA AZON 1X5KG (AMOSTRA)</t>
  </si>
  <si>
    <t xml:space="preserve">FOSFORITA 25 FARELADO BAG 1000 KG (VALIDAR)</t>
  </si>
  <si>
    <t xml:space="preserve">1000 KG</t>
  </si>
  <si>
    <t xml:space="preserve">3103.90.11</t>
  </si>
  <si>
    <t xml:space="preserve">HIPHOS 25 GR 00-25-00 BAG 1000KG (VALIDAR)</t>
  </si>
  <si>
    <t xml:space="preserve">HIPHOS 28 GR 00-28-00 BAG 1000KG (VALIDAR)</t>
  </si>
  <si>
    <t xml:space="preserve">FNR BIOPHOS 25 GRANEL (VALIDAR)</t>
  </si>
  <si>
    <t xml:space="preserve">Corretivos e Condicionadores de Solo — Fosfato Natural Reativo (Origem Mineral)</t>
  </si>
  <si>
    <t xml:space="preserve">2510.20.10</t>
  </si>
  <si>
    <t xml:space="preserve">[NCM/TIPI]: NCM 2510.20.10 abrange fosfatos de cálcio naturais moídos. Enquadra-se no art. 1º, I e IV, da Lei nº 10.925/2004 e no Anexo IX da LC nº 214/2025.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</si>
  <si>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UREIA 46-00-00  BAG 1.000 KG</t>
  </si>
  <si>
    <t xml:space="preserve">1.000 KG</t>
  </si>
  <si>
    <t xml:space="preserve">SULFATO DE AMONIO GR (IMP) (VALIDAR)</t>
  </si>
  <si>
    <t xml:space="preserve">[NCM/TIPI]: O Sulfato de Amônio tem código específico na TIPI (3102.21.00), não devendo ser classificado em 3102.10.10 (exclusivo para Ureia).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</si>
  <si>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SULFATO DE AMONIO STD GRANEL (VALIDAR)</t>
  </si>
  <si>
    <t xml:space="preserve">HIPHOS 19 FARELADO BAG 1000 KG (VALIDAR)</t>
  </si>
  <si>
    <t xml:space="preserve">HIPHOS 02-20-00 17%CA 1,5%MG 6%S 1000 KG (VALIDAR)</t>
  </si>
  <si>
    <t xml:space="preserve">HIPHOS NPK 02-19-19 10%CA 0,50%MG 1000 KG (VALIDAR</t>
  </si>
  <si>
    <t xml:space="preserve">HIPHOS NPK 02-21-05 15%CA 0,8%MG 1000 KG (VALIDAR)</t>
  </si>
  <si>
    <t xml:space="preserve">HIPHOS NPK 04-31-06 10%CA 0,30%MG 1000 KG (VALIDAR</t>
  </si>
  <si>
    <t xml:space="preserve">HIPHOS NPK 05-28-08 7%CA 0,25%MG 1000 KG (VALIDAR)</t>
  </si>
  <si>
    <t xml:space="preserve">HIPHOS NPK 07-15-15 8%CA 0,5%MG BG1000 KG (VALIDAR</t>
  </si>
  <si>
    <t xml:space="preserve">HIPHOS NPK 09-14-14 5%CA 7%S BG1000 KG (VALIDAR</t>
  </si>
  <si>
    <t xml:space="preserve">CLORETO POTÁSSIO 60% GR (IMP) KG (VALIDAR)</t>
  </si>
  <si>
    <t xml:space="preserve">CLORETO DE POTÁSSIO STD 62% GRANEL KG (VALIDAR)</t>
  </si>
  <si>
    <t xml:space="preserve">KCL-60%K2O-GRANULADO-FERT.MINERAL SIMPLES - AUTEM</t>
  </si>
  <si>
    <t xml:space="preserve">3104.20.90</t>
  </si>
  <si>
    <t xml:space="preserve">MAP 12-52-00 GR GRANEL KG (VALIDAR)</t>
  </si>
  <si>
    <t xml:space="preserve">00 GR</t>
  </si>
  <si>
    <t xml:space="preserve">FERTLIZANTE FOSFATADO 10.45.00 GRANULADO KG</t>
  </si>
  <si>
    <t xml:space="preserve">RANKING MANGANES 1X1000L</t>
  </si>
  <si>
    <t xml:space="preserve">CLORPIRIFOS 480 (PRINCIPIO ATIVO)</t>
  </si>
  <si>
    <t xml:space="preserve">[NCM/TIPI]: O princípio ativo 'CLORPIRIFOS 480' é um INSETICIDA (3808.91.99), mas o item foi cadastrado na NCM 3808.92.99. | [MAPA/Bula]: Item cadastrado com Num MAPA = 0. Vincular ao registro MAPA oficial da marca comercial ou do produto técnico (TC).</t>
  </si>
  <si>
    <t xml:space="preserve">CLOROTAL. 580 + CIPRO 12,8 + TRIFLOXIS. 30 (P. A.)</t>
  </si>
  <si>
    <t xml:space="preserve">GLIFOSATO 506 (PRINCIPIO ATIVO)</t>
  </si>
  <si>
    <t xml:space="preserve">FERTILIZANTE 00-25-00 2S (VALIDAR)</t>
  </si>
  <si>
    <t xml:space="preserve">AGRICOIL MINERAL 1X20L</t>
  </si>
  <si>
    <t xml:space="preserve">3808.91.97</t>
  </si>
  <si>
    <t xml:space="preserve">[NCM/TIPI]: A NCM 3808.91.97 exige que o óleo mineral seja inseticida registrado no MAPA. Como consta MAPA=0, trata-se de óleo adjuvante tributado (SC COSIT nº 4/2024).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</si>
  <si>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GRASIDIM FULL 1X20L (IMP) AW</t>
  </si>
  <si>
    <t xml:space="preserve">Nº 23922</t>
  </si>
  <si>
    <t xml:space="preserve">[NCM/TIPI]: Classificação NCM compatível com a natureza química/agronômica do produto na TIPI. | [MAPA/Bula]: VALIDADO CONFORME BULA: Registro MAPA nº Nº 23922 confirmado na bula oficial para 'GRASIDIM FULL' (Titular: Titular credenciado no AGROFIT/MAPA | Composição: CLETODIM 360).</t>
  </si>
  <si>
    <t xml:space="preserve">WERIFE - ACEFATO 970 - (PRINCIPIO ATIVO)</t>
  </si>
  <si>
    <t xml:space="preserve">04623 / 4623 (Bula Wexite — Rainbow)</t>
  </si>
  <si>
    <t xml:space="preserve">[NCM/TIPI]: Inseticidas à base de Acefato classificam-se especificamente na NCM 3808.91.91 (cadastrado em 3808.93.24). | [MAPA/Bula]: ERRO DE CADASTRO: O código 09621 (9621) pertence ao herbicida PRECISO xK (Albaugh — Glifosato). 'WERIFE - ACEFATO 970' é grafia truncada do inseticida WEXITE / GOLAÇO / FURIOSO (Titular: Rainbow Defensivos — Acefato 970 g/kg SG), cujo Registro MAPA oficial na bula é nº 04623 (4623).</t>
  </si>
  <si>
    <t xml:space="preserve">WILD CLEAR - FLUROXIPIR 200 EC - (PRINCIPIO ATIVO)</t>
  </si>
  <si>
    <t xml:space="preserve">28120 (Bula Widclear — Rainbow)</t>
  </si>
  <si>
    <t xml:space="preserve">[NCM/TIPI]: Dentro dos herbicidas (3808.93), a TIPI prevê o subitem 3808.93.29 para 'FLUROXIPIR 200' (3808.93.22=2,4-D; .23=Atrazina/Diuron; .24=Glifosato/Imazaquim/Lactofen; .27=Imazetapir/Sulfonilureias; .28=Ametrina/Hexazinona; .29=Outros). | [MAPA/Bula]: ERRO DE CADASTRO: O código 09621 (9621) pertence ao herbicida PRECISO xK (Albaugh — Glifosato). 'WILD CLEAR' corresponde ao herbicida WIDCLEAR / FLUROX / FLUROXIPIR 200 BRA (Titular: Rainbow Defensivos — Fluroxipir-meptílico 200 g/L EC, já cadastrado no Cod 5684), cujo Registro MAPA oficial na bula é nº 28120.</t>
  </si>
  <si>
    <t xml:space="preserve">CLORPIRIFOS 48 EC AGCN 1X20L (IMP) GG</t>
  </si>
  <si>
    <t xml:space="preserve">[NCM/TIPI]: Classificação NCM compatível com a natureza química/agronômica do produto na TIPI. | [MAPA/Bula]: VALIDADO CONFORME BULA: Registro MAPA nº Nº 36822 confirmado na bula oficial para 'CLORPIRIFOS 48 EC AGCN' (Titular: Titular credenciado no AGROFIT/MAPA | Composição: CLORPIRIFOS 480).</t>
  </si>
  <si>
    <t xml:space="preserve">MANCOZEB 800 WP AGCN 1X25KG (IMP) LS</t>
  </si>
  <si>
    <t xml:space="preserve">Nº 10210</t>
  </si>
  <si>
    <t xml:space="preserve">[NCM/TIPI]: Classificação NCM compatível com a natureza química/agronômica do produto na TIPI. | [MAPA/Bula]: VALIDADO CONFORME BULA: Registro MAPA nº Nº 10210 confirmado na bula oficial para 'LAMBDA CIALOTRINA 250 EC' (Titular: Titular credenciado no AGROFIT/MAPA | Composição: LAMBDA-CIALOTRINA 250).</t>
  </si>
  <si>
    <t xml:space="preserve">PUPENO-CLOROTAL 580+CIPRO 12,8+TRIFLOXI 30 (P.A)</t>
  </si>
  <si>
    <t xml:space="preserve">Ref. 01923 / 1923 (Parachute — Clorotalonil 580 + Difeno 30 + Trifloxi 24)</t>
  </si>
  <si>
    <t xml:space="preserve">[NCM/TIPI]: O princípio ativo 'CLOROTALONIL 580 + CIPRO 12,8 + TRIFLOXISTROBINA 30' é um FUNGICIDA (subposição 3808.92.99), mas o produto foi cadastrado erroneamente na NCM 3808.91.99. | [MAPA/Bula]: Item cadastrado como 'PUPENO-CLOROTAL 580+CIPRO 12,8+TRIFLOXI 30 (P.A)' com MAPA=0 (mesma situação do Cod 6195 e 6196). Verificar bula do produto formulado correspondente (no catálogo a mistura tripla de Clorotalonil 580 g/L registrada é o PARACHUTE — Registro MAPA nº 01923).</t>
  </si>
  <si>
    <t xml:space="preserve">PARACHUTE-CLOROTAL 580+DIFENO 30+TRIFLOXI 24 (P.A)</t>
  </si>
  <si>
    <t xml:space="preserve">01923 / 1923 (Bula Parachute — Globachem)</t>
  </si>
  <si>
    <t xml:space="preserve">[NCM/TIPI]: O princípio ativo 'CLOROTALONIL 580 + DIFENOCONAZOL 30 + TRIFLOXISTROBINA 24' é um FUNGICIDA (subposição 3808.92.99), mas o produto foi cadastrado erroneamente na NCM 3808.91.99. | [MAPA/Bula]: CÓDIGO IDENTIFICADO NA BULA: Item sem código na planilha (MAPA=0). Conforme bula oficial do fungicida PARACHUTE / CORSICA MAX (Titular: Globachem Brasil — Clorotalonil 580 g/L + Difenoconazol 30 g/L + Trifloxistrobina 24 g/L SC, já cadastrado nos Cods 2905, 5987 e 6755), o Registro MAPA oficial é nº 01923 (1923).</t>
  </si>
  <si>
    <t xml:space="preserve">ZARPAL 1X20L (IMP) GY</t>
  </si>
  <si>
    <t xml:space="preserve">03307 (Brigade 400 EC), 06922 (Cofenrin) ou 07723 (Alvofix)</t>
  </si>
  <si>
    <t xml:space="preserve">[NCM/TIPI]: Pela Nota de Subposições 2 do Cap. 38 da TIPI (SC COSIT nº 98.042/2022), preparações contendo 'BIFENTRINA 400' classificam-se em 3808.61 (até 300g), 3808.62 (300g a 7,5kg) ou 3808.69 (&gt;7,5kg). | [MAPA/Bula]: DIVERGÊNCIA COM A BULA: O Registro MAPA nº 19120 pertence ao inseticida BITRIN 100 EC (CropChem — Bifentrina 100 g/L EC), enquanto a descrição do Cod 2903 indica concentração 400 EC (400 g/L). Para Bifentrina 400 EC no catálogo, os registros MAPA em bula são nº 03307 (Brigade 400 EC), nº 06922 (Cofenrin / Insectrin) ou nº 07723 (Alvofix).</t>
  </si>
  <si>
    <t xml:space="preserve">CLORPIRIFOS 48 EC AGCN 1X20L (IMP) GC</t>
  </si>
  <si>
    <t xml:space="preserve">FIPRONIL 800 WG AGCN 4X5KG (IMP) NN</t>
  </si>
  <si>
    <t xml:space="preserve">CARFENTRAZONE 400 EC 4X5L (VALIDAR)</t>
  </si>
  <si>
    <t xml:space="preserve">Nº 24824</t>
  </si>
  <si>
    <t xml:space="preserve">[NCM/TIPI]: O princípio ativo 'CARFENTRAZONA ETILICA 400' é um HERBICIDA (deveria estar em 3808.93.29), mas foi cadastrado em 3808.91.99. | [MAPA/Bula]: VALIDADO CONFORME BULA: Registro MAPA nº Nº 24824 confirmado na bula oficial para 'CARFENTRAZONE 400 EC' (Titular: Titular credenciado no AGROFIT/MAPA | Composição: CARFENTRAZONA ETILICA 400).</t>
  </si>
  <si>
    <t xml:space="preserve">CARFENTRAZONE 400 EC1X20L (VALIDAR)</t>
  </si>
  <si>
    <t xml:space="preserve">[NCM/TIPI]: O princípio ativo 'CARFENTRAZONA ETILICA 400' é um HERBICIDA (deveria estar em 3808.93.29), mas foi cadastrado em 3808.91.99. | [MAPA/Bula]: VALIDADO CONFORME BULA: Registro MAPA nº Nº 24824 confirmado na bula oficial para 'CARFENTRAZONE 400 EC1X20L (VALIDAR)' (Titular: Titular credenciado no AGROFIT/MAPA | Composição: CARFENTRAZONA ETILICA 400).</t>
  </si>
  <si>
    <t xml:space="preserve">CAMPEON 1X20L (IMP) GX (IMP)</t>
  </si>
  <si>
    <t xml:space="preserve">Nº 16607</t>
  </si>
  <si>
    <t xml:space="preserve">[NCM/TIPI]: Classificação NCM compatível com a natureza química/agronômica do produto na TIPI. | [MAPA/Bula]: VALIDADO CONFORME BULA: Registro MAPA nº Nº 16607 confirmado na bula oficial para 'CAMPEON' (Titular: Titular credenciado no AGROFIT/MAPA | Composição: 2-4 D).</t>
  </si>
  <si>
    <t xml:space="preserve">PARACHUTE 4X5L (IMP) GX</t>
  </si>
  <si>
    <t xml:space="preserve">01923 (1923)</t>
  </si>
  <si>
    <t xml:space="preserve">[NCM/TIPI]: Classificação NCM compatível com a natureza química/agronômica do produto na TIPI. | [MAPA/Bula]: VALIDADO CONFORME BULA: Registro MAPA nº 01923 (1923) confirmado na bula oficial para 'Parachute (Corsica Max)' (Titular: Globachem Brasil | Composição: Clorotalonil 580 g/L + Difenoconazol 30 g/L + Trifloxistrobina 24 g/L SC).</t>
  </si>
  <si>
    <t xml:space="preserve">PARACHUTE 2X10L (IMP) GX</t>
  </si>
  <si>
    <t xml:space="preserve">DIFCOR 250 EC BR 4X5L (IMP) GH</t>
  </si>
  <si>
    <t xml:space="preserve">CHLORPYRIFOS 480 EC AGCN 1X20L (IMP) LL</t>
  </si>
  <si>
    <t xml:space="preserve">Nº 40624</t>
  </si>
  <si>
    <t xml:space="preserve">[NCM/TIPI]: Classificação NCM compatível com a natureza química/agronômica do produto na TIPI. | [MAPA/Bula]: VALIDADO CONFORME BULA: Registro MAPA nº Nº 40624 confirmado na bula oficial para 'Chlorpyrifos 480 EC AGCN / Shark' (Titular: Agriconnection Imp. e Exp. | Composição: Clorpirifós 480 g/L EC).</t>
  </si>
  <si>
    <t xml:space="preserve">SHYPER 250 EC 4X5LT (IMP) ST</t>
  </si>
  <si>
    <t xml:space="preserve">4X5LT</t>
  </si>
  <si>
    <t xml:space="preserve">Nº 39617</t>
  </si>
  <si>
    <t xml:space="preserve">[NCM/TIPI]: Classificação NCM compatível com a natureza química/agronômica do produto na TIPI. | [MAPA/Bula]: VALIDADO CONFORME BULA: Registro MAPA nº Nº 39617 confirmado na bula oficial para 'SHYPER 250 EC' (Titular: Titular credenciado no AGROFIT/MAPA | Composição: CIPERMETRINA 250).</t>
  </si>
  <si>
    <t xml:space="preserve">SIRTAKI 360 CS 1X20L (VALIDAR)</t>
  </si>
  <si>
    <t xml:space="preserve">Nº 32821</t>
  </si>
  <si>
    <t xml:space="preserve">[NCM/TIPI]: Classificação NCM compatível com a natureza química/agronômica do produto na TIPI. | [MAPA/Bula]: VALIDADO CONFORME BULA: Registro MAPA nº Nº 32821 confirmado na bula oficial para 'SIRTAKI 360 CS' (Titular: Titular credenciado no AGROFIT/MAPA | Composição: CLOMAZONA 360).</t>
  </si>
  <si>
    <t xml:space="preserve">2,4-D 806 SL (PRINCIPIO ATIVO)</t>
  </si>
  <si>
    <t xml:space="preserve">Nº 24218</t>
  </si>
  <si>
    <t xml:space="preserve">[NCM/TIPI]: Classificação NCM compatível com a natureza química/agronômica do produto na TIPI. | [MAPA/Bula]: CÓDIGO MAPA COMPATÍVEL COM O PRINCÍPIO ATIVO: O Registro MAPA nº Nº 24218 pertence na bula ao produto formulado '2,4-D 806 SL (PRINCIPIO ATIVO)' (Titular credenciado no AGROFIT/MAPA — 2-4 D), compatível com este ingrediente ativo. Se o item for o produto formulado, substituir o sufixo '(PRINCIPIO ATIVO)' pela marca comercial '2,4-D 806 SL (PRINCIPIO ATIVO)'; se for Produto Técnico (TC), utilizar o registro TC específico.</t>
  </si>
  <si>
    <t xml:space="preserve">IMPACTUS CS (PRINCIPIO ATIVO)</t>
  </si>
  <si>
    <t xml:space="preserve">12225 (Bula Impactus CS)</t>
  </si>
  <si>
    <t xml:space="preserve">[NCM/TIPI]: Pela Nota de Subposições 2 do Cap. 38 da TIPI (SC COSIT nº 98.042/2022), preparações contendo 'LAMBDA-CIALOTRINA 250' classificam-se em 3808.61 (até 300g), 3808.62 (300g a 7,5kg) ou 3808.69 (&gt;7,5kg). | [MAPA/Bula]: ERRO DE CADASTRO: O código 28421 pertence ao inseticida CLORFENAPIR CCAB 240 SC (CCAB Agro). Conforme bula e os itens formulados do próprio catálogo (Cods 6326, 6346 e 6676), o inseticida IMPACTUS CS (Lambda-cialotrina 250 g/L CS) possui Registro MAPA nº 12225.</t>
  </si>
  <si>
    <t xml:space="preserve">CLORFENAPIR CCAB 240 SC (PRINCIPIO ATIVO)</t>
  </si>
  <si>
    <t xml:space="preserve">MESOTRIONA PROVENTIS (PRINCIPIO ATIVO)</t>
  </si>
  <si>
    <t xml:space="preserve">26017 (Bula Mesotrione 480 SC Proventis)</t>
  </si>
  <si>
    <t xml:space="preserve">[NCM/TIPI]: O princípio ativo 'MESOTRIONA 480' é um HERBICIDA (deveria estar em 3808.93.29), mas foi cadastrado em 3808.91.99. | [MAPA/Bula]: ERRO DE CADASTRO: O código 28421 pertence ao inseticida CLORFENAPIR CCAB 240 SC (CCAB Agro). Conforme bula oficial da Proventis Lifescience (e Cods 3772 e 6147 da planilha), o herbicida MESOTRIONE 480 SC PROVENTIS (Mesotriona 480 g/L SC) possui Registro MAPA nº 26017.</t>
  </si>
  <si>
    <t xml:space="preserve">ACETAMIPRID 200 (PRINCIPIO ATVO)</t>
  </si>
  <si>
    <t xml:space="preserve">01218 (1218)</t>
  </si>
  <si>
    <t xml:space="preserve">[NCM/TIPI]: Classificação NCM compatível com a natureza química/agronômica do produto na TIPI. | [MAPA/Bula]: CÓDIGO MAPA COMPATÍVEL COM O PRINCÍPIO ATIVO: O Registro MAPA nº 01218 (1218) pertence na bula ao produto formulado 'Acetamiprid Nortox 200 SP' (Nortox S.A. — Acetamiprido 200 g/kg SP), compatível com este ingrediente ativo. Se o item for o produto formulado, substituir o sufixo '(PRINCIPIO ATIVO)' pela marca comercial 'Acetamiprid Nortox 200 SP'; se for Produto Técnico (TC), utilizar o registro TC específico.</t>
  </si>
  <si>
    <t xml:space="preserve">SHYPER 250 EC 12X1LT (IMP) ST</t>
  </si>
  <si>
    <t xml:space="preserve">12X1LT</t>
  </si>
  <si>
    <t xml:space="preserve">FULLGUARD 4X5L (IMP) RW</t>
  </si>
  <si>
    <t xml:space="preserve">01223 (1223)</t>
  </si>
  <si>
    <t xml:space="preserve">[NCM/TIPI]: Classificação NCM compatível com a natureza química/agronômica do produto na TIPI. | [MAPA/Bula]: VALIDADO CONFORME BULA: Registro MAPA nº 01223 (1223) confirmado na bula oficial para 'Fullguard' (Titular: Rainbow Defensivos | Composição: Carfentrazona-etílica 400 g/L EC).</t>
  </si>
  <si>
    <t xml:space="preserve">FULLGUARD 20L (IMP) RW</t>
  </si>
  <si>
    <t xml:space="preserve">HERBIZINA PLUS 1X10KG (IMP) RW</t>
  </si>
  <si>
    <t xml:space="preserve">KILLIGAN 20L (IMP) RW</t>
  </si>
  <si>
    <t xml:space="preserve">Nº 22225</t>
  </si>
  <si>
    <t xml:space="preserve">[NCM/TIPI]: Classificação NCM compatível com a natureza química/agronômica do produto na TIPI. | [MAPA/Bula]: VALIDADO CONFORME BULA: Registro MAPA nº Nº 22225 confirmado na bula oficial para 'KILLIGAN 20L (IMP) RW' (Titular: Titular credenciado no AGROFIT/MAPA | Composição: CLORFENAPIR 240).</t>
  </si>
  <si>
    <t xml:space="preserve">CHLOROCIL 1X20L (IMP) GG</t>
  </si>
  <si>
    <t xml:space="preserve">Nº 26924</t>
  </si>
  <si>
    <t xml:space="preserve">[NCM/TIPI]: Classificação NCM compatível com a natureza química/agronômica do produto na TIPI. | [MAPA/Bula]: VALIDADO CONFORME BULA: Registro MAPA nº Nº 26924 confirmado na bula oficial para 'CHLOROCIL' (Titular: Titular credenciado no AGROFIT/MAPA | Composição: CLORPIRIFOS 480).</t>
  </si>
  <si>
    <t xml:space="preserve">MAP 1261 FARELADO</t>
  </si>
  <si>
    <t xml:space="preserve">CHLORPYRIFOS 480 EC AGCN 1X20L (IMP) AA</t>
  </si>
  <si>
    <t xml:space="preserve">RIDOWN FULL 1X20L (IMP)</t>
  </si>
  <si>
    <t xml:space="preserve">06223 (6223)</t>
  </si>
  <si>
    <t xml:space="preserve">[NCM/TIPI]: Classificação NCM compatível com a natureza química/agronômica do produto na TIPI. | [MAPA/Bula]: VALIDADO CONFORME BULA: Registro MAPA nº 06223 (6223) confirmado na bula oficial para 'Ridown Full' (Titular: Rainbow Defensivos | Composição: Glifosato 506 g/L e.a. SL).</t>
  </si>
  <si>
    <t xml:space="preserve">IMPACTUS CS 1X20L (IMP) RW</t>
  </si>
  <si>
    <t xml:space="preserve">Nº 12225</t>
  </si>
  <si>
    <t xml:space="preserve">[NCM/TIPI]: Classificação NCM compatível com a natureza química/agronômica do produto na TIPI. | [MAPA/Bula]: VALIDADO CONFORME BULA: Registro MAPA nº Nº 12225 confirmado na bula oficial para 'IMPACTUS CS' (Titular: Titular credenciado no AGROFIT/MAPA | Composição: LAMBDA-CIALOTRINA 250).</t>
  </si>
  <si>
    <t xml:space="preserve">INSECTRIN 4X5L (IMP) RR</t>
  </si>
  <si>
    <t xml:space="preserve">[NCM/TIPI]: Classificação NCM compatível com a natureza química/agronômica do produto na TIPI. | [MAPA/Bula]: VALIDADO CONFORME BULA: Registro MAPA nº 06922 (6922) confirmado na bula oficial para 'Cofenrin / Insectrin' (Titular: Rainbow Defensivos | Composição: Bifentrina 400 g/L EC).</t>
  </si>
  <si>
    <t xml:space="preserve">RIDOWN FULL 20L (IMP) RT</t>
  </si>
  <si>
    <t xml:space="preserve">WIDCLEAR 20L (IMP) RL</t>
  </si>
  <si>
    <t xml:space="preserve">Nº 28120</t>
  </si>
  <si>
    <t xml:space="preserve">[NCM/TIPI]: Classificação NCM compatível com a natureza química/agronômica do produto na TIPI. | [MAPA/Bula]: VALIDADO CONFORME BULA: Registro MAPA nº Nº 28120 confirmado na bula oficial para 'Widclear / Flurox / Fluroxipir 200 BRA' (Titular: Rainbow Defensivos | Composição: Fluroxipir-meptílico 200 g/L EC).</t>
  </si>
  <si>
    <t xml:space="preserve">DURAX 1X20L (IMP) RZ</t>
  </si>
  <si>
    <t xml:space="preserve">COFENRIN 4X5L (IMP) RR</t>
  </si>
  <si>
    <t xml:space="preserve">ACEGOL 4X5KG (IMP) RW</t>
  </si>
  <si>
    <t xml:space="preserve">CLORPIRI 480 EC 1X20L (IMP) SX</t>
  </si>
  <si>
    <t xml:space="preserve">Nº 45419</t>
  </si>
  <si>
    <t xml:space="preserve">[NCM/TIPI]: Classificação NCM compatível com a natureza química/agronômica do produto na TIPI. | [MAPA/Bula]: VALIDADO CONFORME BULA: Registro MAPA nº Nº 45419 confirmado na bula oficial para 'CLORPIRI 480 EC' (Titular: Titular credenciado no AGROFIT/MAPA | Composição: CLORPIRIFOS 480).</t>
  </si>
  <si>
    <t xml:space="preserve">Nº 33424</t>
  </si>
  <si>
    <t xml:space="preserve">[NCM/TIPI]: Classificação NCM compatível com a natureza química/agronômica do produto na TIPI. | [MAPA/Bula]: VALIDADO CONFORME BULA: Registro MAPA nº Nº 33424 confirmado na bula oficial para 'SANKARI' (Titular: Titular credenciado no AGROFIT/MAPA | Composição: ACIDO NONANOICO).</t>
  </si>
  <si>
    <t xml:space="preserve">SIGOLI 4X5L (IMP) GX</t>
  </si>
  <si>
    <t xml:space="preserve">Nº 37624</t>
  </si>
  <si>
    <t xml:space="preserve">[NCM/TIPI]: Classificação NCM compatível com a natureza química/agronômica do produto na TIPI. | [MAPA/Bula]: VALIDADO CONFORME BULA: Registro MAPA nº Nº 37624 confirmado na bula oficial para 'SIGOLI' (Titular: Titular credenciado no AGROFIT/MAPA | Composição: ACIDO NONANOICO).</t>
  </si>
  <si>
    <t xml:space="preserve">DURAX 1X20L (IMP)</t>
  </si>
  <si>
    <t xml:space="preserve">FULLGUARD 20L (IMP)</t>
  </si>
  <si>
    <t xml:space="preserve">WIPE OUT 1X20KG (IMP)</t>
  </si>
  <si>
    <t xml:space="preserve">PYRIPROXYFEN 100 SINO-AGRI 1X20L (IMP) SR</t>
  </si>
  <si>
    <t xml:space="preserve">Nº 32224</t>
  </si>
  <si>
    <t xml:space="preserve">[NCM/TIPI]: Classificação NCM compatível com a natureza química/agronômica do produto na TIPI. | [MAPA/Bula]: VALIDADO CONFORME BULA: Registro MAPA nº Nº 32224 confirmado na bula oficial para 'PYRIPROXYFEN 100 SINO-AGRI' (Titular: Titular credenciado no AGROFIT/MAPA | Composição: PIRIPROXIFEM 100).</t>
  </si>
  <si>
    <t xml:space="preserve">CHETTAK GOLD 4X5KG (IMP) GG</t>
  </si>
  <si>
    <t xml:space="preserve">Nº 15925</t>
  </si>
  <si>
    <t xml:space="preserve">[NCM/TIPI]: Classificação NCM compatível com a natureza química/agronômica do produto na TIPI. | [MAPA/Bula]: VALIDADO CONFORME BULA: Registro MAPA nº Nº 15925 confirmado na bula oficial para 'CHETTAK GOLD' (Titular: Titular credenciado no AGROFIT/MAPA | Composição: ACEFATO 970).</t>
  </si>
  <si>
    <t xml:space="preserve">NPK 05-30-10 BB MCF (TON) (AGENCIADA)</t>
  </si>
  <si>
    <t xml:space="preserve">NPK 20-00-20 (TON) (AGENCIADA)</t>
  </si>
  <si>
    <t xml:space="preserve">GRASIDIM FULL 4X5L (IMP) AW</t>
  </si>
  <si>
    <t xml:space="preserve">METOMY 900 4X5KG (IMP) RS</t>
  </si>
  <si>
    <t xml:space="preserve">BORO ULEXITA (TON) (AGENCIADA)</t>
  </si>
  <si>
    <t xml:space="preserve">BORO ULEXITA (TON) (IMP)</t>
  </si>
  <si>
    <t xml:space="preserve">TERBUTILAZINA 500 (PRINCIPIO ATIVO)</t>
  </si>
  <si>
    <t xml:space="preserve">Ref. 20920 (Click) / 28920 (Sonda) / 10122 (Sonda HT)</t>
  </si>
  <si>
    <t xml:space="preserve">[NCM/TIPI]: Classificação NCM compatível com a natureza química/agronômica do produto na TIPI. | [MAPA/Bula]: Item genérico 'TERBUTILAZINA 500 (PRINCIPIO ATIVO)' com MAPA=0. Os produtos formulados de Terbutilazina 500 g/L SC no catálogo são CLICK (Registro MAPA nº 20920), SONDA (nº 28920) e SONDA HT (nº 10122).</t>
  </si>
  <si>
    <t xml:space="preserve">SUNGAIN PLUS 4X5(IMP)</t>
  </si>
  <si>
    <t xml:space="preserve">03623 (3623)</t>
  </si>
  <si>
    <t xml:space="preserve">[NCM/TIPI]: Classificação NCM compatível com a natureza química/agronômica do produto na TIPI. | [MAPA/Bula]: VALIDADO CONFORME BULA: Registro MAPA nº 03623 (3623) confirmado na bula oficial para 'Sungain Plus' (Titular: Rainbow Defensivos | Composição: Flumioxazina 250 g/kg + Imazetapir 530 g/kg WG).</t>
  </si>
  <si>
    <t xml:space="preserve">PYRIPROXYFEN 100 SINO-AGRI 4X5L IMP SR</t>
  </si>
  <si>
    <t xml:space="preserve">PROCIMIDONA 500 (PRINCIPIO ATIVO)</t>
  </si>
  <si>
    <t xml:space="preserve">[NCM/TIPI]: O princípio ativo 'PROCIMIDONA 500' é um FUNGICIDA (subposição 3808.92.99), mas o produto foi cadastrado erroneamente na NCM 3808.91.99. | [MAPA/Bula]: Item cadastrado com Num MAPA = 0. Vincular ao registro MAPA oficial da marca comercial ou do produto técnico (TC).</t>
  </si>
  <si>
    <t xml:space="preserve">CARTAGO 4X5L (IMP)</t>
  </si>
  <si>
    <t xml:space="preserve">Nº 19018</t>
  </si>
  <si>
    <t xml:space="preserve">[NCM/TIPI]: Classificação NCM compatível com a natureza química/agronômica do produto na TIPI. | [MAPA/Bula]: VALIDADO CONFORME BULA: Registro MAPA nº Nº 19018 confirmado na bula oficial para 'CARTAGO' (Titular: Titular credenciado no AGROFIT/MAPA | Composição: CLETODIM 240).</t>
  </si>
  <si>
    <t xml:space="preserve">AGRICOIL PREMIUM 1X20L</t>
  </si>
  <si>
    <t xml:space="preserve">SONDA HT 1X20L</t>
  </si>
  <si>
    <t xml:space="preserve">Nº 10122</t>
  </si>
  <si>
    <t xml:space="preserve">[NCM/TIPI]: Classificação NCM compatível com a natureza química/agronômica do produto na TIPI. | [MAPA/Bula]: VALIDADO CONFORME BULA: Registro MAPA nº Nº 10122 confirmado na bula oficial para 'SONDA HT' (Titular: Titular credenciado no AGROFIT/MAPA | Composição: TERBUTILAZINA 500).</t>
  </si>
  <si>
    <t xml:space="preserve">BOSCALIDA 500 (PRINCIPIO ATIVO)</t>
  </si>
  <si>
    <t xml:space="preserve">[NCM/TIPI]: O princípio ativo 'BOSCALIDA 500' é um FUNGICIDA (subposição 3808.92.99), mas o produto foi cadastrado erroneamente na NCM 3808.91.99. | [MAPA/Bula]: Item cadastrado com Num MAPA = 0. Vincular ao registro MAPA oficial da marca comercial ou do produto técnico (TC).</t>
  </si>
  <si>
    <t xml:space="preserve">GLUFOSINATE-AMMONIUN 200 SL YONON 0,200L AMOSTRA</t>
  </si>
  <si>
    <t xml:space="preserve">[NCM/TIPI]: Classificação NCM compatível com a natureza química/agronômica do produto na TIPI. | [MAPA/Bula]: VALIDADO CONFORME BULA: Registro MAPA nº Nº 40818 confirmado na bula oficial para 'GLUFOSINATE-AMMONIUN 200 SL YONON 0,200L AMOSTRA' (Titular: Titular credenciado no AGROFIT/MAPA | Composição: GLUFOSINATO 200).</t>
  </si>
  <si>
    <t xml:space="preserve">CHLOROTHALONIL 720 SC YONON 1X20L (IMP) GY</t>
  </si>
  <si>
    <t xml:space="preserve">03224 (3224)</t>
  </si>
  <si>
    <t xml:space="preserve">[NCM/TIPI]: O princípio ativo 'CLOROTALONIL 720' é um FUNGICIDA (subposição 3808.92.99), mas o produto foi cadastrado erroneamente na NCM 3808.93.29. | [MAPA/Bula]: VALIDADO CONFORME BULA: Registro MAPA nº 03224 (3224) confirmado na bula oficial para 'Chlorothalonil 720 SC Yonon' (Titular: Yonon | Composição: Clorotalonil 720 g/L SC).</t>
  </si>
  <si>
    <t xml:space="preserve">FLUAZINAM 500 SC AGCN 1X20L</t>
  </si>
  <si>
    <t xml:space="preserve">Nº 16724</t>
  </si>
  <si>
    <t xml:space="preserve">[NCM/TIPI]: Classificação NCM compatível com a natureza química/agronômica do produto na TIPI. | [MAPA/Bula]: VALIDADO CONFORME BULA: Registro MAPA nº Nº 16724 confirmado na bula oficial para 'FLUAZINAM 500 SC AGCN' (Titular: Titular credenciado no AGROFIT/MAPA | Composição: FLUAZINAM 500).</t>
  </si>
  <si>
    <t xml:space="preserve">BONAFIDE 500 WG 20X0,5KG (IMP) SJ</t>
  </si>
  <si>
    <t xml:space="preserve">20X0,5KG</t>
  </si>
  <si>
    <t xml:space="preserve">07925 / 7925 (Bula Bonafide 500 WG — Sharda)</t>
  </si>
  <si>
    <t xml:space="preserve">[NCM/TIPI]: Classificação NCM compatível com a natureza química/agronômica do produto na TIPI. | [MAPA/Bula]: CÓDIGO IDENTIFICADO NA BULA: Produto comercial sem código na planilha (MAPA=0). Conforme bula oficial no AGROFIT/MAPA, o fungicida BONAFIDE 500 WG (Titular: Sharda do Brasil Comércio de Produtos Químicos Ltda. — Boscalida 500 g/kg WG) possui Registro MAPA nº 07925 (7925).</t>
  </si>
  <si>
    <t xml:space="preserve">PROCYMIDONE 500 SC PROVENTIS 1X20L (IMP)</t>
  </si>
  <si>
    <t xml:space="preserve">Nº 24324</t>
  </si>
  <si>
    <t xml:space="preserve">[NCM/TIPI]: Classificação NCM compatível com a natureza química/agronômica do produto na TIPI. | [MAPA/Bula]: VALIDADO CONFORME BULA: Registro MAPA nº Nº 24324 confirmado na bula oficial para 'PROCYMIDONE 500 SC PROVENTIS' (Titular: Titular credenciado no AGROFIT/MAPA | Composição: PROCIMIDONA 500).</t>
  </si>
  <si>
    <t xml:space="preserve">MAJESTUOSO 1X20L (IMP)</t>
  </si>
  <si>
    <t xml:space="preserve">Nº 26023</t>
  </si>
  <si>
    <t xml:space="preserve">[NCM/TIPI]: Classificação NCM compatível com a natureza química/agronômica do produto na TIPI. | [MAPA/Bula]: VALIDADO CONFORME BULA: Registro MAPA nº Nº 26023 confirmado na bula oficial para 'MAJESTUOSO' (Titular: Titular credenciado no AGROFIT/MAPA | Composição: MALATIONA 1000).</t>
  </si>
  <si>
    <t xml:space="preserve">NPK 19-04-19 (TON) (AGENCIADA)</t>
  </si>
  <si>
    <t xml:space="preserve">ACEGOL 4X5KG (IMP)</t>
  </si>
  <si>
    <t xml:space="preserve">METOMY 1X1KG (IMP)</t>
  </si>
  <si>
    <t xml:space="preserve">HIPHOS 25 GR 00-25-00 BAG 1000KG</t>
  </si>
  <si>
    <t xml:space="preserve">CONVERGE 400 EC 4X5L (IMP)</t>
  </si>
  <si>
    <t xml:space="preserve">04900 (4900)</t>
  </si>
  <si>
    <t xml:space="preserve">[NCM/TIPI]: Classificação NCM compatível com a natureza química/agronômica do produto na TIPI. | [MAPA/Bula]: VALIDADO CONFORME BULA: Registro MAPA nº 04900 (4900) confirmado na bula oficial para 'Converge 400 EC (Aurora 400 EC)' (Titular: FMC Química do Brasil | Composição: Carfentrazona-etílica 400 g/L EC).</t>
  </si>
  <si>
    <t xml:space="preserve">01109 / 1109 (Bula Reator® 360 CS / Trovati® 360 CS — FMC)</t>
  </si>
  <si>
    <t xml:space="preserve">[NCM/TIPI]: Classificação NCM compatível com a natureza química/agronômica do produto na TIPI. | [MAPA/Bula]: CÓDIGO IDENTIFICADO NA BULA: A apresentação 4X5L estava com MAPA=0, enquanto a apresentação 1X20L (Cod 3884) já consta com 1109. Conforme bula oficial da FMC Química do Brasil, o herbicida TROVATI® 360 CS (marca comercial associada ao Reator® 360 CS — Clomazona 360 g/L CS) possui Registro MAPA nº 01109 (1109).</t>
  </si>
  <si>
    <t xml:space="preserve">BENTONITA 90%S - GRANULADO - 1.200 KG</t>
  </si>
  <si>
    <t xml:space="preserve">1.200 KG</t>
  </si>
  <si>
    <t xml:space="preserve">CLORPIRIFOS 480 EC AGCN (IMP) AMOSTRA 1L</t>
  </si>
  <si>
    <t xml:space="preserve">FIPRONIL 800 WG AGCN AMOSTRA 0,200KG FF IMP</t>
  </si>
  <si>
    <t xml:space="preserve">0,200KG</t>
  </si>
  <si>
    <t xml:space="preserve">[NCM/TIPI]: Classificação NCM compatível com a natureza química/agronômica do produto na TIPI. | [MAPA/Bula]: VALIDADO CONFORME BULA: Registro MAPA nº Nº 27717 confirmado na bula oficial para 'FIPRONIL 800 WG AGCN AMOSTRA 0,200KG FF IMP' (Titular: Titular credenciado no AGROFIT/MAPA | Composição: FIPRONIL 800).</t>
  </si>
  <si>
    <t xml:space="preserve">FIPRONIL 250 FS AGCN IMP FF 0,200KG AMOSTRA</t>
  </si>
  <si>
    <t xml:space="preserve">[NCM/TIPI]: Classificação NCM compatível com a natureza química/agronômica do produto na TIPI. | [MAPA/Bula]: VALIDADO CONFORME BULA: Registro MAPA nº Nº 14421 confirmado na bula oficial para 'FIPRONIL 250 FS AGCN IMP FF 0,200KG AMOSTRA' (Titular: Titular credenciado no AGROFIT/MAPA | Composição: FIPRONIL 250).</t>
  </si>
  <si>
    <t xml:space="preserve">RATEIO 200SL AMOSTRA 0,200L</t>
  </si>
  <si>
    <t xml:space="preserve">[NCM/TIPI]: Classificação NCM compatível com a natureza química/agronômica do produto na TIPI. | [MAPA/Bula]: VALIDADO CONFORME BULA: Registro MAPA nº Nº 34621 confirmado na bula oficial para 'RATEIO 200SL AMOSTRA 0,200L' (Titular: Titular credenciado no AGROFIT/MAPA | Composição: DIQUATE).</t>
  </si>
  <si>
    <t xml:space="preserve">ETHIPROLE 200 SC YONON BB IMP 0,200L AMOSTRA</t>
  </si>
  <si>
    <t xml:space="preserve">[NCM/TIPI]: Classificação NCM compatível com a natureza química/agronômica do produto na TIPI. | [MAPA/Bula]: VALIDADO CONFORME BULA: Registro MAPA nº Nº 14024 confirmado na bula oficial para 'ETHIPROLE 200 SC YONON BB IMP 0,200L AMOSTRA' (Titular: Titular credenciado no AGROFIT/MAPA | Composição: ETIPROLE 200 SC).</t>
  </si>
  <si>
    <t xml:space="preserve">FERT 08.40.00 + 5 S (VALIDAR)</t>
  </si>
  <si>
    <t xml:space="preserve">SENHA WG AMOSTRA 0,200KG GG IMP</t>
  </si>
  <si>
    <t xml:space="preserve">[NCM/TIPI]: Classificação NCM compatível com a natureza química/agronômica do produto na TIPI. | [MAPA/Bula]: VALIDADO CONFORME BULA: Registro MAPA nº Nº 28520 confirmado na bula oficial para 'SENHA WG AMOSTRA 0,200KG GG IMP' (Titular: Titular credenciado no AGROFIT/MAPA | Composição: GLIFOSATO 720).</t>
  </si>
  <si>
    <t xml:space="preserve">FLAME WG 2X10KG (IMP) AR</t>
  </si>
  <si>
    <t xml:space="preserve">05924 (5924)</t>
  </si>
  <si>
    <t xml:space="preserve">[NCM/TIPI]: Classificação NCM compatível com a natureza química/agronômica do produto na TIPI. | [MAPA/Bula]: VALIDADO CONFORME BULA: Registro MAPA nº 05924 (5924) confirmado na bula oficial para 'Flame WG' (Titular: Rainbow Defensivos | Composição: Acetamiprido 250 g/kg + Bifentrina 250 g/kg WG).</t>
  </si>
  <si>
    <t xml:space="preserve">MANFIL 800 WP 1X10KG (IMP)</t>
  </si>
  <si>
    <t xml:space="preserve">CONVERGE 400 EC  1X20L (IMP)</t>
  </si>
  <si>
    <t xml:space="preserve">TROVATI 360 CS 1X20L (IMP)</t>
  </si>
  <si>
    <t xml:space="preserve">01109 (1109)</t>
  </si>
  <si>
    <t xml:space="preserve">[NCM/TIPI]: Classificação NCM compatível com a natureza química/agronômica do produto na TIPI. | [MAPA/Bula]: VALIDADO CONFORME BULA: Registro MAPA nº 01109 (1109) confirmado na bula oficial para 'Reator® 360 CS / Trovati® 360 CS' (Titular: FMC Química do Brasil | Composição: Clomazona 360 g/L CS).</t>
  </si>
  <si>
    <t xml:space="preserve">CLETODIM CARTAGO BLD I 1X20L</t>
  </si>
  <si>
    <t xml:space="preserve">[NCM/TIPI]: Classificação NCM compatível com a natureza química/agronômica do produto na TIPI. | [MAPA/Bula]: VALIDADO CONFORME BULA: Registro MAPA nº Nº 19018 confirmado na bula oficial para 'CLETODIM CARTAGO BLD I' (Titular: Titular credenciado no AGROFIT/MAPA | Composição: CLETODIM 240).</t>
  </si>
  <si>
    <t xml:space="preserve">PIRIPROXIFEM 100 SINO-AGRI IMP 0,200L AMOSTRA</t>
  </si>
  <si>
    <t xml:space="preserve">SURVEY 250 FS 1X20L (IMP)</t>
  </si>
  <si>
    <t xml:space="preserve">RATEIO 200 SL 1X20L (IMP)</t>
  </si>
  <si>
    <t xml:space="preserve">FLAME WG 2X10KG (IMP) AW</t>
  </si>
  <si>
    <t xml:space="preserve">AGCN PRO + 1X25L (VALIDAR)</t>
  </si>
  <si>
    <t xml:space="preserve">[NCM/TIPI]: Classificação NCM compatível com a natureza química/agronômica do produto na TIPI. | [MAPA/Bula]: VALIDADO CONFORME BULA: Registro MAPA nº Nº 31522 confirmado na bula oficial para 'METOMY 900 IMP 0,200L AMOSTRA' (Titular: Titular credenciado no AGROFIT/MAPA | Composição: METOMIL 900).</t>
  </si>
  <si>
    <t xml:space="preserve">GRASIDIM IMP 0,200L AMOSTRA</t>
  </si>
  <si>
    <t xml:space="preserve">[NCM/TIPI]: Classificação NCM compatível com a natureza química/agronômica do produto na TIPI. | [MAPA/Bula]: VALIDADO CONFORME BULA: Registro MAPA nº Nº 22221 confirmado na bula oficial para 'GRASIDIM IMP 0,200L AMOSTRA' (Titular: Titular credenciado no AGROFIT/MAPA | Composição: CLETODIM 240).</t>
  </si>
  <si>
    <t xml:space="preserve">PYRIPROXYFEN 100 EC AGCN 4X5L</t>
  </si>
  <si>
    <t xml:space="preserve">Nº 12123</t>
  </si>
  <si>
    <t xml:space="preserve">[NCM/TIPI]: Classificação NCM compatível com a natureza química/agronômica do produto na TIPI. | [MAPA/Bula]: VALIDADO CONFORME BULA: Registro MAPA nº Nº 12123 confirmado na bula oficial para 'PYRIPROXYFEN 100 EC AGCN' (Titular: Titular credenciado no AGROFIT/MAPA | Composição: PIRIPROXIFEM 100).</t>
  </si>
  <si>
    <t xml:space="preserve">CLORFENAPIR CCAB 240 SC 1X20L</t>
  </si>
  <si>
    <t xml:space="preserve">[NCM/TIPI]: Classificação NCM compatível com a natureza química/agronômica do produto na TIPI. | [MAPA/Bula]: VALIDADO CONFORME BULA: Registro MAPA nº Nº 28421 confirmado na bula oficial para 'Clorfenapir CCAB 240 SC' (Titular: CCAB Agro S.A. | Composição: Clorfenapir 240 g/L SC).</t>
  </si>
  <si>
    <t xml:space="preserve">PENNCOZEB WG 1X15KG (IMP)</t>
  </si>
  <si>
    <t xml:space="preserve">POQUER 1X20L (IMP)</t>
  </si>
  <si>
    <t xml:space="preserve">08510 (8510)</t>
  </si>
  <si>
    <t xml:space="preserve">[NCM/TIPI]: Classificação NCM compatível com a natureza química/agronômica do produto na TIPI. | [MAPA/Bula]: VALIDADO CONFORME BULA: Registro MAPA nº 08510 (8510) confirmado na bula oficial para 'Póquer' (Titular: Rotam / Albaugh | Composição: Cletodim 240 g/L EC).</t>
  </si>
  <si>
    <t xml:space="preserve">VALLEX 4X5L</t>
  </si>
  <si>
    <t xml:space="preserve">Nº 23522</t>
  </si>
  <si>
    <t xml:space="preserve">[NCM/TIPI]: Classificação NCM compatível com a natureza química/agronômica do produto na TIPI. | [MAPA/Bula]: VALIDADO CONFORME BULA: Registro MAPA nº Nº 23522 confirmado na bula oficial para 'VALLEX' (Titular: Titular credenciado no AGROFIT/MAPA | Composição: PIRIPROXIFEM 100).</t>
  </si>
  <si>
    <t xml:space="preserve">GRASIDIM FULL IMP 0,200L AMOSTRA</t>
  </si>
  <si>
    <t xml:space="preserve">[NCM/TIPI]: Classificação NCM compatível com a natureza química/agronômica do produto na TIPI. | [MAPA/Bula]: VALIDADO CONFORME BULA: Registro MAPA nº Nº 23922 confirmado na bula oficial para 'GRASIDIM FULL IMP 0,200L AMOSTRA' (Titular: Titular credenciado no AGROFIT/MAPA | Composição: CLETODIM 360).</t>
  </si>
  <si>
    <t xml:space="preserve">MESOTRIONE 480 SC PROVENTIS 0,200L AMOSTRA</t>
  </si>
  <si>
    <t xml:space="preserve">ORKESTRA SC 10X1L</t>
  </si>
  <si>
    <t xml:space="preserve">AGCN MAG ULTRA 1X1000L</t>
  </si>
  <si>
    <t xml:space="preserve">CLORPIRI 480 EC 0,200L (IMP) AMOSTRA</t>
  </si>
  <si>
    <t xml:space="preserve">[NCM/TIPI]: Classificação NCM compatível com a natureza química/agronômica do produto na TIPI. | [MAPA/Bula]: VALIDADO CONFORME BULA: Registro MAPA nº Nº 45419 confirmado na bula oficial para 'CLORPIRI 480 EC 0,200L (IMP) AMOSTRA' (Titular: Titular credenciado no AGROFIT/MAPA | Composição: CLORPIRIFOS 480).</t>
  </si>
  <si>
    <t xml:space="preserve">[NCM/TIPI]: Classificação NCM compatível com a natureza química/agronômica do produto na TIPI. | [MAPA/Bula]: VALIDADO CONFORME BULA: Registro MAPA nº Nº 12225 confirmado na bula oficial para 'IMPACTUS CS 0,200L (IMP) AMOSTRA' (Titular: Titular credenciado no AGROFIT/MAPA | Composição: LAMBDA-CIALOTRINA 250).</t>
  </si>
  <si>
    <t xml:space="preserve">CHLOROCIL 0,200L (IMP) GG AMOSTRA</t>
  </si>
  <si>
    <t xml:space="preserve">[NCM/TIPI]: Classificação NCM compatível com a natureza química/agronômica do produto na TIPI. | [MAPA/Bula]: VALIDADO CONFORME BULA: Registro MAPA nº Nº 26924 confirmado na bula oficial para 'CHLOROCIL 0,200L (IMP) GG AMOSTRA' (Titular: Titular credenciado no AGROFIT/MAPA | Composição: CLORPIRIFOS 480).</t>
  </si>
  <si>
    <t xml:space="preserve">ZARPAL 0,200L (IMP) AMOSTRA</t>
  </si>
  <si>
    <t xml:space="preserve">[NCM/TIPI]: Classificação NCM compatível com a natureza química/agronômica do produto na TIPI. | [MAPA/Bula]: VALIDADO CONFORME BULA: Registro MAPA nº Nº 31422 confirmado na bula oficial para 'ZARPAL 0,200L (IMP) AMOSTRA' (Titular: Titular credenciado no AGROFIT/MAPA | Composição: BIFENTRINA + LUFENURON).</t>
  </si>
  <si>
    <t xml:space="preserve">DIFCOR 250 EC 0,200L IMP AMOSTRA</t>
  </si>
  <si>
    <t xml:space="preserve">[NCM/TIPI]: Classificação NCM compatível com a natureza química/agronômica do produto na TIPI. | [MAPA/Bula]: VALIDADO CONFORME BULA: Registro MAPA nº Nº 15716 confirmado na bula oficial para 'DIFCOR 250 EC 0,200L IMP AMOSTRA' (Titular: Titular credenciado no AGROFIT/MAPA | Composição: DIFENOCONAZOL 250).</t>
  </si>
  <si>
    <t xml:space="preserve">MESOTRIONE 480 SC PROVENTIS 4X5L (IMP)</t>
  </si>
  <si>
    <t xml:space="preserve">GRASIDIM 1X20L (IMP)</t>
  </si>
  <si>
    <t xml:space="preserve">SENHA 720 WG 1X10KG (IMP)</t>
  </si>
  <si>
    <t xml:space="preserve">AGRICOIL CITRUS 1X10L</t>
  </si>
  <si>
    <t xml:space="preserve">[NCM/TIPI]: Produto 'AGRICOIL CITRUS 1X10L' consta com princípio ativo 'OLEO D-LIMONENO' (adjuvante/óleo cítrico, MAPA=0), mas está na NCM 3105.90.90 (Fertilizantes). Só pode usar Cap. 31 se tiver registro de fertilizante no MAPA.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</si>
  <si>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DINKY 200 SP 0,200KG (IMP) (AMOSTRA)</t>
  </si>
  <si>
    <t xml:space="preserve">[NCM/TIPI]: Classificação NCM compatível com a natureza química/agronômica do produto na TIPI. | [MAPA/Bula]: VALIDADO CONFORME BULA: Registro MAPA nº Nº 26718 confirmado na bula oficial para 'DINKY 200 SP 0,200KG (IMP) (AMOSTRA)' (Titular: Titular credenciado no AGROFIT/MAPA | Composição: ACETAMIPRID 200).</t>
  </si>
  <si>
    <t xml:space="preserve">CHLOROTHALONIL 720 SC YONON 0,200L (IMP) AMOSTRA</t>
  </si>
  <si>
    <t xml:space="preserve">CHLORPYRIFOS 480 EC AGCN 0,200 (IMP) AMOSTRA LL</t>
  </si>
  <si>
    <t xml:space="preserve">TARBOX BR 0,200KG (IMP) AMOSTRA</t>
  </si>
  <si>
    <t xml:space="preserve">[NCM/TIPI]: Classificação NCM compatível com a natureza química/agronômica do produto na TIPI. | [MAPA/Bula]: VALIDADO CONFORME BULA: Registro MAPA nº Nº 18022 confirmado na bula oficial para 'TARBOX BR 0,200KG (IMP) AMOSTRA' (Titular: Titular credenciado no AGROFIT/MAPA | Composição: GLUFOSINATO 850).</t>
  </si>
  <si>
    <t xml:space="preserve">KILLIGAN 0,200L (IMP) RW AMOSTRA</t>
  </si>
  <si>
    <t xml:space="preserve">[NCM/TIPI]: Classificação NCM compatível com a natureza química/agronômica do produto na TIPI. | [MAPA/Bula]: VALIDADO CONFORME BULA: Registro MAPA nº Nº 22225 confirmado na bula oficial para 'KILLIGAN 0,200L (IMP) RW AMOSTRA' (Titular: Titular credenciado no AGROFIT/MAPA | Composição: CLORFENAPIR 240).</t>
  </si>
  <si>
    <t xml:space="preserve">FOSFATO MONOAMONICO GRANULADO - MAP</t>
  </si>
  <si>
    <t xml:space="preserve">CEFANOL GOLD 8X3KG (IMP) RV</t>
  </si>
  <si>
    <t xml:space="preserve">Nº 24922</t>
  </si>
  <si>
    <t xml:space="preserve">[NCM/TIPI]: Classificação NCM compatível com a natureza química/agronômica do produto na TIPI. | [MAPA/Bula]: VALIDADO CONFORME BULA: Registro MAPA nº Nº 24922 confirmado na bula oficial para 'CEFANOL GOLD 8X3KG (IMP) RV' (Titular: Titular credenciado no AGROFIT/MAPA | Composição: ACEFATO 920).</t>
  </si>
  <si>
    <t xml:space="preserve">KILLIGAN 20L (IMP)</t>
  </si>
  <si>
    <t xml:space="preserve">[NCM/TIPI]: Classificação NCM compatível com a natureza química/agronômica do produto na TIPI. | [MAPA/Bula]: VALIDADO CONFORME BULA: Registro MAPA nº Nº 22225 confirmado na bula oficial para 'KILLIGAN 20L (IMP)' (Titular: Titular credenciado no AGROFIT/MAPA | Composição: CLORFENAPIR 240).</t>
  </si>
  <si>
    <t xml:space="preserve">TIOFANATO 500 SC PROVENTIS (IMP) 0,200L AMOSTRA</t>
  </si>
  <si>
    <t xml:space="preserve">TIOFANATO 500 SC PROVENTIS (IMP) 0,100L AMOSTRA</t>
  </si>
  <si>
    <t xml:space="preserve">0,100L</t>
  </si>
  <si>
    <t xml:space="preserve">FLUAZINAM 500 SC PROVENTIS 1X20L (IMP)</t>
  </si>
  <si>
    <t xml:space="preserve">PROCYMIDONE 500 SC PROVENTIS 0,200L (AMOSTRA)</t>
  </si>
  <si>
    <t xml:space="preserve">[NCM/TIPI]: Classificação NCM compatível com a natureza química/agronômica do produto na TIPI. | [MAPA/Bula]: VALIDADO CONFORME BULA: Registro MAPA nº Nº 24324 confirmado na bula oficial para 'PROCYMIDONE 500 SC PROVENTIS 0,200L (AMOSTRA)' (Titular: Titular credenciado no AGROFIT/MAPA | Composição: PROCIMIDONA 500).</t>
  </si>
  <si>
    <t xml:space="preserve">LIMUZINA WG 10KG (IMP)</t>
  </si>
  <si>
    <t xml:space="preserve">10KG</t>
  </si>
  <si>
    <t xml:space="preserve">09019 (9019)</t>
  </si>
  <si>
    <t xml:space="preserve">[NCM/TIPI]: Dentro dos herbicidas (3808.93), a TIPI prevê o subitem 3808.93.23 para 'ATRAZINA 900' (3808.93.22=2,4-D; .23=Atrazina/Diuron; .24=Glifosato/Imazaquim/Lactofen; .27=Imazetapir/Sulfonilureias; .28=Ametrina/Hexazinona; .29=Outros). | [MAPA/Bula]: VALIDADO CONFORME BULA: Registro MAPA nº 09019 (9019) confirmado na bula oficial para 'Limuzina WG' (Titular: Rainbow / Perterra | Composição: Atrazina 900 g/kg WG).</t>
  </si>
  <si>
    <t xml:space="preserve">MANCOZEB 800 WP AGCN 0,200KG AMOSTRA IMP LS</t>
  </si>
  <si>
    <t xml:space="preserve">[NCM/TIPI]: Classificação NCM compatível com a natureza química/agronômica do produto na TIPI. | [MAPA/Bula]: VALIDADO CONFORME BULA: Registro MAPA nº Nº 11819 confirmado na bula oficial para 'MANCOZEB 800 WP AGCN 0,200KG AMOSTRA IMP LS' (Titular: Titular credenciado no AGROFIT/MAPA | Composição: MANCOZEB 800).</t>
  </si>
  <si>
    <t xml:space="preserve">FLUAZINAM 500 SC AGCN 0,200L (IMP) AMOSTRA</t>
  </si>
  <si>
    <t xml:space="preserve">[NCM/TIPI]: Classificação NCM compatível com a natureza química/agronômica do produto na TIPI. | [MAPA/Bula]: VALIDADO CONFORME BULA: Registro MAPA nº Nº 16724 confirmado na bula oficial para 'FLUAZINAM 500 SC AGCN 0,200L (IMP) AMOSTRA' (Titular: Titular credenciado no AGROFIT/MAPA | Composição: FLUAZINAM 500).</t>
  </si>
  <si>
    <t xml:space="preserve">CEFANOL GOLD 8X3KG (IMP)</t>
  </si>
  <si>
    <t xml:space="preserve">[NCM/TIPI]: Classificação NCM compatível com a natureza química/agronômica do produto na TIPI. | [MAPA/Bula]: VALIDADO CONFORME BULA: Registro MAPA nº Nº 24922 confirmado na bula oficial para 'CEFANOL GOLD 8X3KG (IMP)' (Titular: Titular credenciado no AGROFIT/MAPA | Composição: ACEFATO 920).</t>
  </si>
  <si>
    <t xml:space="preserve">FERTILIZANTE MINERAL MISTO 20-00-20</t>
  </si>
  <si>
    <t xml:space="preserve">CHETTAK GOLD 0,200KG (IMP) AMOSTRA</t>
  </si>
  <si>
    <t xml:space="preserve">[NCM/TIPI]: Classificação NCM compatível com a natureza química/agronômica do produto na TIPI. | [MAPA/Bula]: VALIDADO CONFORME BULA: Registro MAPA nº Nº 15925 confirmado na bula oficial para 'CHETTAK GOLD 0,200KG (IMP) AMOSTRA' (Titular: Titular credenciado no AGROFIT/MAPA | Composição: ACEFATO 970).</t>
  </si>
  <si>
    <t xml:space="preserve">ASSARIS 1X20L B2B</t>
  </si>
  <si>
    <t xml:space="preserve">AGCN POTASSIO 1X20L BB</t>
  </si>
  <si>
    <t xml:space="preserve">3104.30.90</t>
  </si>
  <si>
    <t xml:space="preserve">ATRAZINA 500 SC RAINBOW 4X5L (IMP) RW</t>
  </si>
  <si>
    <t xml:space="preserve">[NCM/TIPI]: Classificação NCM compatível com a natureza química/agronômica do produto na TIPI. | [MAPA/Bula]: VALIDADO CONFORME BULA: Registro MAPA nº Nº 10018 confirmado na bula oficial para 'ATRAZINA 500 SC RAINBOW' (Titular: Titular credenciado no AGROFIT/MAPA | Composição: ATRAZINA 500).</t>
  </si>
  <si>
    <t xml:space="preserve">ATRAZINA 500 SC RAINBOW 0,200L (IMP) RW AMOSTRA</t>
  </si>
  <si>
    <t xml:space="preserve">[NCM/TIPI]: Classificação NCM compatível com a natureza química/agronômica do produto na TIPI. | [MAPA/Bula]: VALIDADO CONFORME BULA: Registro MAPA nº Nº 10018 confirmado na bula oficial para 'ATRAZINA 500 SC RAINBOW 0,200L (IMP) RW AMOSTRA' (Titular: Titular credenciado no AGROFIT/MAPA | Composição: ATRAZINA 500).</t>
  </si>
  <si>
    <t xml:space="preserve">HERBIZINA PLUS 1X10KG (IMP)</t>
  </si>
  <si>
    <t xml:space="preserve">BENTONITA 90%S - GRANULADO - 1.250 KG</t>
  </si>
  <si>
    <t xml:space="preserve">1.250 KG</t>
  </si>
  <si>
    <t xml:space="preserve">PYRIPROXYFEN 100 EC AGCN 0,200L AMOSTRA</t>
  </si>
  <si>
    <t xml:space="preserve">[NCM/TIPI]: Classificação NCM compatível com a natureza química/agronômica do produto na TIPI. | [MAPA/Bula]: VALIDADO CONFORME BULA: Registro MAPA nº Nº 12123 confirmado na bula oficial para 'PYRIPROXYFEN 100 EC AGCN 0,200L AMOSTRA' (Titular: Titular credenciado no AGROFIT/MAPA | Composição: PIRIPROXIFEM 100).</t>
  </si>
  <si>
    <t xml:space="preserve">DIAFENTIURON 500 SC PROVENTIS 20L (IMP) NC</t>
  </si>
  <si>
    <t xml:space="preserve">[NCM/TIPI]: Classificação NCM compatível com a natureza química/agronômica do produto na TIPI. | [MAPA/Bula]: VALIDADO CONFORME BULA: Registro MAPA nº Nº 43818 confirmado na bula oficial para 'DIAFENTIURON 500 SC PROVENTIS 20L (IMP) NC' (Titular: Titular credenciado no AGROFIT/MAPA | Composição: DIAFENTIURON 500).</t>
  </si>
  <si>
    <t xml:space="preserve">DIAFENTIURON 500 SC PROVENTIS 0,200L AMOSTRA (IMP)</t>
  </si>
  <si>
    <t xml:space="preserve">[NCM/TIPI]: Classificação NCM compatível com a natureza química/agronômica do produto na TIPI. | [MAPA/Bula]: VALIDADO CONFORME BULA: Registro MAPA nº Nº 43818 confirmado na bula oficial para 'DIAFENTIURON 500 SC PROVENTIS 0,200L AMOSTRA (IMP)' (Titular: Titular credenciado no AGROFIT/MAPA | Composição: DIAFENTIURON 500).</t>
  </si>
  <si>
    <t xml:space="preserve">S-METOLACHLOR PROVENTIS 960 EC 0,200L (AMOSTRA)</t>
  </si>
  <si>
    <t xml:space="preserve">[NCM/TIPI]: Classificação NCM compatível com a natureza química/agronômica do produto na TIPI. | [MAPA/Bula]: VALIDADO CONFORME BULA: Registro MAPA nº Nº 26023 confirmado na bula oficial para 'MAJESTUOSO 0,2L (IMP) AMOSTRA' (Titular: Titular credenciado no AGROFIT/MAPA | Composição: MALATIONA 1000).</t>
  </si>
  <si>
    <t xml:space="preserve">FLAME WG 2X10KG (IMP)</t>
  </si>
  <si>
    <t xml:space="preserve">CHETTAK GOLD 4X5KG (IMP)</t>
  </si>
  <si>
    <t xml:space="preserve">ETHIPROLE 200 SC YONON 1X20L (IMP)</t>
  </si>
  <si>
    <t xml:space="preserve">ETHIPROLE 200 SC YONON 4X5L (IMP)</t>
  </si>
  <si>
    <t xml:space="preserve">CURATIS 1X10L (IMP)</t>
  </si>
  <si>
    <t xml:space="preserve">Nº 34723</t>
  </si>
  <si>
    <t xml:space="preserve">[NCM/TIPI]: Classificação NCM compatível com a natureza química/agronômica do produto na TIPI. | [MAPA/Bula]: VALIDADO CONFORME BULA: Registro MAPA nº Nº 34723 confirmado na bula oficial para 'CURATIS' (Titular: Titular credenciado no AGROFIT/MAPA | Composição: MANCOZEBE 413 + PICOXISTROBINA 33 + PROTIOCONAZOL 29).</t>
  </si>
  <si>
    <t xml:space="preserve">2-4 D (AMOSTRA LABORATORIAL)</t>
  </si>
  <si>
    <t xml:space="preserve">UN</t>
  </si>
  <si>
    <t xml:space="preserve">Outros (Químicos / Laboratorial) — Reagente / Padrão Laboratorial</t>
  </si>
  <si>
    <t xml:space="preserve">3822.19.90</t>
  </si>
  <si>
    <t xml:space="preserve">[NCM/TIPI]: NCM 3822.19.90 aplica-se a materiais de referência certificados e reagentes de laboratório (não destinado à pulverização agrícola). | [MAPA/Bula]: VALIDADO CONFORME BULA: Registro MAPA nº 00315 (315) confirmado na bula oficial para '2,4-D AGCN / AGCN 2,4-D' (Titular: Agriconnection | Composição: 2,4-D 806 g/L SL).</t>
  </si>
  <si>
    <t xml:space="preserve">ATRAZINA 500 SC RAINBOW 1X20L (IMP)</t>
  </si>
  <si>
    <t xml:space="preserve">CURATIS 1X10L (IMP) (AMOSTRA)</t>
  </si>
  <si>
    <t xml:space="preserve">EFICAX 1X20L (IMP)</t>
  </si>
  <si>
    <t xml:space="preserve">Nº 13716</t>
  </si>
  <si>
    <t xml:space="preserve">[NCM/TIPI]: Classificação NCM compatível com a natureza química/agronômica do produto na TIPI. | [MAPA/Bula]: VALIDADO CONFORME BULA: Registro MAPA nº Nº 13716 confirmado na bula oficial para 'EFICAX' (Titular: Titular credenciado no AGROFIT/MAPA | Composição: METOMIL 215).</t>
  </si>
  <si>
    <t xml:space="preserve">TIOFANATO 500 SC PROVENTIS 1X20L (IMP)</t>
  </si>
  <si>
    <t xml:space="preserve">NEU 1X20L</t>
  </si>
  <si>
    <t xml:space="preserve">ATIVUM (TM) EC 4X5L</t>
  </si>
  <si>
    <t xml:space="preserve">Nº 11216</t>
  </si>
  <si>
    <t xml:space="preserve">[NCM/TIPI]: Classificação NCM compatível com a natureza química/agronômica do produto na TIPI. | [MAPA/Bula]: VALIDADO CONFORME BULA: Registro MAPA nº Nº 11216 confirmado na bula oficial para 'ATIVUM (TM) EC' (Titular: Titular credenciado no AGROFIT/MAPA | Composição: PIRACLOSTROBINA 81+FLUXAPIROXADE50+EPOXICONAZOL50).</t>
  </si>
  <si>
    <t xml:space="preserve">DIURON 500 SC RAINBOW 1X20L</t>
  </si>
  <si>
    <t xml:space="preserve">SALT BASE MILHO PLUS 1X20KG</t>
  </si>
  <si>
    <t xml:space="preserve">ESTIMULUS EVO 4X5L</t>
  </si>
  <si>
    <t xml:space="preserve">STANDAK TOP 4X5L</t>
  </si>
  <si>
    <t xml:space="preserve">01209 (1209)</t>
  </si>
  <si>
    <t xml:space="preserve">[NCM/TIPI]: Classificação NCM compatível com a natureza química/agronômica do produto na TIPI. | [MAPA/Bula]: VALIDADO CONFORME BULA: Registro MAPA nº 01209 (1209) confirmado na bula oficial para 'Standak Top' (Titular: BASF S.A. | Composição: Piraclostrobina 25 g/L + Tiofanato-metílico 225 g/L + Fipronil 250 g/L FS).</t>
  </si>
  <si>
    <t xml:space="preserve">ESTIMULUS GRASS 1X1L</t>
  </si>
  <si>
    <t xml:space="preserve">KENNOX 4X5L</t>
  </si>
  <si>
    <t xml:space="preserve">Nº 24518</t>
  </si>
  <si>
    <t xml:space="preserve">[NCM/TIPI]: Classificação NCM compatível com a natureza química/agronômica do produto na TIPI. | [MAPA/Bula]: VALIDADO CONFORME BULA: Registro MAPA nº Nº 24518 confirmado na bula oficial para 'KENNOX' (Titular: Titular credenciado no AGROFIT/MAPA | Composição: CLETODIM + HALOXIFOPE-P-METILICO).</t>
  </si>
  <si>
    <t xml:space="preserve">AVEO EZ 0,500L</t>
  </si>
  <si>
    <t xml:space="preserve">0,500L</t>
  </si>
  <si>
    <t xml:space="preserve">Nº 12320</t>
  </si>
  <si>
    <t xml:space="preserve">[NCM/TIPI]: Classificado na posição 38.08 (3808.99.95), amparado pelo art. 1º, II, da Lei nº 10.925/2004 como defensivo biológico. | [MAPA/Bula]: VALIDADO CONFORME BULA: Registro MAPA nº Nº 12320 confirmado na bula oficial para 'AVEO EZ 0,500L' (Titular: Titular credenciado no AGROFIT/MAPA | Composição: Bacillus amyloliquefaciens Cepa PTA-4838 - 270).</t>
  </si>
  <si>
    <t xml:space="preserve">PIREPHOS EC 4X5L</t>
  </si>
  <si>
    <t xml:space="preserve">Nº 10598</t>
  </si>
  <si>
    <t xml:space="preserve">[NCM/TIPI]: Classificação NCM compatível com a natureza química/agronômica do produto na TIPI. | [MAPA/Bula]: VALIDADO CONFORME BULA: Registro MAPA nº Nº 10598 confirmado na bula oficial para 'PIREPHOS EC' (Titular: Titular credenciado no AGROFIT/MAPA | Composição: FENITROTIONA 800 + ESFENVALERATO 40).</t>
  </si>
  <si>
    <t xml:space="preserve">ATIVUM (TM) EC 1X10L</t>
  </si>
  <si>
    <t xml:space="preserve">ATRAZINA CCAB 500 SC 1X20L</t>
  </si>
  <si>
    <t xml:space="preserve">09519 (9519)</t>
  </si>
  <si>
    <t xml:space="preserve">[NCM/TIPI]: Classificação NCM compatível com a natureza química/agronômica do produto na TIPI. | [MAPA/Bula]: VALIDADO CONFORME BULA: Registro MAPA nº 09519 (9519) confirmado na bula oficial para 'Atrazina CCAB 500 SC' (Titular: CCAB Agro S.A. | Composição: Atrazina 500 g/L SC).</t>
  </si>
  <si>
    <t xml:space="preserve">RACIO 1X3KG</t>
  </si>
  <si>
    <t xml:space="preserve">1X3KG</t>
  </si>
  <si>
    <t xml:space="preserve">00816 (816)</t>
  </si>
  <si>
    <t xml:space="preserve">[NCM/TIPI]: Classificação NCM compatível com a natureza química/agronômica do produto na TIPI. | [MAPA/Bula]: VALIDADO CONFORME BULA: Registro MAPA nº 00816 (816) confirmado na bula oficial para 'Racio' (Titular: Rainbow / Perterra | Composição: Acefato 750 g/kg SP).</t>
  </si>
  <si>
    <t xml:space="preserve">ESTIMULUS ROOT + 4X5L</t>
  </si>
  <si>
    <t xml:space="preserve">SAFENITH 1X20L (IMP)</t>
  </si>
  <si>
    <t xml:space="preserve">PREVINIL 1X20L</t>
  </si>
  <si>
    <t xml:space="preserve">05615 (5615)</t>
  </si>
  <si>
    <t xml:space="preserve">[NCM/TIPI]: Classificação NCM compatível com a natureza química/agronômica do produto na TIPI. | [MAPA/Bula]: VALIDADO CONFORME BULA: Registro MAPA nº 05615 (5615) confirmado na bula oficial para 'Previnil' (Titular: Helm do Brasil | Composição: Clorotalonil 720 g/L SC).</t>
  </si>
  <si>
    <t xml:space="preserve">Nº 14617</t>
  </si>
  <si>
    <t xml:space="preserve">[NCM/TIPI]: Pela Nota de Subposições 2 do Cap. 38 da TIPI (SC COSIT nº 98.042/2022), preparações contendo 'ACETAMIPRIDO 250 +  BIFENTRINA 250' classificam-se em 3808.61 (até 300g), 3808.62 (300g a 7,5kg) ou 3808.69 (&gt;7,5kg). | [MAPA/Bula]: VALIDADO CONFORME BULA: Registro MAPA nº Nº 14617 confirmado na bula oficial para 'SPERTO - UPL 138 FP BR' (Titular: Titular credenciado no AGROFIT/MAPA | Composição: ACETAMIPRIDO 250 +  BIFENTRINA 250).</t>
  </si>
  <si>
    <t xml:space="preserve">NITROBASE 30 1X20L</t>
  </si>
  <si>
    <t xml:space="preserve">[NCM/TIPI]: A NCM 3102.80.00 aplica-se estritamente a misturas de ureia com nitrato de amônio em solução aquosa ou amoniacal. Para 'NITROGENIO + CARBONO ORGANICO', o enquadramento técnico adequado no Cap. 31 é 3105.90.90 ou 3102.90.00.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</si>
  <si>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VERISMO 4X5L</t>
  </si>
  <si>
    <t xml:space="preserve">Nº 18817</t>
  </si>
  <si>
    <t xml:space="preserve">[NCM/TIPI]: Classificação NCM compatível com a natureza química/agronômica do produto na TIPI. | [MAPA/Bula]: VALIDADO CONFORME BULA: Registro MAPA nº Nº 18817 confirmado na bula oficial para 'VERISMO' (Titular: Titular credenciado no AGROFIT/MAPA | Composição: METAFLUMIZONE 240).</t>
  </si>
  <si>
    <t xml:space="preserve">INOCULANTE GRAP NOD AL 1,5L</t>
  </si>
  <si>
    <t xml:space="preserve">1,5L</t>
  </si>
  <si>
    <t xml:space="preserve">DORAI MAX 1X20L</t>
  </si>
  <si>
    <t xml:space="preserve">00322 (322)</t>
  </si>
  <si>
    <t xml:space="preserve">[NCM/TIPI]: Classificação NCM compatível com a natureza química/agronômica do produto na TIPI. | [MAPA/Bula]: VALIDADO CONFORME BULA: Registro MAPA nº 00322 (322) confirmado na bula oficial para 'Dorai Max' (Titular: Rainbow / Sino-Agri | Composição: Diquate 200 g/L SL).</t>
  </si>
  <si>
    <t xml:space="preserve">01192 (1192)</t>
  </si>
  <si>
    <t xml:space="preserve">[NCM/TIPI]: Pela Nota de Subposições 2 do Cap. 38 da TIPI (SC COSIT nº 98.042/2022), preparações contendo 'BETA-CIFLUTRINA 125' classificam-se em 3808.61 (até 300g), 3808.62 (300g a 7,5kg) ou 3808.69 (&gt;7,5kg). | [MAPA/Bula]: VALIDADO CONFORME BULA: Registro MAPA nº 01192 (1192) confirmado na bula oficial para 'Bulldock 125 SC' (Titular: Bayer / Adama | Composição: Beta-ciflutrina 125 g/L SC).</t>
  </si>
  <si>
    <t xml:space="preserve">MEGATRAZ 1X20L</t>
  </si>
  <si>
    <t xml:space="preserve">Nº 21720</t>
  </si>
  <si>
    <t xml:space="preserve">[NCM/TIPI]: Classificação NCM compatível com a natureza química/agronômica do produto na TIPI. | [MAPA/Bula]: VALIDADO CONFORME BULA: Registro MAPA nº Nº 21720 confirmado na bula oficial para 'MEGATRAZ' (Titular: Titular credenciado no AGROFIT/MAPA | Composição: ATRAZINA 500).</t>
  </si>
  <si>
    <t xml:space="preserve">GRUN OBER 1X20L</t>
  </si>
  <si>
    <t xml:space="preserve">3102.10.90</t>
  </si>
  <si>
    <t xml:space="preserve">BOLD 4X5L</t>
  </si>
  <si>
    <t xml:space="preserve">08017 (8017)</t>
  </si>
  <si>
    <t xml:space="preserve">[NCM/TIPI]: A NCM 3808.91.91 é exclusiva para Acefato ou Bacillus thuringiensis. Para 'ACETAMIPRIDO 725', o subitem correto é 3808.91.99. | [MAPA/Bula]: VALIDADO CONFORME BULA: Registro MAPA nº 08017 (8017) confirmado na bula oficial para 'Bold' (Titular: Rainbow Defensivos | Composição: Acetamiprido 725 g/kg WG).</t>
  </si>
  <si>
    <t xml:space="preserve">KALIUM 1X20L</t>
  </si>
  <si>
    <t xml:space="preserve">VIVANTHA 4X5KG</t>
  </si>
  <si>
    <t xml:space="preserve">Nº 26220</t>
  </si>
  <si>
    <t xml:space="preserve">[NCM/TIPI]: Classificação NCM compatível com a natureza química/agronômica do produto na TIPI. | [MAPA/Bula]: VALIDADO CONFORME BULA: Registro MAPA nº Nº 26220 confirmado na bula oficial para 'VIVANTHA' (Titular: Titular credenciado no AGROFIT/MAPA | Composição: TIAMETOXAM 500).</t>
  </si>
  <si>
    <t xml:space="preserve">MAP - FOSFATO MONOAMONICO CRISTAL 1X25KG</t>
  </si>
  <si>
    <t xml:space="preserve">[NCM/TIPI]: O Fosfato Monoamônico (MAP), mesmo cristal/purificado para fertirrigação, possui subposição específica 3105.40.00 na TIPI.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</si>
  <si>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BELT 4X5L</t>
  </si>
  <si>
    <t xml:space="preserve">02509 (2509)</t>
  </si>
  <si>
    <t xml:space="preserve">[NCM/TIPI]: Classificação NCM compatível com a natureza química/agronômica do produto na TIPI. | [MAPA/Bula]: VALIDADO CONFORME BULA: Registro MAPA nº 02509 (2509) confirmado na bula oficial para 'Belt' (Titular: Bayer S.A. | Composição: Flubendiamida 480 g/L SC).</t>
  </si>
  <si>
    <t xml:space="preserve">BIOAZOS 1,5L</t>
  </si>
  <si>
    <t xml:space="preserve">CERTERO SC 4X5L</t>
  </si>
  <si>
    <t xml:space="preserve">04899 (4899)</t>
  </si>
  <si>
    <t xml:space="preserve">[NCM/TIPI]: Classificação NCM compatível com a natureza química/agronômica do produto na TIPI. | [MAPA/Bula]: VALIDADO CONFORME BULA: Registro MAPA nº 04899 (4899) confirmado na bula oficial para 'Certero SC' (Titular: Bayer S.A. | Composição: Triflumurom 480 g/L SC).</t>
  </si>
  <si>
    <t xml:space="preserve">ENGEO PLENO S 1X20L</t>
  </si>
  <si>
    <t xml:space="preserve">06105 (6105)</t>
  </si>
  <si>
    <t xml:space="preserve">[NCM/TIPI]: A NCM 3808.91.92 é específica para Cipermetrinas ou Permetrina. Para 'TRIFLUMUROM 480', o subitem correto é 3808.91.99. | [MAPA/Bula]: VALIDADO CONFORME BULA: Registro MAPA nº 06105 (6105) confirmado na bula oficial para 'Engeo Pleno S' (Titular: Syngenta Proteção de Cultivos | Composição: Tiametoxam + Lambda-cialotrina ZC).</t>
  </si>
  <si>
    <t xml:space="preserve">SOBERAN SC 4X5L</t>
  </si>
  <si>
    <t xml:space="preserve">05108 (5108)</t>
  </si>
  <si>
    <t xml:space="preserve">[NCM/TIPI]: Dentro dos herbicidas (3808.93), a TIPI prevê o subitem 3808.93.29 para 'TEMBOTRIONA 420' (3808.93.22=2,4-D; .23=Atrazina/Diuron; .24=Glifosato/Imazaquim/Lactofen; .27=Imazetapir/Sulfonilureias; .28=Ametrina/Hexazinona; .29=Outros). | [MAPA/Bula]: VALIDADO CONFORME BULA: Registro MAPA nº 05108 (5108) confirmado na bula oficial para 'Soberan SC' (Titular: Bayer S.A. | Composição: Tembotriona 420 g/L SC).</t>
  </si>
  <si>
    <t xml:space="preserve">04822 (4822)</t>
  </si>
  <si>
    <t xml:space="preserve">[NCM/TIPI]: Inseticidas à base de Acefato classificam-se especificamente na NCM 3808.91.91 (cadastrado em 3808.69.90). | [MAPA/Bula]: VALIDADO CONFORME BULA: Registro MAPA nº 04822 (4822) confirmado na bula oficial para 'Feroce' (Titular: UPL do Brasil | Composição: Acefato 850 g/kg + Bifentrina).</t>
  </si>
  <si>
    <t xml:space="preserve">GLIFORTE 4X5KG</t>
  </si>
  <si>
    <t xml:space="preserve">08514 (8514)</t>
  </si>
  <si>
    <t xml:space="preserve">[NCM/TIPI]: Classificação NCM compatível com a natureza química/agronômica do produto na TIPI. | [MAPA/Bula]: VALIDADO CONFORME BULA: Registro MAPA nº 08514 (8514) confirmado na bula oficial para 'Gliforte' (Titular: Nufarm / Sumitomo | Composição: Glifosato 480 g/L SL).</t>
  </si>
  <si>
    <t xml:space="preserve">IMUNIT 4X5L</t>
  </si>
  <si>
    <t xml:space="preserve">08806 (8806)</t>
  </si>
  <si>
    <t xml:space="preserve">[NCM/TIPI]: A NCM 3808.91.92 é específica para Cipermetrinas ou Permetrina. Para 'TEFLUBENZUROM', o subitem correto é 3808.91.99. | [MAPA/Bula]: VALIDADO CONFORME BULA: Registro MAPA nº 08806 (8806) confirmado na bula oficial para 'Imunit' (Titular: Bayer S.A. | Composição: Alfa-cipermetrina 75 g/L + Teflubenzurom 75 g/L SC).</t>
  </si>
  <si>
    <t xml:space="preserve">NITROBASE Z21 1X20L</t>
  </si>
  <si>
    <t xml:space="preserve">RESISTANCE DRILLFLY 4X5L</t>
  </si>
  <si>
    <t xml:space="preserve">Nº 13709</t>
  </si>
  <si>
    <t xml:space="preserve">[NCM/TIPI]: Pela Nota de Subposições 2 do Cap. 38 da TIPI (SC COSIT nº 98.042/2022), preparações contendo 'BIFENTRINA 100' classificam-se em 3808.61 (até 300g), 3808.62 (300g a 7,5kg) ou 3808.69 (&gt;7,5kg). | [MAPA/Bula]: VALIDADO CONFORME BULA: Registro MAPA nº Nº 13709 confirmado na bula oficial para 'SEIZER 100 EC' (Titular: Titular credenciado no AGROFIT/MAPA | Composição: BIFENTRINA 100).</t>
  </si>
  <si>
    <t xml:space="preserve">SIALEX 500 10X1KG</t>
  </si>
  <si>
    <t xml:space="preserve">03994 (3994)</t>
  </si>
  <si>
    <t xml:space="preserve">[NCM/TIPI]: Classificação NCM compatível com a natureza química/agronômica do produto na TIPI. | [MAPA/Bula]: VALIDADO CONFORME BULA: Registro MAPA nº 03994 (3994) confirmado na bula oficial para 'Sialex 500' (Titular: Sumitomo Chemical | Composição: Procimidona / Tiofanato 500 SC).</t>
  </si>
  <si>
    <t xml:space="preserve">SONDA 1X20L</t>
  </si>
  <si>
    <t xml:space="preserve">Nº 28920</t>
  </si>
  <si>
    <t xml:space="preserve">[NCM/TIPI]: Classificação NCM compatível com a natureza química/agronômica do produto na TIPI. | [MAPA/Bula]: VALIDADO CONFORME BULA: Registro MAPA nº Nº 28920 confirmado na bula oficial para 'SONDA' (Titular: Titular credenciado no AGROFIT/MAPA | Composição: TERBUTILAZINA 500).</t>
  </si>
  <si>
    <t xml:space="preserve">STATUS 4X5L</t>
  </si>
  <si>
    <t xml:space="preserve">3808.92.91</t>
  </si>
  <si>
    <t xml:space="preserve">06210 (6210)</t>
  </si>
  <si>
    <t xml:space="preserve">[NCM/TIPI]: Classificação NCM compatível com a natureza química/agronômica do produto na TIPI. | [MAPA/Bula]: VALIDADO CONFORME BULA: Registro MAPA nº 06210 (6210) confirmado na bula oficial para 'Status' (Titular: Sipcam Nichino | Composição: Clorotalonil + Oxicloreto de cobre).</t>
  </si>
  <si>
    <t xml:space="preserve">VITAL BORO POLYOL 4X5L</t>
  </si>
  <si>
    <t xml:space="preserve">VOTIVO PRIME 4X5L</t>
  </si>
  <si>
    <t xml:space="preserve">Nº 32717</t>
  </si>
  <si>
    <t xml:space="preserve">[NCM/TIPI]: Classificado na posição 38.08 (3808.99.95), amparado pelo art. 1º, II, da Lei nº 10.925/2004 como defensivo biológico. | [MAPA/Bula]: VALIDADO CONFORME BULA: Registro MAPA nº Nº 32717 confirmado na bula oficial para 'VOTIVO PRIME' (Titular: Titular credenciado no AGROFIT/MAPA | Composição: Bacillus firmus Cepa I-1582 - 240).</t>
  </si>
  <si>
    <t xml:space="preserve">CROPSTAR FS 600 4X5L</t>
  </si>
  <si>
    <t xml:space="preserve">02506 (2506)</t>
  </si>
  <si>
    <t xml:space="preserve">[NCM/TIPI]: Classificação NCM compatível com a natureza química/agronômica do produto na TIPI. | [MAPA/Bula]: VALIDADO CONFORME BULA: Registro MAPA nº 02506 (2506) confirmado na bula oficial para 'Cropstar FS 600' (Titular: Bayer S.A. | Composição: Imidacloprido 150 g/L + Tiodicarbe 450 g/L FS).</t>
  </si>
  <si>
    <t xml:space="preserve">CRUCIAL 1X20L</t>
  </si>
  <si>
    <t xml:space="preserve">EXCALIA MAX 1X20L</t>
  </si>
  <si>
    <t xml:space="preserve">FERT VITAL MANGANES 4X5L</t>
  </si>
  <si>
    <t xml:space="preserve">FLAXTON 4X5L</t>
  </si>
  <si>
    <t xml:space="preserve">Nº 27617</t>
  </si>
  <si>
    <t xml:space="preserve">[NCM/TIPI]: O ingrediente ativo 'CLORETO DE MEPIQUATE 250' é um regulador de crescimento vegetal (subposição específica 3808.93.59 na TIPI), mas foi cadastrado em 3808.93.29 (Fungicida/Herbicida). | [MAPA/Bula]: VALIDADO CONFORME BULA: Registro MAPA nº Nº 27617 confirmado na bula oficial para 'FLAXTON' (Titular: Titular credenciado no AGROFIT/MAPA | Composição: CLORETO DE MEPIQUATE 250).</t>
  </si>
  <si>
    <t xml:space="preserve">SPREAD COMBO 1X1L</t>
  </si>
  <si>
    <t xml:space="preserve">GOEMON 1X20L</t>
  </si>
  <si>
    <t xml:space="preserve">Nº 21221</t>
  </si>
  <si>
    <t xml:space="preserve">[NCM/TIPI]: Classificação NCM compatível com a natureza química/agronômica do produto na TIPI. | [MAPA/Bula]: VALIDADO CONFORME BULA: Registro MAPA nº Nº 21221 confirmado na bula oficial para 'GOEMON' (Titular: Titular credenciado no AGROFIT/MAPA | Composição: Ciclaniliprole 50).</t>
  </si>
  <si>
    <t xml:space="preserve">SENSUS 4X5L</t>
  </si>
  <si>
    <t xml:space="preserve">Nº 22622</t>
  </si>
  <si>
    <t xml:space="preserve">[NCM/TIPI]: Classificação NCM compatível com a natureza química/agronômica do produto na TIPI. | [MAPA/Bula]: VALIDADO CONFORME BULA: Registro MAPA nº Nº 22622 confirmado na bula oficial para 'SENSUS' (Titular: Titular credenciado no AGROFIT/MAPA | Composição: Clomazona 250).</t>
  </si>
  <si>
    <t xml:space="preserve">MAXSAN 4X5L</t>
  </si>
  <si>
    <t xml:space="preserve">Nº 35619</t>
  </si>
  <si>
    <t xml:space="preserve">[NCM/TIPI]: Classificação NCM compatível com a natureza química/agronômica do produto na TIPI. | [MAPA/Bula]: VALIDADO CONFORME BULA: Registro MAPA nº Nº 35619 confirmado na bula oficial para 'MAXSAN' (Titular: Titular credenciado no AGROFIT/MAPA | Composição: Dinotefuram 100 + Piriproxifem 25).</t>
  </si>
  <si>
    <t xml:space="preserve">SOJA KRAFT 10 1X1L</t>
  </si>
  <si>
    <t xml:space="preserve">SPHERE MAX SC 1X1L</t>
  </si>
  <si>
    <t xml:space="preserve">08608 (8608)</t>
  </si>
  <si>
    <t xml:space="preserve">[NCM/TIPI]: Classificação NCM compatível com a natureza química/agronômica do produto na TIPI. | [MAPA/Bula]: VALIDADO CONFORME BULA: Registro MAPA nº 08608 (8608) confirmado na bula oficial para 'Sphere Max SC' (Titular: Bayer S.A. | Composição: Trifloxistrobina 375 g/L + Ciproconazol 160 g/L SC).</t>
  </si>
  <si>
    <t xml:space="preserve">IMPAR BR 4X5L</t>
  </si>
  <si>
    <t xml:space="preserve">Nº 37019</t>
  </si>
  <si>
    <t xml:space="preserve">[NCM/TIPI]: Classificação NCM compatível com a natureza química/agronômica do produto na TIPI. | [MAPA/Bula]: VALIDADO CONFORME BULA: Registro MAPA nº Nº 37019 confirmado na bula oficial para 'IMPAR BR' (Titular: Titular credenciado no AGROFIT/MAPA | Composição: Tiametoxam 350).</t>
  </si>
  <si>
    <t xml:space="preserve">ALLUS 1X20L</t>
  </si>
  <si>
    <t xml:space="preserve">Nº 28320</t>
  </si>
  <si>
    <t xml:space="preserve">[NCM/TIPI]: Classificação NCM compatível com a natureza química/agronômica do produto na TIPI. | [MAPA/Bula]: VALIDADO CONFORME BULA: Registro MAPA nº Nº 28320 confirmado na bula oficial para 'ALLUS' (Titular: Titular credenciado no AGROFIT/MAPA | Composição: SULFENTRAZONA 300 + IMAZETAPIR 80).</t>
  </si>
  <si>
    <t xml:space="preserve">APRON RFC 4X5L</t>
  </si>
  <si>
    <t xml:space="preserve">04007 (4007)</t>
  </si>
  <si>
    <t xml:space="preserve">[NCM/TIPI]: O princípio ativo 'FLUDIOXONIL 25 + METALAXIL-M 37,5' é um FUNGICIDA (subposição 3808.92.99), mas o produto foi cadastrado erroneamente na NCM 3808.91.91. | [MAPA/Bula]: VALIDADO CONFORME BULA: Registro MAPA nº 04007 (4007) confirmado na bula oficial para 'Apron RFC' (Titular: Syngenta Proteção de Cultivos | Composição: Fludioxonil 25 g/L + Metalaxil-M 37,5 g/L FS).</t>
  </si>
  <si>
    <t xml:space="preserve">BASEK S25 1X20L</t>
  </si>
  <si>
    <t xml:space="preserve">BIOKILLER 4X5L</t>
  </si>
  <si>
    <t xml:space="preserve">Nº 44024</t>
  </si>
  <si>
    <t xml:space="preserve">[NCM/TIPI]: Classificado na posição 38.08 (3808.91.99), amparado pelo art. 1º, II, da Lei nº 10.925/2004 como defensivo biológico. | [MAPA/Bula]: VALIDADO CONFORME BULA: Registro MAPA nº Nº 44024 confirmado na bula oficial para 'Biofoll Duo / Cropbio Biokiller / Biotop Duo / Insecta BM / Bowe' (Titular: Serquibio Biotecnologia Ltda. | Composição: Beauveria bassiana IBCB 66 + Metarhizium anisopliae IBCB 425 EC).</t>
  </si>
  <si>
    <t xml:space="preserve">CONVENCE FS 1X1L</t>
  </si>
  <si>
    <t xml:space="preserve">Nº 13019</t>
  </si>
  <si>
    <t xml:space="preserve">[NCM/TIPI]: Classificação NCM compatível com a natureza química/agronômica do produto na TIPI. | [MAPA/Bula]: VALIDADO CONFORME BULA: Registro MAPA nº Nº 13019 confirmado na bula oficial para 'CONVENCE FS' (Titular: Titular credenciado no AGROFIT/MAPA | Composição: ACETAMIPRIDO 400 + FIPRONIL 100).</t>
  </si>
  <si>
    <t xml:space="preserve">MANGANES 10% 1X20L</t>
  </si>
  <si>
    <t xml:space="preserve">NOMOLT 150 4X5L</t>
  </si>
  <si>
    <t xml:space="preserve">01393 (1393)</t>
  </si>
  <si>
    <t xml:space="preserve">[NCM/TIPI]: Classificação NCM compatível com a natureza química/agronômica do produto na TIPI. | [MAPA/Bula]: VALIDADO CONFORME BULA: Registro MAPA nº 01393 (1393) confirmado na bula oficial para 'Nomolt 150' (Titular: BASF S.A. | Composição: Teflubenzurom 150 g/L SC).</t>
  </si>
  <si>
    <t xml:space="preserve">STARKE 1X2L</t>
  </si>
  <si>
    <t xml:space="preserve">1X2L</t>
  </si>
  <si>
    <t xml:space="preserve">[NCM/TIPI]: Pela Nota de Subposições 2 do Cap. 38 da TIPI (SC COSIT nº 98.042/2022), preparações contendo 'MELATIONA 1000' classificam-se em 3808.61 (até 300g), 3808.62 (300g a 7,5kg) ou 3808.69 (&gt;7,5kg). | [MAPA/Bula]: VALIDADO CONFORME BULA: Registro MAPA nº Nº 18220 confirmado na bula oficial para 'TORA' (Titular: Titular credenciado no AGROFIT/MAPA | Composição: MELATIONA 1000).</t>
  </si>
  <si>
    <t xml:space="preserve">PONTUAL 1X20L</t>
  </si>
  <si>
    <t xml:space="preserve">Nº 27821</t>
  </si>
  <si>
    <t xml:space="preserve">[NCM/TIPI]: Classificação NCM compatível com a natureza química/agronômica do produto na TIPI. | [MAPA/Bula]: VALIDADO CONFORME BULA: Registro MAPA nº Nº 27821 confirmado na bula oficial para 'PONTUAL' (Titular: Titular credenciado no AGROFIT/MAPA | Composição: CLOROTALONIL 650).</t>
  </si>
  <si>
    <t xml:space="preserve">RESISTANCE TM 4X5L</t>
  </si>
  <si>
    <t xml:space="preserve">VEZIR 1X20L</t>
  </si>
  <si>
    <t xml:space="preserve">06697 (6697)</t>
  </si>
  <si>
    <t xml:space="preserve">[NCM/TIPI]: Classificação NCM compatível com a natureza química/agronômica do produto na TIPI. | [MAPA/Bula]: VALIDADO CONFORME BULA: Registro MAPA nº 06697 (6697) confirmado na bula oficial para 'Vezir' (Titular: Adama Brasil | Composição: Imazetapir 106/212 g/L SL).</t>
  </si>
  <si>
    <t xml:space="preserve">ROMEO SC 1X10L</t>
  </si>
  <si>
    <t xml:space="preserve">08520 (8520)</t>
  </si>
  <si>
    <t xml:space="preserve">[NCM/TIPI]: Classificado na posição 38.08 (3808.92.99), amparado pelo art. 1º, II, da Lei nº 10.925/2004 como defensivo biológico. | [MAPA/Bula]: VALIDADO CONFORME BULA: Registro MAPA nº 08520 (8520) confirmado na bula oficial para 'Romeo SC' (Titular: AgBiTech / Sumitomo | Composição: Cerevisane 100 g/L SC).</t>
  </si>
  <si>
    <t xml:space="preserve">ZATO ADJ 4X5L</t>
  </si>
  <si>
    <t xml:space="preserve">3910.00.12</t>
  </si>
  <si>
    <t xml:space="preserve">[NCM/TIPI]: NCM 3910.00.12 adequada para agentes orgânicos de superfície / preparações tensoativas ou silicones adjuvantes.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</si>
  <si>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05110 (5110)</t>
  </si>
  <si>
    <t xml:space="preserve">[NCM/TIPI]: Pela Nota de Subposições 2 do Cap. 38 da TIPI (SC COSIT nº 98.042/2022), preparações contendo 'TIAMETOXAM 141 + LAMBDA-CIALOTRINA 106' classificam-se em 3808.61 (até 300g), 3808.62 (300g a 7,5kg) ou 3808.69 (&gt;7,5kg). | [MAPA/Bula]: VALIDADO CONFORME BULA: Registro MAPA nº 05110 (5110) confirmado na bula oficial para 'Platinum Neo' (Titular: Syngenta Proteção de Cultivos | Composição: Tiametoxam 141 g/L + Lambda-cialotrina 106 g/L ZC).</t>
  </si>
  <si>
    <t xml:space="preserve">BIOBRADY 1,75L</t>
  </si>
  <si>
    <t xml:space="preserve">1,75L</t>
  </si>
  <si>
    <t xml:space="preserve">INOCULANTE GRAP NOD L+ 7L</t>
  </si>
  <si>
    <t xml:space="preserve">7L</t>
  </si>
  <si>
    <t xml:space="preserve">Nº 18107</t>
  </si>
  <si>
    <t xml:space="preserve">[NCM/TIPI]: Pela Nota de Subposições 2 do Cap. 38 da TIPI (SC COSIT nº 98.042/2022), preparações contendo 'BIFENTRINA 50 + CARBOSULFANO 150' classificam-se em 3808.61 (até 300g), 3808.62 (300g a 7,5kg) ou 3808.69 (&gt;7,5kg). | [MAPA/Bula]: VALIDADO CONFORME BULA: Registro MAPA nº Nº 18107 confirmado na bula oficial para 'TALISMAN' (Titular: Titular credenciado no AGROFIT/MAPA | Composição: BIFENTRINA 50 + CARBOSULFANO 150).</t>
  </si>
  <si>
    <t xml:space="preserve">ENDOFUSE 0,5L</t>
  </si>
  <si>
    <t xml:space="preserve">0,5L</t>
  </si>
  <si>
    <t xml:space="preserve">SELECT 240 EC 4X5L</t>
  </si>
  <si>
    <t xml:space="preserve">ESTIMULUS ROOT + 1L</t>
  </si>
  <si>
    <t xml:space="preserve">SPREAD MPO 1X1L</t>
  </si>
  <si>
    <t xml:space="preserve">AGRIS 20L</t>
  </si>
  <si>
    <t xml:space="preserve">[NCM/TIPI]: A Solução de Consulta COSIT nº 4/2024 analisou exatamente adjuvantes classificados na posição 38.08 e negou a alíquota zero por não serem agrotóxicos. | [MAPA/Bula]: VALIDAÇÃO REGULATÓRIA: O campo Num MAPA = 0 está correto do ponto de vista regulatório, pois o Ato SDA/MAPA nº 104, de 20/11/2017, e o Decreto nº 10.833/2021 dispensaram os adjuvantes agrícolas de registro no MAPA. Justamente por não possuírem registro de agrotóxico no MAPA, a RFB (SC COSIT nº 4/2024) veda a alíquota zero de PIS/COFINS.</t>
  </si>
  <si>
    <t xml:space="preserve">VITAL SOLO BORO 4X5L</t>
  </si>
  <si>
    <t xml:space="preserve">RESISTANCE BAC-F 4X5L</t>
  </si>
  <si>
    <t xml:space="preserve">RESISTANCE BAC-F 1X20L</t>
  </si>
  <si>
    <t xml:space="preserve">IMIDACLOPRID NORTOX 4X5L</t>
  </si>
  <si>
    <t xml:space="preserve">03123 (3123)</t>
  </si>
  <si>
    <t xml:space="preserve">[NCM/TIPI]: Classificação NCM compatível com a natureza química/agronômica do produto na TIPI. | [MAPA/Bula]: VALIDADO CONFORME BULA: Registro MAPA nº 03123 (3123) confirmado na bula oficial para 'Imidacloprid Nortox' (Titular: Nortox S.A. | Composição: Imidacloprido 480 g/L SC).</t>
  </si>
  <si>
    <t xml:space="preserve">KYOJIN 10L</t>
  </si>
  <si>
    <t xml:space="preserve">10L</t>
  </si>
  <si>
    <t xml:space="preserve">Nº 15420</t>
  </si>
  <si>
    <t xml:space="preserve">[NCM/TIPI]: Classificação NCM compatível com a natureza química/agronômica do produto na TIPI. | [MAPA/Bula]: VALIDADO CONFORME BULA: Registro MAPA nº Nº 15420 confirmado na bula oficial para 'KYOJIN 10L' (Titular: Titular credenciado no AGROFIT/MAPA | Composição: Piroxasulfona 300 + Flumioxazina 200).</t>
  </si>
  <si>
    <t xml:space="preserve">PRISMA PLUS 1X10L</t>
  </si>
  <si>
    <t xml:space="preserve">09917 (9917)</t>
  </si>
  <si>
    <t xml:space="preserve">[NCM/TIPI]: Classificação NCM compatível com a natureza química/agronômica do produto na TIPI. | [MAPA/Bula]: VALIDADO CONFORME BULA: Registro MAPA nº 09917 (9917) confirmado na bula oficial para 'Prisma Plus' (Titular: Jubaili / Rotam | Composição: Difenoconazol 250 g/L EC).</t>
  </si>
  <si>
    <t xml:space="preserve">ECHO 1X20L</t>
  </si>
  <si>
    <t xml:space="preserve">Nº 12407</t>
  </si>
  <si>
    <t xml:space="preserve">[NCM/TIPI]: Classificação NCM compatível com a natureza química/agronômica do produto na TIPI. | [MAPA/Bula]: VALIDADO CONFORME BULA: Registro MAPA nº Nº 12407 confirmado na bula oficial para 'ECHO' (Titular: Titular credenciado no AGROFIT/MAPA | Composição: Clorotalonil 750).</t>
  </si>
  <si>
    <t xml:space="preserve">ACTTRA NOCTUIDEO 1X20L</t>
  </si>
  <si>
    <t xml:space="preserve">ATRATIVO ALIMENTAR / SEMIOQUIMICO NOCTUIDEOS</t>
  </si>
  <si>
    <t xml:space="preserve">Verificar Registro MAPA da Isca/Atrativo (Ato MAPA)</t>
  </si>
  <si>
    <t xml:space="preserve">[NCM/TIPI]: NCM 3808.91.99 correta para atrativo inseticida; corrigir a descrição interna do princípio ativo de 'INOCULANTE' para 'ATRATIVO ALIMENTAR / SEMIOQUÍMICO'. | [MAPA/Bula]: Item ACTTRA NOCTUIDEO cadastrado com MAPA=0 e PA 'INOCULANTE'. Verificar no rótulo do fabricante (ISCA Tecnologias) o número de registro MAPA como atrativo alimentar/semioquímico ou dispensa de registro aplicável a adjuvante/atrativo alimentar.</t>
  </si>
  <si>
    <t xml:space="preserve">IMPULSE 1X20L</t>
  </si>
  <si>
    <t xml:space="preserve">03202 (3202)</t>
  </si>
  <si>
    <t xml:space="preserve">[NCM/TIPI]: Classificação NCM compatível com a natureza química/agronômica do produto na TIPI. | [MAPA/Bula]: VALIDADO CONFORME BULA: Registro MAPA nº 03202 (3202) confirmado na bula oficial para 'Impulse' (Titular: Bayer S.A. | Composição: Etefom 720 g/L SL).</t>
  </si>
  <si>
    <t xml:space="preserve">MESOPEC 4X5L</t>
  </si>
  <si>
    <t xml:space="preserve">00820 (820)</t>
  </si>
  <si>
    <t xml:space="preserve">[NCM/TIPI]: O princípio ativo 'MESOTRIONA 480' é um HERBICIDA (deveria estar em 3808.93.29), mas foi cadastrado em 3808.91.99. | [MAPA/Bula]: VALIDADO CONFORME BULA: Registro MAPA nº 00820 (820) confirmado na bula oficial para 'Mesopec' (Titular: Rainbow / Sino-Agri | Composição: Mesotriona 480 g/L SC).</t>
  </si>
  <si>
    <t xml:space="preserve">TAKUMI 4X5L</t>
  </si>
  <si>
    <t xml:space="preserve">Nº 16320</t>
  </si>
  <si>
    <t xml:space="preserve">[NCM/TIPI]: Classificação NCM compatível com a natureza química/agronômica do produto na TIPI. | [MAPA/Bula]: VALIDADO CONFORME BULA: Registro MAPA nº Nº 16320 confirmado na bula oficial para 'TAKUMI' (Titular: Titular credenciado no AGROFIT/MAPA | Composição: FLUBENDIAMIDA 222).</t>
  </si>
  <si>
    <t xml:space="preserve">CIPERMETRINA NORTOX 250 EC 4X5L</t>
  </si>
  <si>
    <t xml:space="preserve">03101 (3101)</t>
  </si>
  <si>
    <t xml:space="preserve">[NCM/TIPI]: Classificação NCM compatível com a natureza química/agronômica do produto na TIPI. | [MAPA/Bula]: VALIDADO CONFORME BULA: Registro MAPA nº 03101 (3101) confirmado na bula oficial para 'Cipermetrina Nortox 250 EC' (Titular: Nortox S.A. | Composição: Cipermetrina 250 g/L EC).</t>
  </si>
  <si>
    <t xml:space="preserve">INOCULANTE BS GRAMINEAS 3L</t>
  </si>
  <si>
    <t xml:space="preserve">3L</t>
  </si>
  <si>
    <t xml:space="preserve">INOCULANTE GRAP NOD L + 1,75L</t>
  </si>
  <si>
    <t xml:space="preserve">UNIZEB GOLD BR 15X1KG</t>
  </si>
  <si>
    <t xml:space="preserve">15X1KG</t>
  </si>
  <si>
    <t xml:space="preserve">Nº 18007</t>
  </si>
  <si>
    <t xml:space="preserve">[NCM/TIPI]: Classificação NCM compatível com a natureza química/agronômica do produto na TIPI. | [MAPA/Bula]: VALIDADO CONFORME BULA: Registro MAPA nº Nº 18007 confirmado na bula oficial para 'UNIZEB GOLD BR 15X1KG' (Titular: Titular credenciado no AGROFIT/MAPA | Composição: MANCOZEB 750).</t>
  </si>
  <si>
    <t xml:space="preserve">CERTEZA N 4X5L</t>
  </si>
  <si>
    <t xml:space="preserve">04810 (4810)</t>
  </si>
  <si>
    <t xml:space="preserve">[NCM/TIPI]: Classificação NCM compatível com a natureza química/agronômica do produto na TIPI. | [MAPA/Bula]: VALIDADO CONFORME BULA: Registro MAPA nº 04810 (4810) confirmado na bula oficial para 'Certeza N' (Titular: Iharabras S.A. | Composição: Fluazinam 210 g/L + Tiofanato-metílico 315 g/L FS).</t>
  </si>
  <si>
    <t xml:space="preserve">BRUCIA 5L</t>
  </si>
  <si>
    <t xml:space="preserve">Nº 19123</t>
  </si>
  <si>
    <t xml:space="preserve">[NCM/TIPI]: Classificação NCM compatível com a natureza química/agronômica do produto na TIPI. | [MAPA/Bula]: VALIDADO CONFORME BULA: Registro MAPA nº Nº 19123 confirmado na bula oficial para 'BRUCIA 5L' (Titular: Titular credenciado no AGROFIT/MAPA | Composição: Tolpiralate 400).</t>
  </si>
  <si>
    <t xml:space="preserve">CELLERON 1X20L</t>
  </si>
  <si>
    <t xml:space="preserve">AGCN FULL 20L</t>
  </si>
  <si>
    <t xml:space="preserve">PROMALIN 1L</t>
  </si>
  <si>
    <t xml:space="preserve">01802 (1802)</t>
  </si>
  <si>
    <t xml:space="preserve">[NCM/TIPI]: Classificação NCM compatível com a natureza química/agronômica do produto na TIPI. | [MAPA/Bula]: VALIDADO CONFORME BULA: Registro MAPA nº 01802 (1802) confirmado na bula oficial para 'Promalin' (Titular: Sumitomo / Valent | Composição: Ácido giberélico + Benziladenina).</t>
  </si>
  <si>
    <t xml:space="preserve">PANGA 900 WG 1X10KG</t>
  </si>
  <si>
    <t xml:space="preserve">TRIDIUM 1X10KG</t>
  </si>
  <si>
    <t xml:space="preserve">Nº 31017</t>
  </si>
  <si>
    <t xml:space="preserve">[NCM/TIPI]: Classificação NCM compatível com a natureza química/agronômica do produto na TIPI. | [MAPA/Bula]: VALIDADO CONFORME BULA: Registro MAPA nº Nº 31017 confirmado na bula oficial para 'TRIDIUM' (Titular: Titular credenciado no AGROFIT/MAPA | Composição: PICOXISTROBINA + TEBUCONAZOL + MANCOZEBE).</t>
  </si>
  <si>
    <t xml:space="preserve">09407 (9407)</t>
  </si>
  <si>
    <t xml:space="preserve">[NCM/TIPI]: Pela Nota de Subposições 2 do Cap. 38 da TIPI (SC COSIT nº 98.042/2022), preparações contendo 'BIFENTRINA 100' classificam-se em 3808.61 (até 300g), 3808.62 (300g a 7,5kg) ou 3808.69 (&gt;7,5kg). | [MAPA/Bula]: VALIDADO CONFORME BULA: Registro MAPA nº 09407 (9407) confirmado na bula oficial para 'Ariete' (Titular: Ourofino / FMC | Composição: Bifentrina 100 g/L EC).</t>
  </si>
  <si>
    <t xml:space="preserve">BACSTIM 100 5L</t>
  </si>
  <si>
    <t xml:space="preserve">VERSATILIS 5L</t>
  </si>
  <si>
    <t xml:space="preserve">Nº 1188593</t>
  </si>
  <si>
    <t xml:space="preserve">[NCM/TIPI]: Classificação NCM compatível com a natureza química/agronômica do produto na TIPI. | [MAPA/Bula]: VALIDADO CONFORME BULA: Registro MAPA nº Nº 1188593 confirmado na bula oficial para 'Versatilis' (Titular: BASF S.A. | Composição: Fenpropimorfe 750 g/L EC).</t>
  </si>
  <si>
    <t xml:space="preserve">INEDITO 1X20L</t>
  </si>
  <si>
    <t xml:space="preserve">07823 (7823)</t>
  </si>
  <si>
    <t xml:space="preserve">[NCM/TIPI]: Classificação NCM compatível com a natureza química/agronômica do produto na TIPI. | [MAPA/Bula]: VALIDADO CONFORME BULA: Registro MAPA nº 07823 (7823) confirmado na bula oficial para 'Inédito' (Titular: Albaugh / Ourofino | Composição: Glufosinato - sal de amônio 200 g/L SL).</t>
  </si>
  <si>
    <t xml:space="preserve">GAME 4X5L</t>
  </si>
  <si>
    <t xml:space="preserve">01613 (1613)</t>
  </si>
  <si>
    <t xml:space="preserve">[NCM/TIPI]: Classificação NCM compatível com a natureza química/agronômica do produto na TIPI. | [MAPA/Bula]: VALIDADO CONFORME BULA: Registro MAPA nº 01613 (1613) confirmado na bula oficial para 'Game' (Titular: Perterra / Ourofino | Composição: Lufenurom 50 g/L EC).</t>
  </si>
  <si>
    <t xml:space="preserve">TRICLOMAX 1X20L (IMP) RW</t>
  </si>
  <si>
    <t xml:space="preserve">Nº 18122</t>
  </si>
  <si>
    <t xml:space="preserve">[NCM/TIPI]: Classificação NCM compatível com a natureza química/agronômica do produto na TIPI. | [MAPA/Bula]: VALIDADO CONFORME BULA: Registro MAPA nº Nº 18122 confirmado na bula oficial para 'TRICLOMAX' (Titular: Titular credenciado no AGROFIT/MAPA | Composição: TRICLOPIR-BUTILICO).</t>
  </si>
  <si>
    <t xml:space="preserve">TRICLOMAX 0,200L AMOSTRA (IMP) RW</t>
  </si>
  <si>
    <t xml:space="preserve">[NCM/TIPI]: Classificação NCM compatível com a natureza química/agronômica do produto na TIPI. | [MAPA/Bula]: VALIDADO CONFORME BULA: Registro MAPA nº Nº 18122 confirmado na bula oficial para 'TRICLOMAX 0,200L AMOSTRA (IMP) RW' (Titular: Titular credenciado no AGROFIT/MAPA | Composição: TRICLOPIR-BUTILICO).</t>
  </si>
  <si>
    <t xml:space="preserve">GLUFE 200 SL 1X20L IMP LL</t>
  </si>
  <si>
    <t xml:space="preserve">Nº 25423</t>
  </si>
  <si>
    <t xml:space="preserve">[NCM/TIPI]: Classificação NCM compatível com a natureza química/agronômica do produto na TIPI. | [MAPA/Bula]: VALIDADO CONFORME BULA: Registro MAPA nº Nº 25423 confirmado na bula oficial para 'GLUFE 200 SL' (Titular: Titular credenciado no AGROFIT/MAPA | Composição: GLUFOSINATO 200).</t>
  </si>
  <si>
    <t xml:space="preserve">GLUFOSINATE 200 SL LIBEN 0,200L AMOSTRA (IMP) LL</t>
  </si>
  <si>
    <t xml:space="preserve">[NCM/TIPI]: Classificação NCM compatível com a natureza química/agronômica do produto na TIPI. | [MAPA/Bula]: VALIDADO CONFORME BULA: Registro MAPA nº Nº 25423 confirmado na bula oficial para 'GLUFOSINATE 200 SL LIBEN 0,200L AMOSTRA (IMP) LL' (Titular: Titular credenciado no AGROFIT/MAPA | Composição: GLUFOSINATO 200).</t>
  </si>
  <si>
    <t xml:space="preserve">DK MAX 1X10KG</t>
  </si>
  <si>
    <t xml:space="preserve">09520 (9520)</t>
  </si>
  <si>
    <t xml:space="preserve">[NCM/TIPI]: Classificação NCM compatível com a natureza química/agronômica do produto na TIPI. | [MAPA/Bula]: VALIDADO CONFORME BULA: Registro MAPA nº 09520 (9520) confirmado na bula oficial para 'DK Max' (Titular: Rainbow / Perterra | Composição: Atrazina 900 g/kg WG).</t>
  </si>
  <si>
    <t xml:space="preserve">THIOPHANATE METHYL 500 SC YONON 1X20L (IMP)</t>
  </si>
  <si>
    <t xml:space="preserve">02024 (2024)</t>
  </si>
  <si>
    <t xml:space="preserve">[NCM/TIPI]: Classificação NCM compatível com a natureza química/agronômica do produto na TIPI. | [MAPA/Bula]: VALIDADO CONFORME BULA: Registro MAPA nº 02024 (2024) confirmado na bula oficial para 'Thiophanate Methyl 500 SC Yonon' (Titular: Yonon | Composição: Tiofanato-metílico 500 g/L SC).</t>
  </si>
  <si>
    <t xml:space="preserve">TIOFANATO 500 SC PROVENTIS 1X20L (IMP) NN</t>
  </si>
  <si>
    <t xml:space="preserve">2,4-D 806 SL CROTECT BBA 1X20L</t>
  </si>
  <si>
    <t xml:space="preserve">06715 (6715)</t>
  </si>
  <si>
    <t xml:space="preserve">[NCM/TIPI]: Classificação NCM compatível com a natureza química/agronômica do produto na TIPI. | [MAPA/Bula]: VALIDADO CONFORME BULA: Registro MAPA nº 06715 (6715) confirmado na bula oficial para '2,4-D 806 SL Crotect' (Titular: Crotect Crop Science | Composição: 2,4-D 806 g/L SL).</t>
  </si>
  <si>
    <t xml:space="preserve">GLUFOS-WYN 200 SL 1X20L (IMP)</t>
  </si>
  <si>
    <t xml:space="preserve">Nº 16922</t>
  </si>
  <si>
    <t xml:space="preserve">[NCM/TIPI]: Classificação NCM compatível com a natureza química/agronômica do produto na TIPI. | [MAPA/Bula]: VALIDADO CONFORME BULA: Registro MAPA nº Nº 16922 confirmado na bula oficial para 'GLUFOS-WYN 200 SL' (Titular: Titular credenciado no AGROFIT/MAPA | Composição: GLUFOSINATO 200).</t>
  </si>
  <si>
    <t xml:space="preserve">GLUFOSINATE 200 SL LIBEN 1X20L (IMP) LL</t>
  </si>
  <si>
    <t xml:space="preserve">[NCM/TIPI]: Dentro dos herbicidas (3808.93), a TIPI prevê o subitem 3808.93.29 para 'GLUFOSINATO 200' (3808.93.22=2,4-D; .23=Atrazina/Diuron; .24=Glifosato/Imazaquim/Lactofen; .27=Imazetapir/Sulfonilureias; .28=Ametrina/Hexazinona; .29=Outros). | [MAPA/Bula]: VALIDADO CONFORME BULA: Registro MAPA nº Nº 25423 confirmado na bula oficial para 'GLUFOSINATE 200 SL LIBEN' (Titular: Titular credenciado no AGROFIT/MAPA | Composição: GLUFOSINATO 200).</t>
  </si>
  <si>
    <t xml:space="preserve">MAGNUM 4X5KG</t>
  </si>
  <si>
    <t xml:space="preserve">Nº 34318</t>
  </si>
  <si>
    <t xml:space="preserve">[NCM/TIPI]: Classificação NCM compatível com a natureza química/agronômica do produto na TIPI. | [MAPA/Bula]: VALIDADO CONFORME BULA: Registro MAPA nº Nº 34318 confirmado na bula oficial para 'MAGNUM' (Titular: Titular credenciado no AGROFIT/MAPA | Composição: ACEFATO 970).</t>
  </si>
  <si>
    <t xml:space="preserve">ENSIS-TURBO 0,200L (IMP) AMOSTRA</t>
  </si>
  <si>
    <t xml:space="preserve">FOSFATO MONOAMONICO 11-52-00 (44% H2O) (VALIDAR)</t>
  </si>
  <si>
    <t xml:space="preserve">FIPRONIL 250 FS ( PRINCIPIO ATIVO)</t>
  </si>
  <si>
    <t xml:space="preserve">METSULFUROM - METILICO (PRINCIPIO ATIVO)</t>
  </si>
  <si>
    <t xml:space="preserve">14623 (Bula Milha / Derrete / Metsulfurom Ultra)</t>
  </si>
  <si>
    <t xml:space="preserve">[NCM/TIPI]: Classificação NCM compatível com a natureza química/agronômica do produto na TIPI. | [MAPA/Bula]: ERRO DE CADASTRO: O código 7122 foi copiado em bloco nas linhas 699 a 704. Para Metsulfurom-metílico 600 g/kg WG constante no catálogo (MILHA / DERRETE / METSULFUROM ULTRA — Agriconnection, Cods 6459 e 6570), o Registro MAPA oficial na bula é nº 14623.</t>
  </si>
  <si>
    <t xml:space="preserve">PROTIOCONAZOLE175+TRIFLOXYSTROBIN150 (PRINC ATIVO)</t>
  </si>
  <si>
    <t xml:space="preserve">Nº 34725</t>
  </si>
  <si>
    <t xml:space="preserve">[NCM/TIPI]: Classificação NCM compatível com a natureza química/agronômica do produto na TIPI. | [MAPA/Bula]: CÓDIGO MAPA COMPATÍVEL COM O PRINCÍPIO ATIVO: O Registro MAPA nº Nº 34725 pertence na bula ao produto formulado 'Spireel / Rustban' (Rainbow Defensivos — Trifloxistrobina 150 g/L + Protioconazol 175 g/L SC), compatível com este ingrediente ativo. Se o item for o produto formulado, substituir o sufixo '(PRINCIPIO ATIVO)' pela marca comercial 'Spireel / Rustban'; se for Produto Técnico (TC), utilizar o registro TC específico.</t>
  </si>
  <si>
    <t xml:space="preserve">OXIFLUORFEM 240 (PRINCIPIO ATIVO)</t>
  </si>
  <si>
    <t xml:space="preserve">01838604 / 1838604 (Oxyfluorfen 240 EC Proventis)</t>
  </si>
  <si>
    <t xml:space="preserve">[NCM/TIPI]: O princípio ativo 'OXIFLUORFEM 240' é um HERBICIDA (deveria estar em 3808.93.29), mas foi cadastrado em 3808.91.99. | [MAPA/Bula]: ERRO DE CADASTRO: O código 7122 foi copiado em bloco nas linhas 699 a 704. Para Oxifluorfem 240 g/L EC constante no catálogo (OXYFLUORFEN 240 EC PROVENTIS — Cod 4862), o registro cadastrado é nº 1838604.</t>
  </si>
  <si>
    <t xml:space="preserve">CYPROCONAZOLE80+PICOXYSTROBIN200 (PRINCIPIO ATIVO)</t>
  </si>
  <si>
    <t xml:space="preserve">40024 (Bula Kromstar / Folicron — Rainbow)</t>
  </si>
  <si>
    <t xml:space="preserve">[NCM/TIPI]: O princípio ativo 'CYPROCONAZOLE 80 + PICOXYSTROBIN 200' é um FUNGICIDA (subposição 3808.92.99), mas o produto foi cadastrado erroneamente na NCM 3808.91.99. | [MAPA/Bula]: ERRO DE CADASTRO: O código 7122 foi copiado em bloco nas linhas 699 a 704. Para o fungicida Picoxistrobina 200 g/L + Ciproconazol 80 g/L SC constante no catálogo (KROMSTAR / FOLICRON — Rainbow Defensivos, Cods 6347, 6653, 6674), o Registro MAPA oficial na bula é nº 40024.</t>
  </si>
  <si>
    <t xml:space="preserve">METSULFUROM 600 (PRINCIPIO ATIVO)</t>
  </si>
  <si>
    <t xml:space="preserve">[NCM/TIPI]: O princípio ativo 'METSULFUROM - METILICO' é um HERBICIDA (deveria estar em 3808.93.29), mas foi cadastrado em 3808.91.99. | [MAPA/Bula]: ERRO DE CADASTRO: O código 7122 foi copiado em bloco nas linhas 699 a 704. Para Metsulfurom-metílico 600 g/kg WG constante no catálogo (MILHA / DERRETE / METSULFUROM ULTRA — Agriconnection, Cods 6459 e 6570), o Registro MAPA oficial na bula é nº 14623.</t>
  </si>
  <si>
    <t xml:space="preserve">ATOL TRIO (METOLACHLOR+ATRAZINE+MESOTRIONE) (P. A)</t>
  </si>
  <si>
    <t xml:space="preserve">24925 (Bula Atol Trio — Globachem)</t>
  </si>
  <si>
    <t xml:space="preserve">[NCM/TIPI]: O princípio ativo 'S-METOLACHLOR 290 G/L  +ATRAZINE 200 G/L +MESOTRIONE 40 G/L SE' é um HERBICIDA (deveria estar em 3808.93.29), mas foi cadastrado em 3808.91.99. | [MAPA/Bula]: ERRO DE CADASTRO: O código 7122 foi replicado indevidamente nas linhas 699 a 704. Conforme bula oficial aprovada pelo MAPA/ADAPAR, o herbicida ATOL TRIO (Titular: Globachem Proteção de Cultivos do Brasil Ltda. — S-Metolacloro 290 g/L + Atrazina 200 g/L + Mesotriona 40 g/L SE) possui Registro MAPA nº 24925.</t>
  </si>
  <si>
    <t xml:space="preserve">CERTEZA N 1X20L (VALIDAR FISCAL)</t>
  </si>
  <si>
    <t xml:space="preserve">CERTEZA N 1X1000L</t>
  </si>
  <si>
    <t xml:space="preserve">ENXOFRE BENTONITA - BG 1.097 KG - CAMPO RICO</t>
  </si>
  <si>
    <t xml:space="preserve">1.097 KG</t>
  </si>
  <si>
    <t xml:space="preserve">FLUMIOXAZINA 100 + IMAZETAPIR 200 (PRINC. ATIVO)</t>
  </si>
  <si>
    <t xml:space="preserve">27025 (Bula Pyrox) ou 10416 (Bula Zethamaxx)</t>
  </si>
  <si>
    <t xml:space="preserve">[NCM/TIPI]: Dentro dos herbicidas (3808.93), a TIPI prevê o subitem 3808.93.27 para 'FLUMIOXAZINA 100 + IMAZETAPIR 200' (3808.93.22=2,4-D; .23=Atrazina/Diuron; .24=Glifosato/Imazaquim/Lactofen; .27=Imazetapir/Sulfonilureias; .28=Ametrina/Hexazinona; .29=Outros). | [MAPA/Bula]: ERRO DE CADASTRO: O código 13520 pertence ao CLORIMURON 250 WG RAINBOW. Para a mistura Flumioxazina 100 g/L + Imazetapir 200/212 g/L SC constante no catálogo, os registros MAPA corretos em bula são nº 27025 (PYROX — Cods 6652, 6774) ou nº 10416 (ZETHAMAXX — Cods 597, 2904).</t>
  </si>
  <si>
    <t xml:space="preserve">PIRIPROXIFEM 100 + LUFENUROM 30 (PRINC. ATIVO)</t>
  </si>
  <si>
    <t xml:space="preserve">Verificar Bula Buccula (Não usar 36419)</t>
  </si>
  <si>
    <t xml:space="preserve">[NCM/TIPI]: Classificação NCM compatível com a natureza química/agronômica do produto na TIPI. | [MAPA/Bula]: ERRO DE CADASTRO: O código 36419 pertence ao PIRIPROXIFEM CCAB 100 EC (Piriproxifem 100 g/L isolado, sem Lufenurom). Para a mistura Piriproxifem 100 g/L + Lufenurom 30 g/L (marca comercial BUCCULA), deve ser vinculado o registro MAPA específico da mistura formulada.</t>
  </si>
  <si>
    <t xml:space="preserve">ACETAMIPRIDO 186 + PIRIPROXIFEM 124 (PRINC. ATIVO)</t>
  </si>
  <si>
    <t xml:space="preserve">32518 (Bula Trivor — Adama) ou 13926 (Trivor BR)</t>
  </si>
  <si>
    <t xml:space="preserve">[NCM/TIPI]: Classificação NCM compatível com a natureza química/agronômica do produto na TIPI. | [MAPA/Bula]: ERRO DE CADASTRO: O código 01218 (1218) pertence ao ACETAMIPRID NORTOX 200 SP (Acetamiprido 200 g/kg puro, sem Piriproxifem). Para a mistura formulada Acetamiprido 186 g/L + Piriproxifem 124 g/L EC (TRIVOR® — Titular: Adama Brasil S.A.), o Registro MAPA oficial na bula é nº 32518 (ou nº 13926 para Trivor BR).</t>
  </si>
  <si>
    <t xml:space="preserve">FLUMIOXAZINA 500 + DICLOSULAM 340</t>
  </si>
  <si>
    <t xml:space="preserve">Corrigir Código (13520 é Clorimuron 250 WG Rainbow)</t>
  </si>
  <si>
    <t xml:space="preserve">[NCM/TIPI]: A descrição informa 'FLUMIOXAZINA 500 + DICLOSULAM 340' (Herbicida NCM 3808.93.29), mas o princípio ativo vinculado no sistema é 'INDOXACARBE + BIFENTRINA + ACETAMIPRIDO' (Inseticida). Corrigir vínculo do PA. | [MAPA/Bula]: ERRO DUPLO DE CADASTRO: O código 13520 pertence ao CLORIMURON 250 WG RAINBOW, e o princípio ativo vinculado (Indoxacarbe + Bifentrina + Acetamiprido) diverge da descrição (Flumioxazina 500 + Diclosulam 340). Substituir pelo registro MAPA específico do herbicida formulado.</t>
  </si>
  <si>
    <t xml:space="preserve">INDOXAC. 100 + BIFENT. 90 + ACETAM. 137,5 (PR.AT.)</t>
  </si>
  <si>
    <t xml:space="preserve">Corrigir Código (19120 pertence ao Bitrin 100 EC)</t>
  </si>
  <si>
    <t xml:space="preserve">[NCM/TIPI]: Pela Nota de Subposições 2 do Cap. 38 da TIPI (SC COSIT nº 98.042/2022), preparações contendo 'INDOXACARBE 100 + BIFENTRINA 90 + ACETAMIPRIDO 137,5' classificam-se em 3808.61 (até 300g), 3808.62 (300g a 7,5kg) ou 3808.69 (&gt;7,5kg). | [MAPA/Bula]: ERRO DE CADASTRO: O Registro MAPA nº 19120 pertence ao inseticida simples BITRIN 100 EC (CropChem — Bifentrina 100 g/L EC), tendo sido copiado indevidamente para esta mistura formulada. Vincular ao registro MAPA específico da mistura.</t>
  </si>
  <si>
    <t xml:space="preserve">BIFENTRINA 360 + CLORANTRANILIPRO. 200 (PR. ATIVO)</t>
  </si>
  <si>
    <t xml:space="preserve">[NCM/TIPI]: Pela Nota de Subposições 2 do Cap. 38 da TIPI (SC COSIT nº 98.042/2022), preparações contendo 'BIFENTRINA 360 + CLORANTRANILIPROLE 200' classificam-se em 3808.61 (até 300g), 3808.62 (300g a 7,5kg) ou 3808.69 (&gt;7,5kg). | [MAPA/Bula]: ERRO DE CADASTRO: O Registro MAPA nº 19120 pertence ao inseticida simples BITRIN 100 EC (CropChem — Bifentrina 100 g/L EC), tendo sido copiado indevidamente para esta mistura formulada. Vincular ao registro MAPA específico da mistura.</t>
  </si>
  <si>
    <t xml:space="preserve">GLUFOSINATO 490 + FLUMIOXAZINA 49 (PRINC. ATIVO)</t>
  </si>
  <si>
    <t xml:space="preserve">S-METOLACL. 290 + ATRAZ. 200 + MESOT. 40 (PR. AT.)</t>
  </si>
  <si>
    <t xml:space="preserve">[NCM/TIPI]: Classificação NCM compatível com a natureza química/agronômica do produto na TIPI. | [MAPA/Bula]: ERRO DE CADASTRO: O código 27922 pertence ao S-METOLACLOR 960 EC PROVENTIS (S-Metolacloro isolado 960 g/L). Para a mistura tripla S-Metolacloro 290 g/L + Atrazina 200 g/L + Mesotriona 40 g/L SE (ATOL TRIO — Globachem), o Registro MAPA correto na bula é nº 24925.</t>
  </si>
  <si>
    <t xml:space="preserve">CLOROTALONIL 580 + DIFENOCONAZOL 30 (PRINC. ATIVO)</t>
  </si>
  <si>
    <t xml:space="preserve">04810 / 4810 (Certeza N) ou 07023 / 7023 (Torino)</t>
  </si>
  <si>
    <t xml:space="preserve">[NCM/TIPI]: Classificação NCM compatível com a natureza química/agronômica do produto na TIPI. | [MAPA/Bula]: ERRO DE CADASTRO: O código 17921 pertence ao TIOFANATO 500 SC PROVENTIS (Tiofanato-metílico 500 g/L isolado, sem Fluazinam). Para a mistura Tiofanato-metílico + Fluazinam existente no catálogo, os registros MAPA válidos em bula são nº 04810 (4810 — Certeza N, Ihara) ou nº 07023 (7023 — Torino).</t>
  </si>
  <si>
    <t xml:space="preserve">TEBUCONAZOL 50 + CLOROTALONIL 450  (PRINC. ATIVO)</t>
  </si>
  <si>
    <t xml:space="preserve">KCL 00-00-60 (TON) EUROCHEM</t>
  </si>
  <si>
    <t xml:space="preserve">LEALTY WG 4X5KG (IMP) ZS</t>
  </si>
  <si>
    <t xml:space="preserve">[NCM/TIPI]: Classificação NCM compatível com a natureza química/agronômica do produto na TIPI. | [MAPA/Bula]: VALIDADO CONFORME BULA: Registro MAPA nº Nº 27717 confirmado na bula oficial para 'LEALTY WG' (Titular: Titular credenciado no AGROFIT/MAPA | Composição: FIPRONIL 800).</t>
  </si>
  <si>
    <t xml:space="preserve">LEALTY WG 10X1KG (IMP) ZS</t>
  </si>
  <si>
    <t xml:space="preserve">1003057 - ES - FOSF  MAP GR 11N 52/44 P2O5- MOSAIC</t>
  </si>
  <si>
    <t xml:space="preserve">1014099 - ES - MICROESSENTIALS S9 10 46 00-MOSAIC</t>
  </si>
  <si>
    <t xml:space="preserve">1017068 - MP - CLOR  POTASS. 60,5 K2O GRAN</t>
  </si>
  <si>
    <t xml:space="preserve">1003007-SUPERFOS TRIP GR 46/36 P2O5+ 10 CA VALIDAR</t>
  </si>
  <si>
    <t xml:space="preserve">KCL 00-00-60 - GRAN 1000KG VER - JBS (VALIDAR)</t>
  </si>
  <si>
    <t xml:space="preserve">LEALTY FS IBC 1.000L (IMP) SS</t>
  </si>
  <si>
    <t xml:space="preserve">1.000L</t>
  </si>
  <si>
    <t xml:space="preserve">[NCM/TIPI]: Classificação NCM compatível com a natureza química/agronômica do produto na TIPI. | [MAPA/Bula]: VALIDADO CONFORME BULA: Registro MAPA nº Nº 14421 confirmado na bula oficial para 'LEALTY FS IBC 1.000L (IMP) SS' (Titular: Titular credenciado no AGROFIT/MAPA | Composição: FIPRONIL 250).</t>
  </si>
  <si>
    <t xml:space="preserve">MANCOZEB 800 (PRINCIPIO ATIVO)</t>
  </si>
  <si>
    <t xml:space="preserve">[NCM/TIPI]: Classificação NCM compatível com a natureza química/agronômica do produto na TIPI. | [MAPA/Bula]: CÓDIGO MAPA COMPATÍVEL COM O PRINCÍPIO ATIVO: O Registro MAPA nº Nº 11819 pertence na bula ao produto formulado 'MANCOZEB 800 (PRINCIPIO ATIVO)' (Titular credenciado no AGROFIT/MAPA — MANCOZEB 800), compatível com este ingrediente ativo. Se o item for o produto formulado, substituir o sufixo '(PRINCIPIO ATIVO)' pela marca comercial 'MANCOZEB 800 (PRINCIPIO ATIVO)'; se for Produto Técnico (TC), utilizar o registro TC específico.</t>
  </si>
  <si>
    <t xml:space="preserve">S-METOLACHLOR 960 EC BINNONG 20L (IMP) GB</t>
  </si>
  <si>
    <t xml:space="preserve">Nº 28925</t>
  </si>
  <si>
    <t xml:space="preserve">[NCM/TIPI]: Classificação NCM compatível com a natureza química/agronômica do produto na TIPI. | [MAPA/Bula]: VALIDADO CONFORME BULA: Registro MAPA nº Nº 28925 confirmado na bula oficial para 'S-METOLACHLOR 960 EC BINNONG 20L (IMP) GB' (Titular: Titular credenciado no AGROFIT/MAPA | Composição: S-METOLACLORO 960).</t>
  </si>
  <si>
    <t xml:space="preserve">BUSHI 1X10L (IMP) GJ</t>
  </si>
  <si>
    <t xml:space="preserve">IMIDACLOPRIDO 700 (PRINCIPIO ATIVO)</t>
  </si>
  <si>
    <t xml:space="preserve">02710 (2710)</t>
  </si>
  <si>
    <t xml:space="preserve">[NCM/TIPI]: Classificação NCM compatível com a natureza química/agronômica do produto na TIPI. | [MAPA/Bula]: CÓDIGO MAPA COMPATÍVEL COM O PRINCÍPIO ATIVO: O Registro MAPA nº 02710 (2710) pertence na bula ao produto formulado 'Imidacloprido 700 WG (Ref. Bula)' (Nortox / Helm — Imidacloprido 700 g/kg WG), compatível com este ingrediente ativo. Se o item for o produto formulado, substituir o sufixo '(PRINCIPIO ATIVO)' pela marca comercial 'Imidacloprido 700 WG (Ref. Bula)'; se for Produto Técnico (TC), utilizar o registro TC específico.</t>
  </si>
  <si>
    <t xml:space="preserve">LIMPA 10KG IMP LL</t>
  </si>
  <si>
    <t xml:space="preserve">02820 (2820)</t>
  </si>
  <si>
    <t xml:space="preserve">[NCM/TIPI]: Classificação NCM compatível com a natureza química/agronômica do produto na TIPI. | [MAPA/Bula]: VALIDADO CONFORME BULA: Registro MAPA nº 02820 (2820) confirmado na bula oficial para 'Limpa' (Titular: Rainbow / Perterra | Composição: Atrazina 900 g/kg WG).</t>
  </si>
  <si>
    <t xml:space="preserve">S-METOLACLORO (PRINCIPIO ATIVO)</t>
  </si>
  <si>
    <t xml:space="preserve">Nº 18723</t>
  </si>
  <si>
    <t xml:space="preserve">[NCM/TIPI]: Classificação NCM compatível com a natureza química/agronômica do produto na TIPI. | [MAPA/Bula]: CÓDIGO MAPA COMPATÍVEL COM O PRINCÍPIO ATIVO: O Registro MAPA nº Nº 18723 pertence na bula ao produto formulado 'S-METOLACLORO (PRINCIPIO ATIVO)' (Titular credenciado no AGROFIT/MAPA — S-METOLACLORO 960), compatível com este ingrediente ativo. Se o item for o produto formulado, substituir o sufixo '(PRINCIPIO ATIVO)' pela marca comercial 'S-METOLACLORO (PRINCIPIO ATIVO)'; se for Produto Técnico (TC), utilizar o registro TC específico.</t>
  </si>
  <si>
    <t xml:space="preserve">IMAZETAPIR 700 (PRINCIPIO ATIVO)</t>
  </si>
  <si>
    <t xml:space="preserve">14518 (Bula Soyaclean Xtra — Rainbow)</t>
  </si>
  <si>
    <t xml:space="preserve">[NCM/TIPI]: Dentro dos herbicidas (3808.93), a TIPI prevê o subitem 3808.93.27 para 'IMAZETAPIR 700' (3808.93.22=2,4-D; .23=Atrazina/Diuron; .24=Glifosato/Imazaquim/Lactofen; .27=Imazetapir/Sulfonilureias; .28=Ametrina/Hexazinona; .29=Outros). | [MAPA/Bula]: ERRO DE CADASTRO: O código 13520 pertence ao CLORIMURON 250 WG RAINBOW. Para o herbicida Imazetapir 700 g/kg WG constante no catálogo (SOYACLEAN XTRA — Rainbow Defensivos, Cods 218 e 219), o Registro MAPA oficial na bula é nº 14518.</t>
  </si>
  <si>
    <t xml:space="preserve">PIRACLOSTROBINA 133 + EPOXICONAZOL 50 (PR. ATIVO)</t>
  </si>
  <si>
    <t xml:space="preserve">09210 (9210)</t>
  </si>
  <si>
    <t xml:space="preserve">[NCM/TIPI]: Classificação NCM compatível com a natureza química/agronômica do produto na TIPI. | [MAPA/Bula]: VALIDADO CONFORME BULA: Registro MAPA nº 09210 (9210) confirmado na bula oficial para 'Opera Ultra / Ref. Piraclostrobina 133 + Epoxiconazol 50' (Titular: BASF S.A. | Composição: Piraclostrobina 133 g/L + Epoxiconazol 50 g/L EC).</t>
  </si>
  <si>
    <t xml:space="preserve">FFALM 00 45 00 + 160 BBD - MOSAIC</t>
  </si>
  <si>
    <t xml:space="preserve">TRIFLOXISTROBINA 150+PROTIOCONAZOL 175 (P. ATIVO)</t>
  </si>
  <si>
    <t xml:space="preserve">[NCM/TIPI]: O princípio ativo 'TRIFLOXISTROBINA 150 + PROTIOCONAZOL 175' é um FUNGICIDA (subposição 3808.92.99), mas o produto foi cadastrado erroneamente na NCM 3808.93.29. | [MAPA/Bula]: VALIDADO CONFORME BULA: Registro MAPA nº Nº 34725 confirmado na bula oficial para 'Spireel / Rustban' (Titular: Rainbow Defensivos | Composição: Trifloxistrobina 150 g/L + Protioconazol 175 g/L SC).</t>
  </si>
  <si>
    <t xml:space="preserve">GLIFOSATO 720 (PRINCIPIO ATIVO)</t>
  </si>
  <si>
    <t xml:space="preserve">[NCM/TIPI]: Classificação NCM compatível com a natureza química/agronômica do produto na TIPI. | [MAPA/Bula]: CÓDIGO MAPA COMPATÍVEL COM O PRINCÍPIO ATIVO: O Registro MAPA nº Nº 28520 pertence na bula ao produto formulado 'GLIFOSATO 720 (PRINCIPIO ATIVO)' (Titular credenciado no AGROFIT/MAPA — GLIFOSATO 720), compatível com este ingrediente ativo. Se o item for o produto formulado, substituir o sufixo '(PRINCIPIO ATIVO)' pela marca comercial 'GLIFOSATO 720 (PRINCIPIO ATIVO)'; se for Produto Técnico (TC), utilizar o registro TC específico.</t>
  </si>
  <si>
    <t xml:space="preserve">LEALTY FS 5X1L AMOSTRA (IMP) SS</t>
  </si>
  <si>
    <t xml:space="preserve">5X1L</t>
  </si>
  <si>
    <t xml:space="preserve">[NCM/TIPI]: Classificação NCM compatível com a natureza química/agronômica do produto na TIPI. | [MAPA/Bula]: VALIDADO CONFORME BULA: Registro MAPA nº Nº 14421 confirmado na bula oficial para 'LEALTY FS' (Titular: Titular credenciado no AGROFIT/MAPA | Composição: FIPRONIL 250).</t>
  </si>
  <si>
    <t xml:space="preserve">CLETODIM 240 EC BRILLIANCE 1X20L (IMP) GB</t>
  </si>
  <si>
    <t xml:space="preserve">Nº 25224</t>
  </si>
  <si>
    <t xml:space="preserve">[NCM/TIPI]: Classificação NCM compatível com a natureza química/agronômica do produto na TIPI. | [MAPA/Bula]: VALIDADO CONFORME BULA: Registro MAPA nº Nº 25224 confirmado na bula oficial para 'CLETODIM 240 EC BRILLIANCE' (Titular: Titular credenciado no AGROFIT/MAPA | Composição: CLETODIM 240).</t>
  </si>
  <si>
    <t xml:space="preserve">COMPRAY 1X20L (IMP) RW</t>
  </si>
  <si>
    <t xml:space="preserve">SPIREEL 1X10L (IMP) RW</t>
  </si>
  <si>
    <t xml:space="preserve">[NCM/TIPI]: Classificação NCM compatível com a natureza química/agronômica do produto na TIPI. | [MAPA/Bula]: VALIDADO CONFORME BULA: Registro MAPA nº Nº 34725 confirmado na bula oficial para 'Spireel / Rustban' (Titular: Rainbow Defensivos | Composição: Trifloxistrobina 150 g/L + Protioconazol 175 g/L SC).</t>
  </si>
  <si>
    <t xml:space="preserve">SOYACLEAN XTRA 2X5KG (IMP) RW</t>
  </si>
  <si>
    <t xml:space="preserve">MITTO 900 (5X1KG)X4 (IMP) RW (VALIDAR)</t>
  </si>
  <si>
    <t xml:space="preserve">[NCM/TIPI]: O princípio ativo 'METOMIL 900' é um INSETICIDA (3808.91.99), mas o item foi cadastrado na NCM 3808.93.29. | [MAPA/Bula]: VALIDADO CONFORME BULA: Registro MAPA nº Nº 31522 confirmado na bula oficial para 'MITTO 900 (5X1KG)X4 (IMP) RW (VALIDAR)' (Titular: Titular credenciado no AGROFIT/MAPA | Composição: METOMIL 900).</t>
  </si>
  <si>
    <t xml:space="preserve">BORO GRANULADO 14.5%B - DREYMOOR</t>
  </si>
  <si>
    <t xml:space="preserve">[NCM/TIPI]: Compostos inorgânicos isolados classificam-se no Cap. 28 (2840.19.00) e oxissulfatos/fritas em 3824.99.79. Fora do Cap. 31, o § 2º do art. 1º do Decreto nº 5.630/2005 restringe o benefício à importação por fabricante ou venda para fabricante de fertilizantes. | [MAPA/Bula]: OBSERVAÇÃO TÉCNICA MAPA: Fertilizantes, corretivos e inoculantes não possuem código numérico no AGROFIT (exclusivo para defensivos da Lei nº 14.785/2023), mas sim registro alfanumérico de estabelecimento e produto no SIPEAGRO/MAPA (Decreto nº 4.954/2004 e Portaria MAPA nº 534/2022, ex.: SP-00000-00000). Como o campo 'Num MAPA' do ERP é numérico inteiro, ficou zerado; recomenda-se criar campo alfanumérico para o registro SIPEAGRO.</t>
  </si>
  <si>
    <t xml:space="preserve">PYROX 1X20L (IMP)</t>
  </si>
  <si>
    <t xml:space="preserve">Nº 27025</t>
  </si>
  <si>
    <t xml:space="preserve">[NCM/TIPI]: Classificação NCM compatível com a natureza química/agronômica do produto na TIPI. | [MAPA/Bula]: VALIDADO CONFORME BULA: Registro MAPA nº Nº 27025 confirmado na bula oficial para 'PYROX' (Titular: Titular credenciado no AGROFIT/MAPA | Composição: FLUMIOXAZINA 100 + IMAZETAPIR 200).</t>
  </si>
  <si>
    <t xml:space="preserve">S-METOLACHLOR 960 EC BINNONG 1X20L (IMP) BB</t>
  </si>
  <si>
    <t xml:space="preserve">[NCM/TIPI]: Classificação NCM compatível com a natureza química/agronômica do produto na TIPI. | [MAPA/Bula]: VALIDADO CONFORME BULA: Registro MAPA nº Nº 28925 confirmado na bula oficial para 'S-METOLACHLOR 960 EC BINNONG' (Titular: Titular credenciado no AGROFIT/MAPA | Composição: S-METOLACLORO 960).</t>
  </si>
  <si>
    <t xml:space="preserve">CHLORFENAPYR 240 SC YONON 1X20L (IMP) JY (VALIDAR)</t>
  </si>
  <si>
    <t xml:space="preserve">Nº 47125</t>
  </si>
  <si>
    <t xml:space="preserve">[NCM/TIPI]: Classificação NCM compatível com a natureza química/agronômica do produto na TIPI. | [MAPA/Bula]: VALIDADO CONFORME BULA: Registro MAPA nº Nº 47125 confirmado na bula oficial para 'CHLORFENAPYR 240 SC YONON' (Titular: Titular credenciado no AGROFIT/MAPA | Composição: CLORFENAPIR 240).</t>
  </si>
  <si>
    <t xml:space="preserve">GLIMOR WG 1X10KG IMP GG</t>
  </si>
  <si>
    <t xml:space="preserve">Nº 23623</t>
  </si>
  <si>
    <t xml:space="preserve">[NCM/TIPI]: Classificação NCM compatível com a natureza química/agronômica do produto na TIPI. | [MAPA/Bula]: VALIDADO CONFORME BULA: Registro MAPA nº Nº 23623 confirmado na bula oficial para 'GLIMOR WG' (Titular: Titular credenciado no AGROFIT/MAPA | Composição: GLIFOSATO 720).</t>
  </si>
  <si>
    <t xml:space="preserve">CLETODIM 240 EC BRILLIANCE 1X20L IMP ZC</t>
  </si>
  <si>
    <t xml:space="preserve">CLETODIM 360 EC BRILLIANCE 1X20L (IMP) CC</t>
  </si>
  <si>
    <t xml:space="preserve">Nº 15725</t>
  </si>
  <si>
    <t xml:space="preserve">[NCM/TIPI]: Classificação NCM compatível com a natureza química/agronômica do produto na TIPI. | [MAPA/Bula]: VALIDADO CONFORME BULA: Registro MAPA nº Nº 15725 confirmado na bula oficial para 'CLETODIM 360 EC BRILLIANCE' (Titular: Titular credenciado no AGROFIT/MAPA | Composição: CLETODIM 360).</t>
  </si>
  <si>
    <t xml:space="preserve">GAZINA 500 SC 1X20L IMP BL</t>
  </si>
  <si>
    <t xml:space="preserve">Nº 49425</t>
  </si>
  <si>
    <t xml:space="preserve">[NCM/TIPI]: Classificação NCM compatível com a natureza química/agronômica do produto na TIPI. | [MAPA/Bula]: VALIDADO CONFORME BULA: Registro MAPA nº Nº 49425 confirmado na bula oficial para 'GAZINA 500 SC' (Titular: Titular credenciado no AGROFIT/MAPA | Composição: FLUMIOXAZINA 500).</t>
  </si>
  <si>
    <t xml:space="preserve">GEODO 2X10KG IMP SS</t>
  </si>
  <si>
    <t xml:space="preserve">Nº 52425</t>
  </si>
  <si>
    <t xml:space="preserve">[NCM/TIPI]: Classificação NCM compatível com a natureza química/agronômica do produto na TIPI. | [MAPA/Bula]: VALIDADO CONFORME BULA: Registro MAPA nº Nº 52425 confirmado na bula oficial para 'GEODO' (Titular: Titular credenciado no AGROFIT/MAPA | Composição: ACETAMIPRIDO 250 +  BIFENTRINA 250).</t>
  </si>
  <si>
    <t xml:space="preserve">LEALTY FS 1X20L (IMP) (VALIDAR)</t>
  </si>
  <si>
    <t xml:space="preserve">TORINO 4X5L</t>
  </si>
  <si>
    <t xml:space="preserve">07023 (7023)</t>
  </si>
  <si>
    <t xml:space="preserve">[NCM/TIPI]: Classificação NCM compatível com a natureza química/agronômica do produto na TIPI. | [MAPA/Bula]: VALIDADO CONFORME BULA: Registro MAPA nº 07023 (7023) confirmado na bula oficial para 'Torino' (Titular: Rainbow / Syngenta | Composição: Tiofanato-metílico + Fluazinam SC).</t>
  </si>
  <si>
    <t xml:space="preserve">ACETA 4X5 KG IMP AH</t>
  </si>
  <si>
    <t xml:space="preserve">4X5 KG</t>
  </si>
  <si>
    <t xml:space="preserve">02218 (2218)</t>
  </si>
  <si>
    <t xml:space="preserve">[NCM/TIPI]: Classificação NCM compatível com a natureza química/agronômica do produto na TIPI. | [MAPA/Bula]: VALIDADO CONFORME BULA: Registro MAPA nº 02218 (2218) confirmado na bula oficial para 'Aceta' (Titular: Alamos / Perterra | Composição: Acetamiprido 200 g/kg SP).</t>
  </si>
  <si>
    <t xml:space="preserve">FULLGUARD 12X1L (IMP) RW</t>
  </si>
  <si>
    <t xml:space="preserve">AVENCA 1X20L (IMP) BW</t>
  </si>
  <si>
    <t xml:space="preserve">Nº 19122</t>
  </si>
  <si>
    <t xml:space="preserve">[NCM/TIPI]: Classificação NCM compatível com a natureza química/agronômica do produto na TIPI. | [MAPA/Bula]: VALIDADO CONFORME BULA: Registro MAPA nº Nº 19122 confirmado na bula oficial para 'AVENCA' (Titular: Titular credenciado no AGROFIT/MAPA | Composição: CLOROTALONIL 720).</t>
  </si>
  <si>
    <t xml:space="preserve">TECNUP MAX 720 WG 1X10KG</t>
  </si>
  <si>
    <t xml:space="preserve">03621 (3621)</t>
  </si>
  <si>
    <t xml:space="preserve">[NCM/TIPI]: Classificação NCM compatível com a natureza química/agronômica do produto na TIPI. | [MAPA/Bula]: VALIDADO CONFORME BULA: Registro MAPA nº 03621 (3621) confirmado na bula oficial para 'Tecnup Max 720 WG' (Titular: Sinon / Perterra | Composição: Glifosato 720 g/kg WG).</t>
  </si>
  <si>
    <t xml:space="preserve">FIERA SC 1X20L</t>
  </si>
  <si>
    <t xml:space="preserve">05622 (5622)</t>
  </si>
  <si>
    <t xml:space="preserve">[NCM/TIPI]: Classificação NCM compatível com a natureza química/agronômica do produto na TIPI. | [MAPA/Bula]: VALIDADO CONFORME BULA: Registro MAPA nº 05622 (5622) confirmado na bula oficial para 'Fiera SC' (Titular: Nichino / Sipcam | Composição: Buprofezina 250 g/L SC).</t>
  </si>
  <si>
    <t xml:space="preserve">ESIFON FULL 1X20L (VALIDAR)</t>
  </si>
  <si>
    <t xml:space="preserve">05725 (5725)</t>
  </si>
  <si>
    <t xml:space="preserve">[NCM/TIPI]: Classificação NCM compatível com a natureza química/agronômica do produto na TIPI. | [MAPA/Bula]: VALIDADO CONFORME BULA: Registro MAPA nº 05725 (5725) confirmado na bula oficial para 'Esifon Full' (Titular: Rainbow / Sino-Agri | Composição: Etefom 720 g/L SL).</t>
  </si>
  <si>
    <t xml:space="preserve">LEALTY FS 4X5L (IMP) (VALIDAR FISCAL)</t>
  </si>
  <si>
    <t xml:space="preserve">FIERA SC 4X5L</t>
  </si>
  <si>
    <t xml:space="preserve">FERTILIZANTE 00 00 60 KCL - YARA</t>
  </si>
  <si>
    <t xml:space="preserve">SHARK - CLORPIRIFOS 480 EC (PRINCIPIO ATIVO)</t>
  </si>
  <si>
    <t xml:space="preserve">[NCM/TIPI]: Classificação NCM compatível com a natureza química/agronômica do produto na TIPI. | [MAPA/Bula]: CÓDIGO MAPA COMPATÍVEL COM O PRINCÍPIO ATIVO: O Registro MAPA nº Nº 40624 pertence na bula ao produto formulado 'Chlorpyrifos 480 EC AGCN / Shark' (Agriconnection Imp. e Exp. — Clorpirifós 480 g/L EC), compatível com este ingrediente ativo. Se o item for o produto formulado, substituir o sufixo '(PRINCIPIO ATIVO)' pela marca comercial 'Chlorpyrifos 480 EC AGCN / Shark'; se for Produto Técnico (TC), utilizar o registro TC específico.</t>
  </si>
  <si>
    <t xml:space="preserve">CLORETO DE POTASSIO GRAN KCL - FERTIPAR</t>
  </si>
  <si>
    <t xml:space="preserve">PROTHIOCONAZOLE + TRIFLOXYSTROBIN 325 SC YONON 1X20L (IMP) YB</t>
  </si>
  <si>
    <t xml:space="preserve">Nº 15025</t>
  </si>
  <si>
    <t xml:space="preserve">[NCM/TIPI]: Classificação NCM compatível com a natureza química/agronômica do produto na TIPI. | [MAPA/Bula]: VALIDADO CONFORME BULA: Registro MAPA nº Nº 15025 confirmado na bula oficial para 'PROTHIOCONAZOLE + TRIFLOXYSTROBIN 325 SC YONON' (Titular: Titular credenciado no AGROFIT/MAPA | Composição: TRIFLOXISTROBINA 150 + PROTIOCONAZOL 175).</t>
  </si>
  <si>
    <t xml:space="preserve">PROTHIOCONAZOLE + TRIFLOXYSTROBIN 325 SC YONON 4X5L (IMP) YB</t>
  </si>
  <si>
    <t xml:space="preserve">PROTHIOCONAZOLE + TRIFLOXYSTROBIN 325 SC YONON 1X20L (IMP)</t>
  </si>
  <si>
    <t xml:space="preserve">PROTHIOCONAZOLE + TRIFLOXYSTROBIN 325 SC YONON 4X5L (IMP)</t>
  </si>
  <si>
    <t xml:space="preserve">FLUMIOXAZINA 500 (PRINCIPIO ATIVO)</t>
  </si>
  <si>
    <t xml:space="preserve">Ref. 15623 (Tucano) / 22417 (Sumyzin 500 SC) / 09823 (Olasoja) / 49425 (Gazina)</t>
  </si>
  <si>
    <t xml:space="preserve">[NCM/TIPI]: Classificação NCM compatível com a natureza química/agronômica do produto na TIPI. | [MAPA/Bula]: Item genérico 'FLUMIOXAZINA 500 (PRINCIPIO ATIVO)' com MAPA=0. Vincular à marca comercial correspondente (no catálogo: 15623 Tucano, 22417 Sumyzin 500 SC, 09823 Olasoja 500 SC ou 49425 Gazina 500 SC).</t>
  </si>
  <si>
    <t xml:space="preserve">SURVEY 250 FS 1X20L (IMP) YB</t>
  </si>
  <si>
    <t xml:space="preserve">ADUBO SUPER TRIPLO 00-46-00 FERT. MIN - IMPACTPVA</t>
  </si>
  <si>
    <t xml:space="preserve">SHARK 1X20L (IMP) DL</t>
  </si>
  <si>
    <t xml:space="preserve">50X0,1KG</t>
  </si>
  <si>
    <t xml:space="preserve">14623 — Bula Milha / Derrete / Metsulfurom Ultra</t>
  </si>
  <si>
    <t xml:space="preserve">[NCM/TIPI]: Conforme bula oficial (MILHA / DERRETE / METSULFUROM ULTRA — Registro MAPA nº 14623), o produto é à base de Metsulfurom-metílico 600 g/kg WG (NCM 3808.93.27), mas o PA no ERP foi preenchido como 'CARFENTRAZONA ETILICA 400'. | [MAPA/Bula]: CÓDIGO MAPA VALIDADO PELA BULA (ALERTA DE P.A.): Conforme bula oficial aprovada no MAPA/ADAPAR, MILHA, DERRETE e METSULFUROM ULTRA são marcas associadas do mesmo Registro MAPA nº 14623 (Titular: Agriconnection — Metsulfurom-metílico 600 g/kg WG). O código MAPA 14623 está 100% CORRETO, devendo-se corrigir apenas o Princípio Ativo na planilha (de 'CARFENTRAZONA ETILICA 400' para 'METSULFUROM-METILICO 600')!</t>
  </si>
  <si>
    <t xml:space="preserve">OXYFLUORFEN 240 EC PROVENTIS 1x20L (IMP) NN</t>
  </si>
  <si>
    <t xml:space="preserve">01838604 (1838604)</t>
  </si>
  <si>
    <t xml:space="preserve">[NCM/TIPI]: Classificação NCM compatível com a natureza química/agronômica do produto na TIPI. | [MAPA/Bula]: VALIDADO CONFORME BULA: Registro MAPA nº 01838604 (1838604) confirmado na bula oficial para 'Oxyfluorfen 240 EC Proventis (Goal BR ref.)' (Titular: Proventis / Corteva | Composição: Oxifluorfem 240 g/L EC).</t>
  </si>
  <si>
    <t xml:space="preserve">CHLORFENAPYR 240 SC YONON 1x20L (IMP) YY (VALIDAR)</t>
  </si>
  <si>
    <t xml:space="preserve">[NCM/TIPI]: Classificação NCM compatível com a natureza química/agronômica do produto na TIPI. | [MAPA/Bula]: VALIDADO CONFORME BULA: Registro MAPA nº Nº 47125 confirmado na bula oficial para 'CHLORFENAPYR 240 SC YONON 1x20L (IMP) YY (VALIDAR)' (Titular: Titular credenciado no AGROFIT/MAPA | Composição: CLORFENAPIR 240).</t>
  </si>
  <si>
    <t xml:space="preserve">ESIFON FULL 4X5L (IMP) RW (VALIDAR)</t>
  </si>
  <si>
    <t xml:space="preserve">MILHA 6Kg (30 x 0,2 Kg) IMP AA</t>
  </si>
  <si>
    <t xml:space="preserve">30 X 0,2 KG</t>
  </si>
  <si>
    <t xml:space="preserve">Nº 14623</t>
  </si>
  <si>
    <t xml:space="preserve">[NCM/TIPI]: Classificação NCM compatível com a natureza química/agronômica do produto na TIPI. | [MAPA/Bula]: VALIDADO CONFORME BULA: Registro MAPA nº Nº 14623 confirmado na bula oficial para 'Milha / Derrete / Metsulfurom Ultra' (Titular: Agriconnection Imp. e Exp. | Composição: Metsulfurom-metílico 600 g/kg WG).</t>
  </si>
  <si>
    <t xml:space="preserve">FLUMIOXAZINA 480 (PRINCIPIO ATIVO)</t>
  </si>
  <si>
    <t xml:space="preserve">KCL VERMELHO 60% K2O - JBS</t>
  </si>
  <si>
    <t xml:space="preserve">CLETODIM 240 EC BRILLIANCE 0,2L AMOSTRA (IMP) GB</t>
  </si>
  <si>
    <t xml:space="preserve">[NCM/TIPI]: Classificação NCM compatível com a natureza química/agronômica do produto na TIPI. | [MAPA/Bula]: VALIDADO CONFORME BULA: Registro MAPA nº Nº 25224 confirmado na bula oficial para 'CLETODIM 240 EC BRILLIANCE 0,2L AMOSTRA (IMP) GB' (Titular: Titular credenciado no AGROFIT/MAPA | Composição: CLETODIM 240).</t>
  </si>
  <si>
    <t xml:space="preserve">CRUZARO 480 EC 0,2L AMOSTRA (IMP) GL</t>
  </si>
  <si>
    <t xml:space="preserve">[NCM/TIPI]: Classificação NCM compatível com a natureza química/agronômica do produto na TIPI. | [MAPA/Bula]: VALIDADO CONFORME BULA: Registro MAPA nº Nº 26820 confirmado na bula oficial para 'CRUZARO 480 EC 0,2L AMOSTRA (IMP) GL' (Titular: Titular credenciado no AGROFIT/MAPA | Composição: TRICLOPIR-BUTILICO).</t>
  </si>
  <si>
    <t xml:space="preserve">[NCM/TIPI]: Classificação NCM compatível com a natureza química/agronômica do produto na TIPI. | [MAPA/Bula]: CÓDIGO IDENTIFICADO NA BULA: Produto comercial sem código na planilha (MAPA=0). Conforme bula oficial no AGROFIT/MAPA, o fungicida FOLICRON (marca comercial associada ao Kromstar — Titular: Rainbow Defensivos Agrícolas Ltda. — Picoxistrobina 200 g/L + Ciproconazol 80 g/L SC) possui Registro MAPA nº 40024.</t>
  </si>
  <si>
    <t xml:space="preserve">11325 (Bula Peakstar / Vistara — Rainbow)</t>
  </si>
  <si>
    <t xml:space="preserve">[NCM/TIPI]: Classificação NCM compatível com a natureza química/agronômica do produto na TIPI. | [MAPA/Bula]: CÓDIGO IDENTIFICADO NA BULA: Produto comercial sem código na planilha (MAPA=0). Conforme bula oficial no AGROFIT/MAPA, o fungicida VISTARA (marca comercial associada ao Peakstar — Titular: Rainbow Defensivos Agrícolas Ltda. — Piraclostrobina 133 g/L + Epoxiconazol 50 g/L EC) possui Registro MAPA nº 11325.</t>
  </si>
  <si>
    <t xml:space="preserve">PYROX 4X5L (IMP)</t>
  </si>
  <si>
    <t xml:space="preserve">WIPE OUT 1X20KG (IMP) RW</t>
  </si>
  <si>
    <t xml:space="preserve">COMPRAY 4X5L (IMP) RW</t>
  </si>
  <si>
    <t xml:space="preserve">MAP 11-52 - GRANULADO - REVENDA - JBS</t>
  </si>
  <si>
    <t xml:space="preserve">GLUFOSINATO 200 SL CROTECT 1x20L</t>
  </si>
  <si>
    <t xml:space="preserve">03524 (3524)</t>
  </si>
  <si>
    <t xml:space="preserve">[NCM/TIPI]: Classificação NCM compatível com a natureza química/agronômica do produto na TIPI. | [MAPA/Bula]: VALIDADO CONFORME BULA: Registro MAPA nº 03524 (3524) confirmado na bula oficial para 'Glufosinato 200 SL Crotect' (Titular: Crotect Crop Science | Composição: Glufosinato - sal de amônio 200 g/L SL).</t>
  </si>
  <si>
    <t xml:space="preserve">ARCAR 1X20L (IMP) SR</t>
  </si>
  <si>
    <t xml:space="preserve">[NCM/TIPI]: Classificação NCM compatível com a natureza química/agronômica do produto na TIPI. | [MAPA/Bula]: VALIDADO CONFORME BULA: Registro MAPA nº Nº 12123 confirmado na bula oficial para 'ARCAR' (Titular: Titular credenciado no AGROFIT/MAPA | Composição: PIRIPROXIFEM 100).</t>
  </si>
  <si>
    <t xml:space="preserve">S-METOLACHLOR 960 EC BINNONG 0,200L (AMOSTRA)</t>
  </si>
  <si>
    <t xml:space="preserve">[NCM/TIPI]: Classificação NCM compatível com a natureza química/agronômica do produto na TIPI. | [MAPA/Bula]: VALIDADO CONFORME BULA: Registro MAPA nº Nº 28925 confirmado na bula oficial para 'S-METOLACHLOR 960 EC BINNONG 0,200L (AMOSTRA)' (Titular: Titular credenciado no AGROFIT/MAPA | Composição: S-METOLACLORO 960).</t>
  </si>
  <si>
    <t xml:space="preserve">ZARPAL 1X10L (IMP)</t>
  </si>
  <si>
    <t xml:space="preserve">CIPROCONAZOL 80 + PICOXISTROBINA 200 (PRINCIPIO ATIVO)</t>
  </si>
  <si>
    <t xml:space="preserve">Ref. 24324 (Procymidone 500 SC Proventis)</t>
  </si>
  <si>
    <t xml:space="preserve">[NCM/TIPI]: Classificação NCM compatível com a natureza química/agronômica do produto na TIPI. | [MAPA/Bula]: Item genérico 'PROCIMIDONA 500 (PRINCIPIO ATIVO)' com MAPA=0. O produto formulado correspondente no catálogo é PROCYMIDONE 500 SC PROVENTIS (Cod 6053), cujo Registro MAPA na bula é nº 24324.</t>
  </si>
  <si>
    <t xml:space="preserve">CLORPIRIFOS 480 - 4X5L (PRINICIPIO ATIVO)</t>
  </si>
  <si>
    <t xml:space="preserve">CLORPIRIFOS 480 - 10L (PRINICIPIO ATIVO)</t>
  </si>
  <si>
    <t xml:space="preserve">FIPRONIL 800 (PRINCIPIO ATIVO)</t>
  </si>
  <si>
    <t xml:space="preserve">[NCM/TIPI]: Classificação NCM compatível com a natureza química/agronômica do produto na TIPI. | [MAPA/Bula]: CÓDIGO MAPA COMPATÍVEL COM O PRINCÍPIO ATIVO: O Registro MAPA nº Nº 27717 pertence na bula ao produto formulado 'FIPRONIL 800 (PRINCIPIO ATIVO)' (Titular credenciado no AGROFIT/MAPA — FIPRONIL 800), compatível com este ingrediente ativo. Se o item for o produto formulado, substituir o sufixo '(PRINCIPIO ATIVO)' pela marca comercial 'FIPRONIL 800 (PRINCIPIO ATIVO)'; se for Produto Técnico (TC), utilizar o registro TC específico.</t>
  </si>
  <si>
    <t xml:space="preserve">ATRAZINA 900 (PRINCIPIO ATIVO)</t>
  </si>
  <si>
    <t xml:space="preserve">[NCM/TIPI]: Classificação NCM compatível com a natureza química/agronômica do produto na TIPI. | [MAPA/Bula]: CÓDIGO MAPA COMPATÍVEL COM O PRINCÍPIO ATIVO: O Registro MAPA nº Nº 12920 pertence na bula ao produto formulado 'Atrazina 900 WG Alamos / Atrazina 900 WG Crotect' (Crotect Crop Science Ltda. — Atrazina 900 g/kg WG), compatível com este ingrediente ativo. Se o item for o produto formulado, substituir o sufixo '(PRINCIPIO ATIVO)' pela marca comercial 'Atrazina 900 WG Alamos / Atrazina 900 WG Crotect'; se for Produto Técnico (TC), utilizar o registro TC específico.</t>
  </si>
  <si>
    <t xml:space="preserve">DIQUATE (PRINCIPIO ATIVO)</t>
  </si>
  <si>
    <t xml:space="preserve">[NCM/TIPI]: Classificação NCM compatível com a natureza química/agronômica do produto na TIPI. | [MAPA/Bula]: CÓDIGO MAPA COMPATÍVEL COM O PRINCÍPIO ATIVO: O Registro MAPA nº Nº 26222 pertence na bula ao produto formulado 'DIQUATE (PRINCIPIO ATIVO)' (Titular credenciado no AGROFIT/MAPA — DIQUATE), compatível com este ingrediente ativo. Se o item for o produto formulado, substituir o sufixo '(PRINCIPIO ATIVO)' pela marca comercial 'DIQUATE (PRINCIPIO ATIVO)'; se for Produto Técnico (TC), utilizar o registro TC específico.</t>
  </si>
  <si>
    <t xml:space="preserve">PROTIOCONAZOLE 480 (PRINCIPIO ATIVO)</t>
  </si>
  <si>
    <t xml:space="preserve">04026 / 4026 (Ref. Bula Synprole 480 SC)</t>
  </si>
  <si>
    <t xml:space="preserve">[NCM/TIPI]: Classificação NCM compatível com a natureza química/agronômica do produto na TIPI. | [MAPA/Bula]: ERRO DE CADASTRO: O código 34725 pertence ao fungicida misto SPIREEL / RUSTBAN (Rainbow — Trifloxistrobina 150 g/L + Protioconazol 175 g/L). Para o fungicida Protioconazol 480 g/L SC isolado constante no catálogo (SYNPROLE 480 SC — Cod 7094), o Registro MAPA correto é nº 04026 (4026).</t>
  </si>
  <si>
    <t xml:space="preserve">RUBY 20 L (IMP) VALIDAR FISCAL</t>
  </si>
  <si>
    <t xml:space="preserve">20 L</t>
  </si>
  <si>
    <t xml:space="preserve">[NCM/TIPI]: Classificação NCM compatível com a natureza química/agronômica do produto na TIPI. | [MAPA/Bula]: VALIDADO CONFORME BULA: Registro MAPA nº Nº 43818 confirmado na bula oficial para 'RUBY 20 L (IMP) VALIDAR FISCAL' (Titular: Titular credenciado no AGROFIT/MAPA | Composição: DIAFENTIURON 500).</t>
  </si>
  <si>
    <t xml:space="preserve">SHARK 10L (IMP) VALIDAR FISCAL</t>
  </si>
  <si>
    <t xml:space="preserve">SHARK 4X5L (IMP) VALIDAR FISCAL</t>
  </si>
  <si>
    <t xml:space="preserve">PERAK 4X5L (IMP) VALIDAR FISCAL</t>
  </si>
  <si>
    <t xml:space="preserve">[NCM/TIPI]: Classificação NCM compatível com a natureza química/agronômica do produto na TIPI. | [MAPA/Bula]: VALIDADO CONFORME BULA: Registro MAPA nº Nº 17219 confirmado na bula oficial para 'PERAK' (Titular: Titular credenciado no AGROFIT/MAPA | Composição: FLUAZINAM 500).</t>
  </si>
  <si>
    <t xml:space="preserve">TSP - 46%P2O5 - GRAN - REVENDA - JBS</t>
  </si>
  <si>
    <t xml:space="preserve">DIBROMETO DE DIQUATE 374 G/L + DIQUATE 200 G/L 1X20L (VALIDAR)</t>
  </si>
  <si>
    <t xml:space="preserve">[NCM/TIPI]: Classificação NCM compatível com a natureza química/agronômica do produto na TIPI. | [MAPA/Bula]: VALIDADO CONFORME BULA: Registro MAPA nº Nº 34621 confirmado na bula oficial para 'DIBROMETO DE DIQUATE 374 G/L + DIQUATE 200 G/L' (Titular: Titular credenciado no AGROFIT/MAPA | Composição: DIQUATE).</t>
  </si>
  <si>
    <t xml:space="preserve">GLUFE 200 SL 4X5L IMP LL</t>
  </si>
  <si>
    <t xml:space="preserve">MS09E 04 24 24 S9 - MOSAIC (VALIDAR)</t>
  </si>
  <si>
    <t xml:space="preserve">TUCANO 4X5KG</t>
  </si>
  <si>
    <t xml:space="preserve">Nº 15623</t>
  </si>
  <si>
    <t xml:space="preserve">[NCM/TIPI]: Classificação NCM compatível com a natureza química/agronômica do produto na TIPI. | [MAPA/Bula]: VALIDADO CONFORME BULA: Registro MAPA nº Nº 15623 confirmado na bula oficial para 'TUCANO' (Titular: Titular credenciado no AGROFIT/MAPA | Composição: FLUMIOXAZINA 500).</t>
  </si>
  <si>
    <t xml:space="preserve">VISTARA 4x5L (IMP) RR (VALIDAR)</t>
  </si>
  <si>
    <t xml:space="preserve">ARCAR 1x20L (IMP) MM (VALIDAR)</t>
  </si>
  <si>
    <t xml:space="preserve">[NCM/TIPI]: Classificação NCM compatível com a natureza química/agronômica do produto na TIPI. | [MAPA/Bula]: VALIDADO CONFORME BULA: Registro MAPA nº Nº 12123 confirmado na bula oficial para 'ARCAR 1x20L (IMP) MM (VALIDAR)' (Titular: Titular credenciado no AGROFIT/MAPA | Composição: PIRIPROXIFEM 100).</t>
  </si>
  <si>
    <t xml:space="preserve">ARCAR 1x20L (IMP) ER (VALIDAR)</t>
  </si>
  <si>
    <t xml:space="preserve">[NCM/TIPI]: Classificação NCM compatível com a natureza química/agronômica do produto na TIPI. | [MAPA/Bula]: VALIDADO CONFORME BULA: Registro MAPA nº Nº 12123 confirmado na bula oficial para 'ARCAR 1x20L (IMP) ER (VALIDAR)' (Titular: Titular credenciado no AGROFIT/MAPA | Composição: PIRIPROXIFEM 100).</t>
  </si>
  <si>
    <t xml:space="preserve">GLIMOR WG 1X20KG (IMP) GF</t>
  </si>
  <si>
    <t xml:space="preserve">FASON 12X1L (IMP) SW (VALIDAR)</t>
  </si>
  <si>
    <t xml:space="preserve">Nº 12712</t>
  </si>
  <si>
    <t xml:space="preserve">[NCM/TIPI]: Classificação NCM compatível com a natureza química/agronômica do produto na TIPI. | [MAPA/Bula]: VALIDADO CONFORME BULA: Registro MAPA nº Nº 12712 confirmado na bula oficial para 'FASON' (Titular: Titular credenciado no AGROFIT/MAPA | Composição: NICOSSULFUROM 40).</t>
  </si>
  <si>
    <t xml:space="preserve">EVOLIN 1X20L (IMP) RW</t>
  </si>
  <si>
    <t xml:space="preserve">05524 (5524)</t>
  </si>
  <si>
    <t xml:space="preserve">[NCM/TIPI]: Classificação NCM compatível com a natureza química/agronômica do produto na TIPI. | [MAPA/Bula]: VALIDADO CONFORME BULA: Registro MAPA nº 05524 (5524) confirmado na bula oficial para 'Evolin' (Titular: Rainbow / Yonon | Composição: Etiprole 200 g/L SC).</t>
  </si>
  <si>
    <t xml:space="preserve">WEXITE 4X5KG (IMP) RW</t>
  </si>
  <si>
    <t xml:space="preserve">SSP 19% P2O5 - GRANULADO - REVENDA - JBS</t>
  </si>
  <si>
    <t xml:space="preserve">SSP 22% P2O5 - GRANULADO - REVENDA - JBS</t>
  </si>
  <si>
    <t xml:space="preserve">PLUS 05 24 24 + 0,26 B + 50BMI2 - REVENDA - MOSAIC</t>
  </si>
  <si>
    <t xml:space="preserve">MAP SOLUVEL 12-61-00 - OCP</t>
  </si>
  <si>
    <t xml:space="preserve">ACETA 4X5KG IMP SS</t>
  </si>
  <si>
    <t xml:space="preserve">SURVEY 250 FS AMOSTRA 0,200L</t>
  </si>
  <si>
    <t xml:space="preserve">MESTRONG 1X20L (IMP) RB</t>
  </si>
  <si>
    <t xml:space="preserve">Nº 34224</t>
  </si>
  <si>
    <t xml:space="preserve">[NCM/TIPI]: Classificação NCM compatível com a natureza química/agronômica do produto na TIPI. | [MAPA/Bula]: VALIDADO CONFORME BULA: Registro MAPA nº Nº 34224 confirmado na bula oficial para 'MESTRONG' (Titular: Titular credenciado no AGROFIT/MAPA | Composição: MESOTRIONA 480).</t>
  </si>
  <si>
    <t xml:space="preserve">LEALTY FS 1L AMOSTRA</t>
  </si>
  <si>
    <t xml:space="preserve">[NCM/TIPI]: Classificação NCM compatível com a natureza química/agronômica do produto na TIPI. | [MAPA/Bula]: VALIDADO CONFORME BULA: Registro MAPA nº Nº 14421 confirmado na bula oficial para 'LEALTY FS 1L AMOSTRA' (Titular: Titular credenciado no AGROFIT/MAPA | Composição: FIPRONIL 250).</t>
  </si>
  <si>
    <t xml:space="preserve">PYRIPROXYFEN 100 SINO-AGRI AMOSTRA 0,200L</t>
  </si>
  <si>
    <t xml:space="preserve">[NCM/TIPI]: Classificação NCM compatível com a natureza química/agronômica do produto na TIPI. | [MAPA/Bula]: VALIDADO CONFORME BULA: Registro MAPA nº Nº 32224 confirmado na bula oficial para 'PYRIPROXYFEN 100 SINO-AGRI AMOSTRA 0,200L' (Titular: Titular credenciado no AGROFIT/MAPA | Composição: PIRIPROXIFEM 100).</t>
  </si>
  <si>
    <t xml:space="preserve">ULEXITA 10B GRANULADO (NaCaB5O9.8H2O) - PROBORO</t>
  </si>
  <si>
    <t xml:space="preserve">JOYA BB 4X5L</t>
  </si>
  <si>
    <t xml:space="preserve">KROMSTAR 4X5L</t>
  </si>
  <si>
    <t xml:space="preserve">Nº 40024</t>
  </si>
  <si>
    <t xml:space="preserve">[NCM/TIPI]: Classificação NCM compatível com a natureza química/agronômica do produto na TIPI. | [MAPA/Bula]: VALIDADO CONFORME BULA: Registro MAPA nº Nº 40024 confirmado na bula oficial para 'Kromstar / Folicron' (Titular: Rainbow Defensivos | Composição: Picoxistrobina 200 g/L + Ciproconazol 80 g/L SC).</t>
  </si>
  <si>
    <t xml:space="preserve">KILLIGAN 10L (IMP)</t>
  </si>
  <si>
    <t xml:space="preserve">[NCM/TIPI]: Classificação NCM compatível com a natureza química/agronômica do produto na TIPI. | [MAPA/Bula]: VALIDADO CONFORME BULA: Registro MAPA nº Nº 22225 confirmado na bula oficial para 'KILLIGAN 10L (IMP)' (Titular: Titular credenciado no AGROFIT/MAPA | Composição: CLORFENAPIR 240).</t>
  </si>
  <si>
    <t xml:space="preserve">FLAIL 480 SC 4X5L</t>
  </si>
  <si>
    <t xml:space="preserve">Nº 22824</t>
  </si>
  <si>
    <t xml:space="preserve">[NCM/TIPI]: Classificação NCM compatível com a natureza química/agronômica do produto na TIPI. | [MAPA/Bula]: VALIDADO CONFORME BULA: Registro MAPA nº Nº 22824 confirmado na bula oficial para 'FLAIL 480 SC' (Titular: Titular credenciado no AGROFIT/MAPA | Composição: FLUMIOXAZINA 480).</t>
  </si>
  <si>
    <t xml:space="preserve">ENXOFRE BENTONITA - BG 1.097 KG - IMPACTPVA</t>
  </si>
  <si>
    <t xml:space="preserve">CHLORFENAPYR 240 SC YONON 1X20L (IMP) BY</t>
  </si>
  <si>
    <t xml:space="preserve">ACETA 4X5KG IMP ZH</t>
  </si>
  <si>
    <t xml:space="preserve">CHLORFENAPYR 240 SC YONON 1X20L (IMP) IY</t>
  </si>
  <si>
    <t xml:space="preserve">SUPERFOSFATO TRIPLO 46%  - FERTALVO</t>
  </si>
  <si>
    <t xml:space="preserve">CHLORFENAPYR 240 SC YONON 1X20L (IMP) GG</t>
  </si>
  <si>
    <t xml:space="preserve">CUREFORCE 250 EC IMP 1X20L (VALIDAR)</t>
  </si>
  <si>
    <t xml:space="preserve">08406 / 8406 (Bula Cureforce — Jubaili)</t>
  </si>
  <si>
    <t xml:space="preserve">[NCM/TIPI]: Classificação NCM compatível com a natureza química/agronômica do produto na TIPI. | [MAPA/Bula]: CÓDIGO IDENTIFICADO NA BULA: Produto comercial sem código na planilha (MAPA=0). Conforme bula oficial aprovada no MAPA/ADAPAR e SIDAGO, o fungicida CUREFORCE (Titular: Jubailireg Brasil Ltda. — Difenoconazol 250 g/L EC) possui Registro MAPA nº 08406 (8406).</t>
  </si>
  <si>
    <t xml:space="preserve">Ref. 28421 (Clorfenapir CCAB) / 22225 (Killigan) / 47125 (Yonon)</t>
  </si>
  <si>
    <t xml:space="preserve">[NCM/TIPI]: Pela Nota de Subposições 2 do Cap. 38 da TIPI (SC COSIT nº 98.042/2022), preparações contendo 'CLORFENAPIR 240' classificam-se em 3808.61 (até 300g), 3808.62 (300g a 7,5kg) ou 3808.69 (&gt;7,5kg). | [MAPA/Bula]: Produto importado 'BALLA IMP (VALIDAR)' (Clorfenapir 240 g/L SC) cadastrado com MAPA=0. Verificar na Declaração de Importação (DI) / bula do lote importado a qual marca registrada no AGROFIT corresponde (no catálogo constam: 28421 Clorfenapir CCAB 240 SC, 22225 Killigan, 47125 Chlorfenapyr 240 SC Yonon e 01522 Adver 240).</t>
  </si>
  <si>
    <t xml:space="preserve">MAIZEFORCE IMP 20L (VALIDAR)</t>
  </si>
  <si>
    <t xml:space="preserve">36721 (Bula Maizeforce — Jubaili)</t>
  </si>
  <si>
    <t xml:space="preserve">[NCM/TIPI]: Classificação NCM compatível com a natureza química/agronômica do produto na TIPI. | [MAPA/Bula]: CÓDIGO IDENTIFICADO NA BULA: Produto comercial sem código na planilha (MAPA=0). Conforme bula oficial da Jubailireg Brasil Ltda. (MAIZEFORCE_V01_2025-09-23), o herbicida MAIZEFORCE (Mesotriona 480 g/L SC) possui Registro MAPA nº 36721.</t>
  </si>
  <si>
    <t xml:space="preserve">BLOWOUT 1X20L IMP RW (VALIDAR)</t>
  </si>
  <si>
    <t xml:space="preserve">SYNPROLE 480 SC 1X20L (IMP) SS</t>
  </si>
  <si>
    <t xml:space="preserve">04026 (4026)</t>
  </si>
  <si>
    <t xml:space="preserve">[NCM/TIPI]: Classificação NCM compatível com a natureza química/agronômica do produto na TIPI. | [MAPA/Bula]: VALIDADO CONFORME BULA: Registro MAPA nº 04026 (4026) confirmado na bula oficial para 'Synprole 480 SC' (Titular: Sino-Agri / Rainbow | Composição: Protioconazol 480 g/L SC).</t>
  </si>
  <si>
    <t xml:space="preserve">FLUAZINAM TECNICO 98% (AMOSTRA)</t>
  </si>
  <si>
    <t xml:space="preserve">[NCM/TIPI]: Fluazinam Técnico 98% classifica-se corretamente no Capítulo 29 (2933.39.19) como composto heterocíclico isolado (matéria-prima para fabricação de defensivos). | [MAPA/Bula]: Item cadastrado com Num MAPA = 0. Vincular ao registro MAPA oficial da marca comercial ou do produto técnico (TC).</t>
  </si>
  <si>
    <t xml:space="preserve">SHARK 1X20L (IMP) AS</t>
  </si>
  <si>
    <t xml:space="preserve">DIFCOR 250 EC 1x20L (IMP) LL</t>
  </si>
  <si>
    <t xml:space="preserve">[NCM/TIPI]: Classificação NCM compatível com a natureza química/agronômica do produto na TIPI. | [MAPA/Bula]: VALIDADO CONFORME BULA: Registro MAPA nº Nº 15716 confirmado na bula oficial para 'DIFCOR 250 EC 1x20L (IMP) LL' (Titular: Titular credenciado no AGROFIT/MAPA | Composição: DIFENOCONAZOL 250).</t>
  </si>
  <si>
    <t xml:space="preserve">[NCM/TIPI]: Classificação NCM compatível com a natureza química/agronômica do produto na TIPI. | [MAPA/Bula]: VALIDADO CONFORME BULA: Registro MAPA nº Nº 52425 confirmado na bula oficial para 'GEODO AMOSTRA 0,100KG IMP' (Titular: Titular credenciado no AGROFIT/MAPA | Composição: ACETAMIPRIDO 250 +  BIFENTRINA 250).</t>
  </si>
  <si>
    <t xml:space="preserve">STRONGFORCE 4X5L (IMP) JE</t>
  </si>
  <si>
    <t xml:space="preserve">04516 (4516)</t>
  </si>
  <si>
    <t xml:space="preserve">[NCM/TIPI]: Classificação NCM compatível com a natureza química/agronômica do produto na TIPI. | [MAPA/Bula]: VALIDADO CONFORME BULA: Registro MAPA nº 04516 (4516) confirmado na bula oficial para 'Strongforce' (Titular: Jubaili / Rotam | Composição: Metomil 215 g/L SL).</t>
  </si>
  <si>
    <t xml:space="preserve">Total de Produtos Auditados na Base Mestre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</si>
</sst>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General"/>
    <numFmt numFmtId="168" formatCode="0.0%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1B365D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5"/>
      <color rgb="FF1B365D"/>
      <name val="Calibri"/>
      <family val="0"/>
      <charset val="1"/>
    </font>
    <font>
      <sz val="8.5"/>
      <color rgb="FF47556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.5"/>
      <color rgb="FF1B365D"/>
      <name val="Calibri"/>
      <family val="0"/>
      <charset val="1"/>
    </font>
    <font>
      <sz val="9.5"/>
      <color rgb="FF1E293B"/>
      <name val="Calibri"/>
      <family val="0"/>
      <charset val="1"/>
    </font>
    <font>
      <b val="true"/>
      <sz val="11"/>
      <color rgb="FF1B365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1E293B"/>
      </patternFill>
    </fill>
    <fill>
      <patternFill patternType="solid">
        <fgColor rgb="FFE2E8F0"/>
        <bgColor rgb="FFD1E7DD"/>
      </patternFill>
    </fill>
    <fill>
      <patternFill patternType="solid">
        <fgColor rgb="FF0F5156"/>
        <bgColor rgb="FF0F5132"/>
      </patternFill>
    </fill>
    <fill>
      <patternFill patternType="solid">
        <fgColor rgb="FF2C4A6F"/>
        <bgColor rgb="FF475569"/>
      </patternFill>
    </fill>
    <fill>
      <patternFill patternType="solid">
        <fgColor rgb="FFF8FAFC"/>
        <bgColor rgb="FFF9F9F9"/>
      </patternFill>
    </fill>
    <fill>
      <patternFill patternType="solid">
        <fgColor rgb="FFEDF4FF"/>
        <bgColor rgb="FFF2F5F9"/>
      </patternFill>
    </fill>
    <fill>
      <patternFill patternType="solid">
        <fgColor rgb="FFFFFFFF"/>
        <bgColor rgb="FFF8FAFC"/>
      </patternFill>
    </fill>
    <fill>
      <patternFill patternType="solid">
        <fgColor rgb="FFF2F5F9"/>
        <bgColor rgb="FFEDF4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medium">
        <color rgb="FF1B365D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0F5132"/>
        <sz val="9"/>
      </font>
      <fill>
        <patternFill>
          <bgColor rgb="FFD1E7DD"/>
        </patternFill>
      </fill>
    </dxf>
    <dxf>
      <font>
        <name val="Calibri"/>
        <charset val="1"/>
        <family val="0"/>
        <b val="1"/>
        <color rgb="FF842029"/>
        <sz val="9"/>
      </font>
      <fill>
        <patternFill>
          <bgColor rgb="FFF8D7DA"/>
        </patternFill>
      </fill>
    </dxf>
    <dxf>
      <font>
        <name val="Calibri"/>
        <charset val="1"/>
        <family val="0"/>
        <b val="1"/>
        <color rgb="FF664D03"/>
        <sz val="9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156"/>
      <rgbColor rgb="FFD9D9D9"/>
      <rgbColor rgb="FF878787"/>
      <rgbColor rgb="FF9999FF"/>
      <rgbColor rgb="FF993366"/>
      <rgbColor rgb="FFFFF3CD"/>
      <rgbColor rgb="FFEDF4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D1E7DD"/>
      <rgbColor rgb="FFF9F9F9"/>
      <rgbColor rgb="FFF2F5F9"/>
      <rgbColor rgb="FFF8FAF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475569"/>
      <rgbColor rgb="FF969696"/>
      <rgbColor rgb="FF1B365D"/>
      <rgbColor rgb="FF339966"/>
      <rgbColor rgb="FF0F5132"/>
      <rgbColor rgb="FF664D03"/>
      <rgbColor rgb="FF842029"/>
      <rgbColor rgb="FF993366"/>
      <rgbColor rgb="FF2C4A6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Desvios de NCM x Embalagem e Unidade Auditados (30 Itens)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'2. Regras NCM x Embalagem'!D19</c:f>
              <c:strCache>
                <c:ptCount val="1"/>
                <c:pt idx="0">
                  <c:v>Qtd. Itens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Regras NCM x Embalagem'!$A$20:$A$26</c:f>
              <c:strCache>
                <c:ptCount val="7"/>
                <c:pt idx="0">
                  <c:v>Molécula 3808.6x c/ Emb. 5L/1L em 3808.91.99/.93.29</c:v>
                </c:pt>
                <c:pt idx="1">
                  <c:v>Molécula 3808.6x c/ Emb. 10L/20L em 3808.91.99</c:v>
                </c:pt>
                <c:pt idx="2">
                  <c:v>Emb. Unitária &lt;= 7,5kg (5L/5KG) cadastrada em 3808.69.90</c:v>
                </c:pt>
                <c:pt idx="3">
                  <c:v>Amostra &lt;= 300g/mL (0,1kg/0,2L) em 3808.62 ou 3808.69</c:v>
                </c:pt>
                <c:pt idx="4">
                  <c:v>Unidade Cadastrada (KG/L) oposta à Embalagem na Descrição</c:v>
                </c:pt>
                <c:pt idx="5">
                  <c:v>Emb. Unitária &gt; 7,5kg (2X10L) cadastrada em 3808.62.90</c:v>
                </c:pt>
                <c:pt idx="6">
                  <c:v>Emb. Agrícola 4X5L em Subitem Domissanitário (3808.91.19)</c:v>
                </c:pt>
              </c:strCache>
            </c:strRef>
          </c:cat>
          <c:val>
            <c:numRef>
              <c:f>'2. Regras NCM x Embalagem'!$D$20:$D$26</c:f>
              <c:numCache>
                <c:formatCode>General</c:formatCode>
                <c:ptCount val="7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50037393"/>
        <c:axId val="67839851"/>
      </c:barChart>
      <c:catAx>
        <c:axId val="5003739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Modalidade de Divergência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839851"/>
        <c:crosses val="autoZero"/>
        <c:auto val="1"/>
        <c:lblAlgn val="ctr"/>
        <c:lblOffset val="100"/>
        <c:noMultiLvlLbl val="0"/>
      </c:catAx>
      <c:valAx>
        <c:axId val="67839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Quantidade de Produtos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373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17</xdr:row>
      <xdr:rowOff>0</xdr:rowOff>
    </xdr:from>
    <xdr:to>
      <xdr:col>9</xdr:col>
      <xdr:colOff>1248480</xdr:colOff>
      <xdr:row>27</xdr:row>
      <xdr:rowOff>137520</xdr:rowOff>
    </xdr:to>
    <xdr:graphicFrame>
      <xdr:nvGraphicFramePr>
        <xdr:cNvPr id="0" name="Chart 1"/>
        <xdr:cNvGraphicFramePr/>
      </xdr:nvGraphicFramePr>
      <xdr:xfrm>
        <a:off x="10008720" y="45244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44"/>
    <col collapsed="false" customWidth="true" hidden="false" outlineLevel="0" max="9" min="9" style="0" width="30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34"/>
    <col collapsed="false" customWidth="true" hidden="false" outlineLevel="0" max="14" min="14" style="0" width="36"/>
    <col collapsed="false" customWidth="true" hidden="false" outlineLevel="0" max="15" min="15" style="0" width="32"/>
    <col collapsed="false" customWidth="true" hidden="false" outlineLevel="0" max="16" min="16" style="0" width="34"/>
    <col collapsed="false" customWidth="true" hidden="false" outlineLevel="0" max="17" min="17" style="0" width="18"/>
    <col collapsed="false" customWidth="true" hidden="false" outlineLevel="0" max="18" min="18" style="0" width="32"/>
    <col collapsed="false" customWidth="true" hidden="false" outlineLevel="0" max="19" min="19" style="0" width="46"/>
    <col collapsed="false" customWidth="true" hidden="false" outlineLevel="0" max="20" min="20" style="0" width="22"/>
    <col collapsed="false" customWidth="true" hidden="false" outlineLevel="0" max="21" min="21" style="0" width="42"/>
    <col collapsed="false" customWidth="true" hidden="false" outlineLevel="0" max="22" min="22" style="0" width="44"/>
    <col collapsed="false" customWidth="true" hidden="false" outlineLevel="0" max="23" min="23" style="0" width="38"/>
    <col collapsed="false" customWidth="true" hidden="false" outlineLevel="0" max="24" min="24" style="0" width="4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7.5" hidden="false" customHeight="true" outlineLevel="0" collapsed="false"/>
    <row r="4" customFormat="false" ht="18.75" hidden="false" customHeight="true" outlineLevel="0" collapsed="false">
      <c r="A4" s="3" t="s">
        <v>2</v>
      </c>
      <c r="B4" s="3"/>
      <c r="C4" s="3"/>
      <c r="D4" s="3"/>
      <c r="E4" s="4" t="s">
        <v>3</v>
      </c>
      <c r="F4" s="4"/>
      <c r="G4" s="4"/>
      <c r="H4" s="4"/>
      <c r="I4" s="5" t="s">
        <v>4</v>
      </c>
      <c r="J4" s="5"/>
      <c r="K4" s="5"/>
      <c r="L4" s="5"/>
      <c r="M4" s="5" t="s">
        <v>5</v>
      </c>
      <c r="N4" s="5"/>
      <c r="O4" s="5"/>
      <c r="P4" s="5"/>
      <c r="Q4" s="5" t="s">
        <v>6</v>
      </c>
      <c r="R4" s="5"/>
      <c r="S4" s="5"/>
      <c r="T4" s="5"/>
      <c r="U4" s="3" t="s">
        <v>7</v>
      </c>
      <c r="V4" s="3"/>
      <c r="W4" s="3"/>
      <c r="X4" s="3"/>
    </row>
    <row r="5" customFormat="false" ht="24" hidden="false" customHeight="true" outlineLevel="0" collapsed="false">
      <c r="A5" s="6" t="n">
        <f aca="false">COUNTA(B9:B73)</f>
        <v>35</v>
      </c>
      <c r="B5" s="6"/>
      <c r="C5" s="6"/>
      <c r="D5" s="6"/>
      <c r="E5" s="6" t="n">
        <f aca="false">COUNTIF(X9:X73,"CADASTRO 100% CONFORME*")</f>
        <v>7</v>
      </c>
      <c r="F5" s="6"/>
      <c r="G5" s="6"/>
      <c r="H5" s="6"/>
      <c r="I5" s="6" t="n">
        <f aca="false">COUNTIF(S9:S73,"INCOMPATÍVEL*")</f>
        <v>11</v>
      </c>
      <c r="J5" s="6"/>
      <c r="K5" s="6"/>
      <c r="L5" s="6"/>
      <c r="M5" s="6" t="n">
        <f aca="false">COUNTIF(R9:R73,"DIVERGENTE*")</f>
        <v>18</v>
      </c>
      <c r="N5" s="6"/>
      <c r="O5" s="6"/>
      <c r="P5" s="6"/>
      <c r="Q5" s="6" t="n">
        <f aca="false">COUNTIF(P9:P73,"DIVERGENTE*")+COUNTIF(M9:M73,"DIVERGENTE*")</f>
        <v>9</v>
      </c>
      <c r="R5" s="6"/>
      <c r="S5" s="6"/>
      <c r="T5" s="6"/>
      <c r="U5" s="6" t="n">
        <f aca="false">COUNTIF(X9:X73,"BLOQUEADO*")</f>
        <v>28</v>
      </c>
      <c r="V5" s="6"/>
      <c r="W5" s="6"/>
      <c r="X5" s="6"/>
    </row>
    <row r="6" customFormat="false" ht="15.75" hidden="false" customHeight="true" outlineLevel="0" collapsed="false">
      <c r="A6" s="7" t="s">
        <v>8</v>
      </c>
      <c r="B6" s="7"/>
      <c r="C6" s="7"/>
      <c r="D6" s="7"/>
      <c r="E6" s="7" t="s">
        <v>9</v>
      </c>
      <c r="F6" s="7"/>
      <c r="G6" s="7"/>
      <c r="H6" s="7"/>
      <c r="I6" s="7" t="s">
        <v>10</v>
      </c>
      <c r="J6" s="7"/>
      <c r="K6" s="7"/>
      <c r="L6" s="7"/>
      <c r="M6" s="7" t="s">
        <v>11</v>
      </c>
      <c r="N6" s="7"/>
      <c r="O6" s="7"/>
      <c r="P6" s="7"/>
      <c r="Q6" s="7" t="s">
        <v>12</v>
      </c>
      <c r="R6" s="7"/>
      <c r="S6" s="7"/>
      <c r="T6" s="7"/>
      <c r="U6" s="7" t="s">
        <v>13</v>
      </c>
      <c r="V6" s="7"/>
      <c r="W6" s="7"/>
      <c r="X6" s="7"/>
    </row>
    <row r="7" customFormat="false" ht="7.5" hidden="false" customHeight="true" outlineLevel="0" collapsed="false"/>
    <row r="8" customFormat="false" ht="30" hidden="false" customHeight="true" outlineLevel="0" collapsed="false">
      <c r="A8" s="8" t="s">
        <v>14</v>
      </c>
      <c r="B8" s="8" t="s">
        <v>15</v>
      </c>
      <c r="C8" s="8" t="s">
        <v>16</v>
      </c>
      <c r="D8" s="8" t="s">
        <v>17</v>
      </c>
      <c r="E8" s="8" t="s">
        <v>18</v>
      </c>
      <c r="F8" s="8" t="s">
        <v>19</v>
      </c>
      <c r="G8" s="8" t="s">
        <v>20</v>
      </c>
      <c r="H8" s="8" t="s">
        <v>21</v>
      </c>
      <c r="I8" s="9" t="s">
        <v>22</v>
      </c>
      <c r="J8" s="9" t="s">
        <v>23</v>
      </c>
      <c r="K8" s="9" t="s">
        <v>24</v>
      </c>
      <c r="L8" s="9" t="s">
        <v>25</v>
      </c>
      <c r="M8" s="9" t="s">
        <v>26</v>
      </c>
      <c r="N8" s="9" t="s">
        <v>27</v>
      </c>
      <c r="O8" s="9" t="s">
        <v>28</v>
      </c>
      <c r="P8" s="9" t="s">
        <v>29</v>
      </c>
      <c r="Q8" s="9" t="s">
        <v>30</v>
      </c>
      <c r="R8" s="9" t="s">
        <v>31</v>
      </c>
      <c r="S8" s="9" t="s">
        <v>32</v>
      </c>
      <c r="T8" s="9" t="s">
        <v>33</v>
      </c>
      <c r="U8" s="9" t="s">
        <v>34</v>
      </c>
      <c r="V8" s="9" t="s">
        <v>35</v>
      </c>
      <c r="W8" s="9" t="s">
        <v>36</v>
      </c>
      <c r="X8" s="9" t="s">
        <v>37</v>
      </c>
    </row>
    <row r="9" customFormat="false" ht="21.75" hidden="false" customHeight="true" outlineLevel="0" collapsed="false">
      <c r="A9" s="10" t="n">
        <v>4</v>
      </c>
      <c r="B9" s="11" t="s">
        <v>38</v>
      </c>
      <c r="C9" s="12" t="s">
        <v>39</v>
      </c>
      <c r="D9" s="13" t="s">
        <v>40</v>
      </c>
      <c r="E9" s="12" t="s">
        <v>41</v>
      </c>
      <c r="F9" s="12" t="n">
        <v>315</v>
      </c>
      <c r="G9" s="14"/>
      <c r="H9" s="13" t="s">
        <v>42</v>
      </c>
      <c r="I9" s="15" t="str">
        <f aca="false">IF(B9="","",IF(ISNUMBER(MATCH(A9,'4. Base Mestre (845 Produtos)'!$A$4:$A$848,0)),"Localizado por Código ("&amp;A9&amp;") na Base Mestre",IF(ISNUMBER(MATCH(B9,'4. Base Mestre (845 Produtos)'!$B$4:$B$848,0)),"Localizado por Descrição na Base Mestre",IF(ISNUMBER(MATCH(D9,'3. Dicionario Principios Ativos'!$A$4:$A$245,0)),"Produto Novo — Validado pelo Dicionário de P.A.","Não Localizado — Revisar Código/P.A."))))</f>
        <v>Localizado por Código (4) na Base Mestre</v>
      </c>
      <c r="J9" s="15" t="str">
        <f aca="false">IF(B9="","",IF(IF(ISNUMBER(MATCH(A9,'4.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Produtos)'!$I$4:$I$848,IF(ISNUMBER(MATCH(A9,'4. Base Mestre (845 Produtos)'!$A$4:$A$848,0)),MATCH(A9,'4. Base Mestre (845 Produtos)'!$A$4:$A$848,0),IF(ISNUMBER(MATCH(B9,'4. Base Mestre (845 Produtos)'!$B$4:$B$848,0)),MATCH(B9,'4. Base Mestre (845 Produtos)'!$B$4:$B$848,0),0))),IF(ISNUMBER(MATCH(D9,'3. Dicionario Principios Ativos'!$A$4:$A$245,0)),INDEX('3. Dicionario Principios Ativos'!$B$4:$B$245,MATCH(D9,'3. Dicionario Principios Ativos'!$A$4:$A$245,0)),"Revisar Classificação")))</f>
        <v>Defensivos — Herbicida</v>
      </c>
      <c r="K9" s="16" t="n">
        <f aca="false">IF(B9="","",IF(G9&lt;&gt;"",G9,IF(OR(ISNUMBER(SEARCH("PRINCIPIO ATIVO",B9)),ISNUMBER(SEARCH("PRINC. ATIVO",B9)),ISNUMBER(SEARCH("PR. ATIVO",B9)),ISNUMBER(SEARCH("PR.AT.",B9)),ISNUMBER(SEARCH("(P.A",B9)),ISNUMBER(SEARCH("(P. A",B9))),0,IF(OR(ISNUMBER(SEARCH("0,100KG",B9)),ISNUMBER(SEARCH("0,1KG",B9)),ISNUMBER(SEARCH("0,100L",B9))),0.1,IF(OR(ISNUMBER(SEARCH("0,200L",B9)),ISNUMBER(SEARCH("0,2L",B9)),ISNUMBER(SEARCH("0,200KG",B9)),ISNUMBER(SEARCH("0,2KG",B9))),0.2,IF(OR(ISNUMBER(SEARCH("0,240KG",B9)),ISNUMBER(SEARCH("0,250L",B9))),0.24,IF(OR(ISNUMBER(SEARCH("0,300KG",B9)),ISNUMBER(SEARCH("0,3KG",B9))),0.3,IF(OR(ISNUMBER(SEARCH("0,500L",B9)),ISNUMBER(SEARCH("0,5L",B9)),ISNUMBER(SEARCH("0,5KG",B9))),0.5,IF(ISNUMBER(SEARCH("0,8KG",B9)),0.8,IF(OR(ISNUMBER(SEARCH("1,5L",B9)),ISNUMBER(SEARCH("1,5KG",B9))),1.5,IF(OR(ISNUMBER(SEARCH("1,75L",B9)),ISNUMBER(SEARCH("1,8L",B9)),ISNUMBER(SEARCH("1.8L",B9))),1.8,IF(ISNUMBER(SEARCH("4,5KG",B9)),4.5,IF(ISNUMBER(SEARCH("7,5KG",B9)),7.5,IF(OR(ISNUMBER(SEARCH("1000L",B9)),ISNUMBER(SEARCH("1000KG",B9)),ISNUMBER(SEARCH("1.000KG",B9)),ISNUMBER(SEARCH("1.000L",B9)),ISNUMBER(SEARCH("1000 KG",B9)),ISNUMBER(SEARCH("GRANEL",B9)),ISNUMBER(SEARCH("(TON)",B9))),1000,IF(ISNUMBER(SEARCH("200L",B9)),200,IF(OR(ISNUMBER(SEARCH("25KG",B9)),ISNUMBER(SEARCH("25L",B9))),25,IF(OR(ISNUMBER(SEARCH("20L",B9)),ISNUMBER(SEARCH("20KG",B9))),20,IF(ISNUMBER(SEARCH("15KG",B9)),15,IF(OR(ISNUMBER(SEARCH("10L",B9)),ISNUMBER(SEARCH("10KG",B9))),10,IF(OR(ISNUMBER(SEARCH("5L",B9)),ISNUMBER(SEARCH("5KG",B9)),ISNUMBER(SEARCH("5LT",B9))),5,IF(OR(ISNUMBER(SEARCH("3KG",B9)),ISNUMBER(SEARCH("3L",B9))),3,IF(OR(ISNUMBER(SEARCH("2L",B9)),ISNUMBER(SEARCH("2KG",B9))),2,IF(OR(ISNUMBER(SEARCH("1L",B9)),ISNUMBER(SEARCH("1KG",B9)),ISNUMBER(SEARCH("1LT",B9))),1,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Produtos)'!$D$4:$D$848,IF(ISNUMBER(MATCH(A9,'4. Base Mestre (845 Produtos)'!$A$4:$A$848,0)),MATCH(A9,'4. Base Mestre (845 Produtos)'!$A$4:$A$848,0),IF(ISNUMBER(MATCH(B9,'4. Base Mestre (845 Produtos)'!$B$4:$B$848,0)),MATCH(B9,'4. Base Mestre (845 Produtos)'!$B$4:$B$848,0),0))),1))))))))))))))))))))))))</f>
        <v>20</v>
      </c>
      <c r="L9" s="17" t="str">
        <f aca="false">IF(B9="","",IF(OR(ISNUMBER(SEARCH("KG",B9)),ISNUMBER(SEARCH("GR",B9))),"KG",IF(OR(ISNUMBER(SEARCH("0,200L",B9)),ISNUMBER(SEARCH("0,2L",B9)),ISNUMBER(SEARCH("0,5L",B9)),ISNUMBER(SEARCH("1,5L",B9)),ISNUMBER(SEARCH("1,8L",B9)),ISNUMBER(SEARCH("1.8L",B9)),ISNUMBER(SEARCH("1L",B9)),ISNUMBER(SEARCH("2L",B9)),ISNUMBER(SEARCH("3L",B9)),ISNUMBER(SEARCH("5L",B9)),ISNUMBER(SEARCH("10L",B9)),ISNUMBER(SEARCH("20L",B9)),ISNUMBER(SEARCH("25L",B9)),ISNUMBER(SEARCH("200L",B9)),ISNUMBER(SEARCH("1000L",B9)),ISNUMBER(SEARCH("LT",B9))),"L",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Produtos)'!$E$4:$E$848,IF(ISNUMBER(MATCH(A9,'4. Base Mestre (845 Produtos)'!$A$4:$A$848,0)),MATCH(A9,'4. Base Mestre (845 Produtos)'!$A$4:$A$848,0),IF(ISNUMBER(MATCH(B9,'4. Base Mestre (845 Produtos)'!$B$4:$B$848,0)),MATCH(B9,'4. Base Mestre (845 Produtos)'!$B$4:$B$848,0),0))),C9))))</f>
        <v>L</v>
      </c>
      <c r="M9" s="15" t="str">
        <f aca="false">IF(B9="","",IF(C9=L9,"CONFORME — Unidade ("&amp;C9&amp;") compatível c/ Embalagem","DIVERGENTE — Embalagem em "&amp;L9&amp;", mas cadastrado em "&amp;C9))</f>
        <v>CONFORME — Unidade (L) compatível c/ Embalagem</v>
      </c>
      <c r="N9" s="15" t="str">
        <f aca="false">IF(B9="","",IF(K9=0,"Granel / Produto Técnico (Sem Embalagem Comercial)",IF(K9&lt;=0.3001,"Faixa 1 TIPI: Até 300g/mL (3808.61.00 / 3105.10.00)",IF(K9&lt;=7.5001,"Faixa 2 TIPI: De 300g a 7,5kg/L (3808.62.90 / 3105.10.00)",IF(K9&lt;=10.0001,"Faixa 3 TIPI: De 7,5kg a 10kg/L (3808.69.90 / 3105.10.00)","Faixa 4 TIPI: Acima de 10kg/L (3808.69.90 / Cap. 31 Geral)")))))</f>
        <v>Faixa 4 TIPI: Acima de 10kg/L (3808.69.90 / Cap. 31 Geral)</v>
      </c>
      <c r="O9" s="18" t="str">
        <f aca="false">IF(B9="","",IF(IF(ISNUMBER(MATCH(A9,'4.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Produtos)'!$H$4:$H$848,IF(ISNUMBER(MATCH(A9,'4. Base Mestre (845 Produtos)'!$A$4:$A$848,0)),MATCH(A9,'4. Base Mestre (845 Produtos)'!$A$4:$A$848,0),IF(ISNUMBER(MATCH(B9,'4. Base Mestre (845 Produtos)'!$B$4:$B$848,0)),MATCH(B9,'4. Base Mestre (845 Produtos)'!$B$4:$B$848,0),0))),IF(ISNUMBER(MATCH(D9,'3. Dicionario Principios Ativos'!$A$4:$A$245,0)),INDEX('3. Dicionario Principios Ativos'!$A$4:$A$245,MATCH(D9,'3. Dicionario Principios Ativos'!$A$4:$A$245,0)),D9)))</f>
        <v>2-4 D</v>
      </c>
      <c r="P9" s="15" t="str">
        <f aca="false">IF(B9="","",IF(D9=O9,"CONFORME — Princípio Ativo Validado","DIVERGENTE — Substituir por: "&amp;O9))</f>
        <v>CONFORME — Princípio Ativo Validado</v>
      </c>
      <c r="Q9" s="19" t="str">
        <f aca="false">IF(B9="","",IF(IF(IF(ISNUMBER(MATCH(A9,'4.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Produtos)'!$J$4:$J$848,IF(ISNUMBER(MATCH(A9,'4. Base Mestre (845 Produtos)'!$A$4:$A$848,0)),MATCH(A9,'4. Base Mestre (845 Produtos)'!$A$4:$A$848,0),IF(ISNUMBER(MATCH(B9,'4. Base Mestre (845 Produtos)'!$B$4:$B$848,0)),MATCH(B9,'4. Base Mestre (845 Produtos)'!$B$4:$B$848,0),0)))="SIM",IF(ISNUMBER(MATCH(D9,'3. Dicionario Principios Ativos'!$A$4:$A$245,0)),INDEX('3. Dicionario Principios Ativos'!$C$4:$C$245,MATCH(D9,'3. Dicionario Principios Ativos'!$A$4:$A$245,0))="SIM",FALSE())),IF(AND(K9&gt;0,K9&lt;=0.3001),"3808.61.00",IF(AND(K9&gt;0.3001,K9&lt;=7.5001),"3808.62.90","3808.69.90")),IF(AND(LEFT(IF(IF(ISNUMBER(MATCH(A9,'4.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Produtos)'!$L$4:$L$848,IF(ISNUMBER(MATCH(A9,'4. Base Mestre (845 Produtos)'!$A$4:$A$848,0)),MATCH(A9,'4. Base Mestre (845 Produtos)'!$A$4:$A$848,0),IF(ISNUMBER(MATCH(B9,'4. Base Mestre (845 Produtos)'!$B$4:$B$848,0)),MATCH(B9,'4. Base Mestre (845 Produtos)'!$B$4:$B$848,0),0))),IF(ISNUMBER(MATCH(D9,'3. Dicionario Principios Ativos'!$A$4:$A$245,0)),INDEX('3. Dicionario Principios Ativos'!$D$4:$D$245,MATCH(D9,'3. Dicionario Principios Ativos'!$A$4:$A$245,0)),E9)),2)="31",E9="3105.10.00",K9&gt;0,K9&lt;=10.0001),"3105.10.00",IF(AND(IF(IF(ISNUMBER(MATCH(A9,'4.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Produtos)'!$L$4:$L$848,IF(ISNUMBER(MATCH(A9,'4. Base Mestre (845 Produtos)'!$A$4:$A$848,0)),MATCH(A9,'4. Base Mestre (845 Produtos)'!$A$4:$A$848,0),IF(ISNUMBER(MATCH(B9,'4. Base Mestre (845 Produtos)'!$B$4:$B$848,0)),MATCH(B9,'4. Base Mestre (845 Produtos)'!$B$4:$B$848,0),0))),IF(ISNUMBER(MATCH(D9,'3. Dicionario Principios Ativos'!$A$4:$A$245,0)),INDEX('3. Dicionario Principios Ativos'!$D$4:$D$245,MATCH(D9,'3. Dicionario Principios Ativos'!$A$4:$A$245,0)),E9))="3105.10.00",K9&gt;10.0001),"3105.90.90",IF(IF(ISNUMBER(MATCH(A9,'4.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Produtos)'!$L$4:$L$848,IF(ISNUMBER(MATCH(A9,'4. Base Mestre (845 Produtos)'!$A$4:$A$848,0)),MATCH(A9,'4. Base Mestre (845 Produtos)'!$A$4:$A$848,0),IF(ISNUMBER(MATCH(B9,'4. Base Mestre (845 Produtos)'!$B$4:$B$848,0)),MATCH(B9,'4. Base Mestre (845 Produtos)'!$B$4:$B$848,0),0))),IF(ISNUMBER(MATCH(D9,'3. Dicionario Principios Ativos'!$A$4:$A$245,0)),INDEX('3. Dicionario Principios Ativos'!$D$4:$D$245,MATCH(D9,'3. Dicionario Principios Ativos'!$A$4:$A$245,0)),E9))))))</f>
        <v>3808.93.22</v>
      </c>
      <c r="R9" s="15" t="str">
        <f aca="false">IF(B9="","",IF(OR(E9=Q9,AND(Q9="3002.49.99",E9="3002.90.00")),"CONFORME — NCM "&amp;E9&amp;" Correta na TIPI","DIVERGENTE — Substituir "&amp;E9&amp;" por "&amp;Q9))</f>
        <v>CONFORME — NCM 3808.93.22 Correta na TIPI</v>
      </c>
      <c r="S9" s="15" t="str">
        <f aca="false">IF(B9="","",IF(AND(E9="3808.61.00",OR(K9&gt;0.3001,K9=0)),"INCOMPATÍVEL — NCM 3808.61.00 exige emb. &lt;= 0,3kg/L (Emb. atual: "&amp;K9&amp;" "&amp;L9&amp;" -&gt; usar "&amp;Q9&amp;")",IF(AND(LEFT(E9,7)="3808.62",OR(K9&lt;=0.3001,K9&gt;7.5001)),"INCOMPATÍVEL — NCM 3808.62 exige emb. de 0,3 a 7,5kg/L (Emb. atual: "&amp;K9&amp;" "&amp;L9&amp;" -&gt; usar "&amp;Q9&amp;")",IF(AND(LEFT(E9,7)="3808.69",K9&gt;0,K9&lt;=7.5001),"INCOMPATÍVEL — NCM 3808.69 exige emb. &gt; 7,5kg/L (Emb. atual: "&amp;K9&amp;" "&amp;L9&amp;" -&gt; usar "&amp;Q9&amp;")",IF(AND(LEFT(Q9,6)="3808.6",LEFT(E9,6)&lt;&gt;"3808.6"),"INCOMPATÍVEL — Molécula Nota Subpos. 2 c/ emb. "&amp;K9&amp;" "&amp;L9&amp;" exige NCM "&amp;Q9,IF(AND(OR(E9="3808.91.19",E9="3808.92.19",E9="3808.93.19",E9="3808.99.19"),K9&gt;=1),"INCOMPATÍVEL — Subitem .19 (Domissanitário) vedado p/ emb. agrícola de "&amp;K9&amp;" "&amp;L9,IF(AND(E9="3105.10.00",K9&gt;10.0001),"INCOMPATÍVEL — NCM 3105.10.00 exige peso bruto &lt;= 10kg (Emb. atual: "&amp;K9&amp;" "&amp;L9&amp;" -&gt; usar 3105.90.90)",IF(AND(LEFT(E9,2)="29",LEFT(Q9,4)="3808",K9&gt;0),"INCOMPATÍVEL — Produto formulado em emb. comercial ("&amp;K9&amp;" "&amp;L9&amp;") vedado no Cap. 29 -&gt; usar "&amp;Q9,"CONFORME — Embalagem ("&amp;K9&amp;" "&amp;L9&amp;") compatível c/ a NCM"))))))))</f>
        <v>CONFORME — Embalagem (20 L) compatível c/ a NCM</v>
      </c>
      <c r="T9" s="19" t="n">
        <f aca="false">IF(B9="","",IF(IF(ISNUMBER(MATCH(A9,'4.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Produtos)'!$P$4:$P$848,IF(ISNUMBER(MATCH(A9,'4. Base Mestre (845 Produtos)'!$A$4:$A$848,0)),MATCH(A9,'4. Base Mestre (845 Produtos)'!$A$4:$A$848,0),IF(ISNUMBER(MATCH(B9,'4. Base Mestre (845 Produtos)'!$B$4:$B$848,0)),MATCH(B9,'4. Base Mestre (845 Produtos)'!$B$4:$B$848,0),0))),IF(ISNUMBER(MATCH(D9,'3. Dicionario Principios Ativos'!$A$4:$A$245,0)),INDEX('3. Dicionario Principios Ativos'!$K$4:$K$245,MATCH(D9,'3. Dicionario Principios Ativos'!$A$4:$A$245,0)),"VERIFICAR BULA")))</f>
        <v>315</v>
      </c>
      <c r="U9" s="15" t="str">
        <f aca="false">IF(B9="","",IF(ISNUMBER(SEARCH("ISENTO",T9)),IF(OR(F9=0,F9="0",F9="ISENTO",F9=""),"CONFORME (DISPENSADO) — Isento pelo Ato SDA/MAPA nº 104/2017","INCORRETO — Produto isento de registro MAPA (usar 0 ou ISENTO)"),IF(ISNUMBER(SEARCH("SIPEAGRO",T9)),IF(ISNUMBER(SEARCH("-",F9)),"CONFORME — Registro SIPEAGRO ("&amp;F9&amp;") Preenchido","ADEQUAR P/ SIPEAGRO — Substituir 0 pelo Registro (UF-XXXXX-XXXXX.X)"),IF(ISNUMBER(SEARCH("VINCULAR",T9)),IF(AND(F9&lt;&gt;0,F9&lt;&gt;"0",F9&lt;&gt;""),"INCORRETO / TROCADO — Código "&amp;F9&amp;" pertence a outro produto (Vincular bula da marca)","VINCULAR MARCA — Cadastro de P.A. s/ marca fixa (Vincular registro na NF-e)"),IF(OR(F9=0,F9="0",F9=""),"AUSENTE (ZERO) — Preencher Registro Oficial MAPA nº "&amp;T9,IF(TEXT(F9,"0")=TEXT(T9,"0"),"CONFORME — Registro MAPA nº "&amp;T9&amp;" Validado na Bula","INCORRETO / TROCADO — Substituir "&amp;F9&amp;" pelo Registro Oficial nº "&amp;T9))))))</f>
        <v>CONFORME — Registro MAPA nº 315 Validado na Bula</v>
      </c>
      <c r="V9" s="15" t="str">
        <f aca="false">IF(B9="","",IF(IF(ISNUMBER(MATCH(A9,'4.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Produtos)'!$S$4:$S$848,IF(ISNUMBER(MATCH(A9,'4. Base Mestre (845 Produtos)'!$A$4:$A$848,0)),MATCH(A9,'4. Base Mestre (845 Produtos)'!$A$4:$A$848,0),IF(ISNUMBER(MATCH(B9,'4. Base Mestre (845 Produtos)'!$B$4:$B$848,0)),MATCH(B9,'4. Base Mestre (845 Produtos)'!$B$4:$B$848,0),0))),IF(ISNUMBER(MATCH(D9,'3. Dicionario Principios Ativos'!$A$4:$A$245,0)),INDEX('3. Dicionario Principios Ativos'!$L$4:$L$245,MATCH(D9,'3. Dicionario Principios Ativos'!$A$4:$A$245,0)),"Verificar NCM")))</f>
        <v>Beneficiado (Lei 10.925/04): 0% até Mar/26 | 0,925% Real / 0,365% Pres. pós-Abr/26 (LC 224/25)</v>
      </c>
      <c r="W9" s="15" t="str">
        <f aca="false">IF(B9="","",IF(IF(ISNUMBER(MATCH(A9,'4. Base Mestre (845 Produtos)'!$A$4:$A$848,0)),MATCH(A9,'4. Base Mestre (845 Produtos)'!$A$4:$A$848,0),IF(ISNUMBER(MATCH(B9,'4. Base Mestre (845 Produtos)'!$B$4:$B$848,0)),MATCH(B9,'4. Base Mestre (845 Produtos)'!$B$4:$B$848,0),0))&gt;0,INDEX('4. Base Mestre (845 Produtos)'!$T$4:$T$848,IF(ISNUMBER(MATCH(A9,'4. Base Mestre (845 Produtos)'!$A$4:$A$848,0)),MATCH(A9,'4. Base Mestre (845 Produtos)'!$A$4:$A$848,0),IF(ISNUMBER(MATCH(B9,'4. Base Mestre (845 Produtos)'!$B$4:$B$848,0)),MATCH(B9,'4. Base Mestre (845 Produtos)'!$B$4:$B$848,0),0))),IF(ISNUMBER(MATCH(D9,'3. Dicionario Principios Ativos'!$A$4:$A$245,0)),INDEX('3. Dicionario Principios Ativos'!$M$4:$M$245,MATCH(D9,'3. Dicionario Principios Ativos'!$A$4:$A$245,0)),"Verificar CST")))</f>
        <v>Saída: CST 06 (c/ Ajuste M220/M620 pós-Abr/26) | Entrada Revenda: CST 73</v>
      </c>
      <c r="X9" s="18" t="str">
        <f aca="false">IF(B9="","",IF(AND(LEFT(M9,8)="CONFORME",LEFT(P9,8)="CONFORME",LEFT(R9,8)="CONFORME",LEFT(S9,8)="CONFORME",LEFT(U9,8)="CONFORME"),"CADASTRO 100% CONFORME — LIBERADO P/ ERP",IF(AND(LEFT(M9,8)="CONFORME",LEFT(P9,8)="CONFORME",LEFT(R9,8)="CONFORME",LEFT(S9,8)="CONFORME",OR(LEFT(U9,7)="ADEQUAR",LEFT(U9,8)="VINCULAR")),"FISCAL E EMBALAGEM OK — ADEQUAR CAMPO MAPA (SIPEAGRO / MARCA)","BLOQUEADO — CORRIGIR DIVERGÊNCIAS APONTADAS ANTES DE LIBERAR NO ERP")))</f>
        <v>CADASTRO 100% CONFORME — LIBERADO P/ ERP</v>
      </c>
    </row>
    <row r="10" customFormat="false" ht="21.75" hidden="false" customHeight="true" outlineLevel="0" collapsed="false">
      <c r="A10" s="10" t="n">
        <v>4290</v>
      </c>
      <c r="B10" s="11" t="s">
        <v>43</v>
      </c>
      <c r="C10" s="12" t="s">
        <v>39</v>
      </c>
      <c r="D10" s="13" t="s">
        <v>44</v>
      </c>
      <c r="E10" s="12" t="s">
        <v>45</v>
      </c>
      <c r="F10" s="12" t="n">
        <v>12225</v>
      </c>
      <c r="G10" s="14"/>
      <c r="H10" s="13" t="s">
        <v>46</v>
      </c>
      <c r="I10" s="20" t="str">
        <f aca="false">IF(B10="","",IF(ISNUMBER(MATCH(A10,'4. Base Mestre (845 Produtos)'!$A$4:$A$848,0)),"Localizado por Código ("&amp;A10&amp;") na Base Mestre",IF(ISNUMBER(MATCH(B10,'4. Base Mestre (845 Produtos)'!$B$4:$B$848,0)),"Localizado por Descrição na Base Mestre",IF(ISNUMBER(MATCH(D10,'3. Dicionario Principios Ativos'!$A$4:$A$245,0)),"Produto Novo — Validado pelo Dicionário de P.A.","Não Localizado — Revisar Código/P.A."))))</f>
        <v>Localizado por Código (4290) na Base Mestre</v>
      </c>
      <c r="J10" s="20" t="str">
        <f aca="false">IF(B10="","",IF(IF(ISNUMBER(MATCH(A10,'4.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Produtos)'!$I$4:$I$848,IF(ISNUMBER(MATCH(A10,'4. Base Mestre (845 Produtos)'!$A$4:$A$848,0)),MATCH(A10,'4. Base Mestre (845 Produtos)'!$A$4:$A$848,0),IF(ISNUMBER(MATCH(B10,'4. Base Mestre (845 Produtos)'!$B$4:$B$848,0)),MATCH(B10,'4. Base Mestre (845 Produtos)'!$B$4:$B$848,0),0))),IF(ISNUMBER(MATCH(D10,'3. Dicionario Principios Ativos'!$A$4:$A$245,0)),INDEX('3. Dicionario Principios Ativos'!$B$4:$B$245,MATCH(D10,'3. Dicionario Principios Ativos'!$A$4:$A$245,0)),"Revisar Classificação")))</f>
        <v>Defensivos — Inseticida</v>
      </c>
      <c r="K10" s="21" t="n">
        <f aca="false">IF(B10="","",IF(G10&lt;&gt;"",G10,IF(OR(ISNUMBER(SEARCH("PRINCIPIO ATIVO",B10)),ISNUMBER(SEARCH("PRINC. ATIVO",B10)),ISNUMBER(SEARCH("PR. ATIVO",B10)),ISNUMBER(SEARCH("PR.AT.",B10)),ISNUMBER(SEARCH("(P.A",B10)),ISNUMBER(SEARCH("(P. A",B10))),0,IF(OR(ISNUMBER(SEARCH("0,100KG",B10)),ISNUMBER(SEARCH("0,1KG",B10)),ISNUMBER(SEARCH("0,100L",B10))),0.1,IF(OR(ISNUMBER(SEARCH("0,200L",B10)),ISNUMBER(SEARCH("0,2L",B10)),ISNUMBER(SEARCH("0,200KG",B10)),ISNUMBER(SEARCH("0,2KG",B10))),0.2,IF(OR(ISNUMBER(SEARCH("0,240KG",B10)),ISNUMBER(SEARCH("0,250L",B10))),0.24,IF(OR(ISNUMBER(SEARCH("0,300KG",B10)),ISNUMBER(SEARCH("0,3KG",B10))),0.3,IF(OR(ISNUMBER(SEARCH("0,500L",B10)),ISNUMBER(SEARCH("0,5L",B10)),ISNUMBER(SEARCH("0,5KG",B10))),0.5,IF(ISNUMBER(SEARCH("0,8KG",B10)),0.8,IF(OR(ISNUMBER(SEARCH("1,5L",B10)),ISNUMBER(SEARCH("1,5KG",B10))),1.5,IF(OR(ISNUMBER(SEARCH("1,75L",B10)),ISNUMBER(SEARCH("1,8L",B10)),ISNUMBER(SEARCH("1.8L",B10))),1.8,IF(ISNUMBER(SEARCH("4,5KG",B10)),4.5,IF(ISNUMBER(SEARCH("7,5KG",B10)),7.5,IF(OR(ISNUMBER(SEARCH("1000L",B10)),ISNUMBER(SEARCH("1000KG",B10)),ISNUMBER(SEARCH("1.000KG",B10)),ISNUMBER(SEARCH("1.000L",B10)),ISNUMBER(SEARCH("1000 KG",B10)),ISNUMBER(SEARCH("GRANEL",B10)),ISNUMBER(SEARCH("(TON)",B10))),1000,IF(ISNUMBER(SEARCH("200L",B10)),200,IF(OR(ISNUMBER(SEARCH("25KG",B10)),ISNUMBER(SEARCH("25L",B10))),25,IF(OR(ISNUMBER(SEARCH("20L",B10)),ISNUMBER(SEARCH("20KG",B10))),20,IF(ISNUMBER(SEARCH("15KG",B10)),15,IF(OR(ISNUMBER(SEARCH("10L",B10)),ISNUMBER(SEARCH("10KG",B10))),10,IF(OR(ISNUMBER(SEARCH("5L",B10)),ISNUMBER(SEARCH("5KG",B10)),ISNUMBER(SEARCH("5LT",B10))),5,IF(OR(ISNUMBER(SEARCH("3KG",B10)),ISNUMBER(SEARCH("3L",B10))),3,IF(OR(ISNUMBER(SEARCH("2L",B10)),ISNUMBER(SEARCH("2KG",B10))),2,IF(OR(ISNUMBER(SEARCH("1L",B10)),ISNUMBER(SEARCH("1KG",B10)),ISNUMBER(SEARCH("1LT",B10))),1,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Produtos)'!$D$4:$D$848,IF(ISNUMBER(MATCH(A10,'4. Base Mestre (845 Produtos)'!$A$4:$A$848,0)),MATCH(A10,'4. Base Mestre (845 Produtos)'!$A$4:$A$848,0),IF(ISNUMBER(MATCH(B10,'4. Base Mestre (845 Produtos)'!$B$4:$B$848,0)),MATCH(B10,'4. Base Mestre (845 Produtos)'!$B$4:$B$848,0),0))),1))))))))))))))))))))))))</f>
        <v>0.2</v>
      </c>
      <c r="L10" s="22" t="str">
        <f aca="false">IF(B10="","",IF(OR(ISNUMBER(SEARCH("KG",B10)),ISNUMBER(SEARCH("GR",B10))),"KG",IF(OR(ISNUMBER(SEARCH("0,200L",B10)),ISNUMBER(SEARCH("0,2L",B10)),ISNUMBER(SEARCH("0,5L",B10)),ISNUMBER(SEARCH("1,5L",B10)),ISNUMBER(SEARCH("1,8L",B10)),ISNUMBER(SEARCH("1.8L",B10)),ISNUMBER(SEARCH("1L",B10)),ISNUMBER(SEARCH("2L",B10)),ISNUMBER(SEARCH("3L",B10)),ISNUMBER(SEARCH("5L",B10)),ISNUMBER(SEARCH("10L",B10)),ISNUMBER(SEARCH("20L",B10)),ISNUMBER(SEARCH("25L",B10)),ISNUMBER(SEARCH("200L",B10)),ISNUMBER(SEARCH("1000L",B10)),ISNUMBER(SEARCH("LT",B10))),"L",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Produtos)'!$E$4:$E$848,IF(ISNUMBER(MATCH(A10,'4. Base Mestre (845 Produtos)'!$A$4:$A$848,0)),MATCH(A10,'4. Base Mestre (845 Produtos)'!$A$4:$A$848,0),IF(ISNUMBER(MATCH(B10,'4. Base Mestre (845 Produtos)'!$B$4:$B$848,0)),MATCH(B10,'4. Base Mestre (845 Produtos)'!$B$4:$B$848,0),0))),C10))))</f>
        <v>L</v>
      </c>
      <c r="M10" s="20" t="str">
        <f aca="false">IF(B10="","",IF(C10=L10,"CONFORME — Unidade ("&amp;C10&amp;") compatível c/ Embalagem","DIVERGENTE — Embalagem em "&amp;L10&amp;", mas cadastrado em "&amp;C10))</f>
        <v>CONFORME — Unidade (L) compatível c/ Embalagem</v>
      </c>
      <c r="N10" s="20" t="str">
        <f aca="false">IF(B10="","",IF(K10=0,"Granel / Produto Técnico (Sem Embalagem Comercial)",IF(K10&lt;=0.3001,"Faixa 1 TIPI: Até 300g/mL (3808.61.00 / 3105.10.00)",IF(K10&lt;=7.5001,"Faixa 2 TIPI: De 300g a 7,5kg/L (3808.62.90 / 3105.10.00)",IF(K10&lt;=10.0001,"Faixa 3 TIPI: De 7,5kg a 10kg/L (3808.69.90 / 3105.10.00)","Faixa 4 TIPI: Acima de 10kg/L (3808.69.90 / Cap. 31 Geral)")))))</f>
        <v>Faixa 1 TIPI: Até 300g/mL (3808.61.00 / 3105.10.00)</v>
      </c>
      <c r="O10" s="23" t="str">
        <f aca="false">IF(B10="","",IF(IF(ISNUMBER(MATCH(A10,'4.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Produtos)'!$H$4:$H$848,IF(ISNUMBER(MATCH(A10,'4. Base Mestre (845 Produtos)'!$A$4:$A$848,0)),MATCH(A10,'4. Base Mestre (845 Produtos)'!$A$4:$A$848,0),IF(ISNUMBER(MATCH(B10,'4. Base Mestre (845 Produtos)'!$B$4:$B$848,0)),MATCH(B10,'4. Base Mestre (845 Produtos)'!$B$4:$B$848,0),0))),IF(ISNUMBER(MATCH(D10,'3. Dicionario Principios Ativos'!$A$4:$A$245,0)),INDEX('3. Dicionario Principios Ativos'!$A$4:$A$245,MATCH(D10,'3. Dicionario Principios Ativos'!$A$4:$A$245,0)),D10)))</f>
        <v>LAMBDA-CIALOTRINA 250</v>
      </c>
      <c r="P10" s="20" t="str">
        <f aca="false">IF(B10="","",IF(D10=O10,"CONFORME — Princípio Ativo Validado","DIVERGENTE — Substituir por: "&amp;O10))</f>
        <v>CONFORME — Princípio Ativo Validado</v>
      </c>
      <c r="Q10" s="24" t="str">
        <f aca="false">IF(B10="","",IF(IF(IF(ISNUMBER(MATCH(A10,'4.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Produtos)'!$J$4:$J$848,IF(ISNUMBER(MATCH(A10,'4. Base Mestre (845 Produtos)'!$A$4:$A$848,0)),MATCH(A10,'4. Base Mestre (845 Produtos)'!$A$4:$A$848,0),IF(ISNUMBER(MATCH(B10,'4. Base Mestre (845 Produtos)'!$B$4:$B$848,0)),MATCH(B10,'4. Base Mestre (845 Produtos)'!$B$4:$B$848,0),0)))="SIM",IF(ISNUMBER(MATCH(D10,'3. Dicionario Principios Ativos'!$A$4:$A$245,0)),INDEX('3. Dicionario Principios Ativos'!$C$4:$C$245,MATCH(D10,'3. Dicionario Principios Ativos'!$A$4:$A$245,0))="SIM",FALSE())),IF(AND(K10&gt;0,K10&lt;=0.3001),"3808.61.00",IF(AND(K10&gt;0.3001,K10&lt;=7.5001),"3808.62.90","3808.69.90")),IF(AND(LEFT(IF(IF(ISNUMBER(MATCH(A10,'4.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Produtos)'!$L$4:$L$848,IF(ISNUMBER(MATCH(A10,'4. Base Mestre (845 Produtos)'!$A$4:$A$848,0)),MATCH(A10,'4. Base Mestre (845 Produtos)'!$A$4:$A$848,0),IF(ISNUMBER(MATCH(B10,'4. Base Mestre (845 Produtos)'!$B$4:$B$848,0)),MATCH(B10,'4. Base Mestre (845 Produtos)'!$B$4:$B$848,0),0))),IF(ISNUMBER(MATCH(D10,'3. Dicionario Principios Ativos'!$A$4:$A$245,0)),INDEX('3. Dicionario Principios Ativos'!$D$4:$D$245,MATCH(D10,'3. Dicionario Principios Ativos'!$A$4:$A$245,0)),E10)),2)="31",E10="3105.10.00",K10&gt;0,K10&lt;=10.0001),"3105.10.00",IF(AND(IF(IF(ISNUMBER(MATCH(A10,'4.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Produtos)'!$L$4:$L$848,IF(ISNUMBER(MATCH(A10,'4. Base Mestre (845 Produtos)'!$A$4:$A$848,0)),MATCH(A10,'4. Base Mestre (845 Produtos)'!$A$4:$A$848,0),IF(ISNUMBER(MATCH(B10,'4. Base Mestre (845 Produtos)'!$B$4:$B$848,0)),MATCH(B10,'4. Base Mestre (845 Produtos)'!$B$4:$B$848,0),0))),IF(ISNUMBER(MATCH(D10,'3. Dicionario Principios Ativos'!$A$4:$A$245,0)),INDEX('3. Dicionario Principios Ativos'!$D$4:$D$245,MATCH(D10,'3. Dicionario Principios Ativos'!$A$4:$A$245,0)),E10))="3105.10.00",K10&gt;10.0001),"3105.90.90",IF(IF(ISNUMBER(MATCH(A10,'4.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Produtos)'!$L$4:$L$848,IF(ISNUMBER(MATCH(A10,'4. Base Mestre (845 Produtos)'!$A$4:$A$848,0)),MATCH(A10,'4. Base Mestre (845 Produtos)'!$A$4:$A$848,0),IF(ISNUMBER(MATCH(B10,'4. Base Mestre (845 Produtos)'!$B$4:$B$848,0)),MATCH(B10,'4. Base Mestre (845 Produtos)'!$B$4:$B$848,0),0))),IF(ISNUMBER(MATCH(D10,'3. Dicionario Principios Ativos'!$A$4:$A$245,0)),INDEX('3. Dicionario Principios Ativos'!$D$4:$D$245,MATCH(D10,'3. Dicionario Principios Ativos'!$A$4:$A$245,0)),E10))))))</f>
        <v>3808.61.00</v>
      </c>
      <c r="R10" s="20" t="str">
        <f aca="false">IF(B10="","",IF(OR(E10=Q10,AND(Q10="3002.49.99",E10="3002.90.00")),"CONFORME — NCM "&amp;E10&amp;" Correta na TIPI","DIVERGENTE — Substituir "&amp;E10&amp;" por "&amp;Q10))</f>
        <v>CONFORME — NCM 3808.61.00 Correta na TIPI</v>
      </c>
      <c r="S10" s="20" t="str">
        <f aca="false">IF(B10="","",IF(AND(E10="3808.61.00",OR(K10&gt;0.3001,K10=0)),"INCOMPATÍVEL — NCM 3808.61.00 exige emb. &lt;= 0,3kg/L (Emb. atual: "&amp;K10&amp;" "&amp;L10&amp;" -&gt; usar "&amp;Q10&amp;")",IF(AND(LEFT(E10,7)="3808.62",OR(K10&lt;=0.3001,K10&gt;7.5001)),"INCOMPATÍVEL — NCM 3808.62 exige emb. de 0,3 a 7,5kg/L (Emb. atual: "&amp;K10&amp;" "&amp;L10&amp;" -&gt; usar "&amp;Q10&amp;")",IF(AND(LEFT(E10,7)="3808.69",K10&gt;0,K10&lt;=7.5001),"INCOMPATÍVEL — NCM 3808.69 exige emb. &gt; 7,5kg/L (Emb. atual: "&amp;K10&amp;" "&amp;L10&amp;" -&gt; usar "&amp;Q10&amp;")",IF(AND(LEFT(Q10,6)="3808.6",LEFT(E10,6)&lt;&gt;"3808.6"),"INCOMPATÍVEL — Molécula Nota Subpos. 2 c/ emb. "&amp;K10&amp;" "&amp;L10&amp;" exige NCM "&amp;Q10,IF(AND(OR(E10="3808.91.19",E10="3808.92.19",E10="3808.93.19",E10="3808.99.19"),K10&gt;=1),"INCOMPATÍVEL — Subitem .19 (Domissanitário) vedado p/ emb. agrícola de "&amp;K10&amp;" "&amp;L10,IF(AND(E10="3105.10.00",K10&gt;10.0001),"INCOMPATÍVEL — NCM 3105.10.00 exige peso bruto &lt;= 10kg (Emb. atual: "&amp;K10&amp;" "&amp;L10&amp;" -&gt; usar 3105.90.90)",IF(AND(LEFT(E10,2)="29",LEFT(Q10,4)="3808",K10&gt;0),"INCOMPATÍVEL — Produto formulado em emb. comercial ("&amp;K10&amp;" "&amp;L10&amp;") vedado no Cap. 29 -&gt; usar "&amp;Q10,"CONFORME — Embalagem ("&amp;K10&amp;" "&amp;L10&amp;") compatível c/ a NCM"))))))))</f>
        <v>CONFORME — Embalagem (0.2 L) compatível c/ a NCM</v>
      </c>
      <c r="T10" s="24" t="n">
        <f aca="false">IF(B10="","",IF(IF(ISNUMBER(MATCH(A10,'4.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Produtos)'!$P$4:$P$848,IF(ISNUMBER(MATCH(A10,'4. Base Mestre (845 Produtos)'!$A$4:$A$848,0)),MATCH(A10,'4. Base Mestre (845 Produtos)'!$A$4:$A$848,0),IF(ISNUMBER(MATCH(B10,'4. Base Mestre (845 Produtos)'!$B$4:$B$848,0)),MATCH(B10,'4. Base Mestre (845 Produtos)'!$B$4:$B$848,0),0))),IF(ISNUMBER(MATCH(D10,'3. Dicionario Principios Ativos'!$A$4:$A$245,0)),INDEX('3. Dicionario Principios Ativos'!$K$4:$K$245,MATCH(D10,'3. Dicionario Principios Ativos'!$A$4:$A$245,0)),"VERIFICAR BULA")))</f>
        <v>12225</v>
      </c>
      <c r="U10" s="20" t="str">
        <f aca="false">IF(B10="","",IF(ISNUMBER(SEARCH("ISENTO",T10)),IF(OR(F10=0,F10="0",F10="ISENTO",F10=""),"CONFORME (DISPENSADO) — Isento pelo Ato SDA/MAPA nº 104/2017","INCORRETO — Produto isento de registro MAPA (usar 0 ou ISENTO)"),IF(ISNUMBER(SEARCH("SIPEAGRO",T10)),IF(ISNUMBER(SEARCH("-",F10)),"CONFORME — Registro SIPEAGRO ("&amp;F10&amp;") Preenchido","ADEQUAR P/ SIPEAGRO — Substituir 0 pelo Registro (UF-XXXXX-XXXXX.X)"),IF(ISNUMBER(SEARCH("VINCULAR",T10)),IF(AND(F10&lt;&gt;0,F10&lt;&gt;"0",F10&lt;&gt;""),"INCORRETO / TROCADO — Código "&amp;F10&amp;" pertence a outro produto (Vincular bula da marca)","VINCULAR MARCA — Cadastro de P.A. s/ marca fixa (Vincular registro na NF-e)"),IF(OR(F10=0,F10="0",F10=""),"AUSENTE (ZERO) — Preencher Registro Oficial MAPA nº "&amp;T10,IF(TEXT(F10,"0")=TEXT(T10,"0"),"CONFORME — Registro MAPA nº "&amp;T10&amp;" Validado na Bula","INCORRETO / TROCADO — Substituir "&amp;F10&amp;" pelo Registro Oficial nº "&amp;T10))))))</f>
        <v>CONFORME — Registro MAPA nº 12225 Validado na Bula</v>
      </c>
      <c r="V10" s="20" t="str">
        <f aca="false">IF(B10="","",IF(IF(ISNUMBER(MATCH(A10,'4.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Produtos)'!$S$4:$S$848,IF(ISNUMBER(MATCH(A10,'4. Base Mestre (845 Produtos)'!$A$4:$A$848,0)),MATCH(A10,'4. Base Mestre (845 Produtos)'!$A$4:$A$848,0),IF(ISNUMBER(MATCH(B10,'4. Base Mestre (845 Produtos)'!$B$4:$B$848,0)),MATCH(B10,'4. Base Mestre (845 Produtos)'!$B$4:$B$848,0),0))),IF(ISNUMBER(MATCH(D10,'3. Dicionario Principios Ativos'!$A$4:$A$245,0)),INDEX('3. Dicionario Principios Ativos'!$L$4:$L$245,MATCH(D10,'3. Dicionario Principios Ativos'!$A$4:$A$245,0)),"Verificar NCM")))</f>
        <v>Beneficiado (Lei 10.925/04): 0% até Mar/26 | 0,925% Real / 0,365% Pres. pós-Abr/26 (LC 224/25)</v>
      </c>
      <c r="W10" s="20" t="str">
        <f aca="false">IF(B10="","",IF(IF(ISNUMBER(MATCH(A10,'4. Base Mestre (845 Produtos)'!$A$4:$A$848,0)),MATCH(A10,'4. Base Mestre (845 Produtos)'!$A$4:$A$848,0),IF(ISNUMBER(MATCH(B10,'4. Base Mestre (845 Produtos)'!$B$4:$B$848,0)),MATCH(B10,'4. Base Mestre (845 Produtos)'!$B$4:$B$848,0),0))&gt;0,INDEX('4. Base Mestre (845 Produtos)'!$T$4:$T$848,IF(ISNUMBER(MATCH(A10,'4. Base Mestre (845 Produtos)'!$A$4:$A$848,0)),MATCH(A10,'4. Base Mestre (845 Produtos)'!$A$4:$A$848,0),IF(ISNUMBER(MATCH(B10,'4. Base Mestre (845 Produtos)'!$B$4:$B$848,0)),MATCH(B10,'4. Base Mestre (845 Produtos)'!$B$4:$B$848,0),0))),IF(ISNUMBER(MATCH(D10,'3. Dicionario Principios Ativos'!$A$4:$A$245,0)),INDEX('3. Dicionario Principios Ativos'!$M$4:$M$245,MATCH(D10,'3. Dicionario Principios Ativos'!$A$4:$A$245,0)),"Verificar CST")))</f>
        <v>Saída: CST 06 (c/ Ajuste M220/M620 pós-Abr/26) | Entrada Revenda: CST 73</v>
      </c>
      <c r="X10" s="23" t="str">
        <f aca="false">IF(B10="","",IF(AND(LEFT(M10,8)="CONFORME",LEFT(P10,8)="CONFORME",LEFT(R10,8)="CONFORME",LEFT(S10,8)="CONFORME",LEFT(U10,8)="CONFORME"),"CADASTRO 100% CONFORME — LIBERADO P/ ERP",IF(AND(LEFT(M10,8)="CONFORME",LEFT(P10,8)="CONFORME",LEFT(R10,8)="CONFORME",LEFT(S10,8)="CONFORME",OR(LEFT(U10,7)="ADEQUAR",LEFT(U10,8)="VINCULAR")),"FISCAL E EMBALAGEM OK — ADEQUAR CAMPO MAPA (SIPEAGRO / MARCA)","BLOQUEADO — CORRIGIR DIVERGÊNCIAS APONTADAS ANTES DE LIBERAR NO ERP")))</f>
        <v>CADASTRO 100% CONFORME — LIBERADO P/ ERP</v>
      </c>
    </row>
    <row r="11" customFormat="false" ht="21.75" hidden="false" customHeight="true" outlineLevel="0" collapsed="false">
      <c r="A11" s="10" t="n">
        <v>233</v>
      </c>
      <c r="B11" s="11" t="s">
        <v>47</v>
      </c>
      <c r="C11" s="12" t="s">
        <v>39</v>
      </c>
      <c r="D11" s="13" t="s">
        <v>44</v>
      </c>
      <c r="E11" s="12" t="s">
        <v>48</v>
      </c>
      <c r="F11" s="12" t="n">
        <v>4110</v>
      </c>
      <c r="G11" s="14"/>
      <c r="H11" s="13" t="s">
        <v>49</v>
      </c>
      <c r="I11" s="15" t="str">
        <f aca="false">IF(B11="","",IF(ISNUMBER(MATCH(A11,'4. Base Mestre (845 Produtos)'!$A$4:$A$848,0)),"Localizado por Código ("&amp;A11&amp;") na Base Mestre",IF(ISNUMBER(MATCH(B11,'4. Base Mestre (845 Produtos)'!$B$4:$B$848,0)),"Localizado por Descrição na Base Mestre",IF(ISNUMBER(MATCH(D11,'3. Dicionario Principios Ativos'!$A$4:$A$245,0)),"Produto Novo — Validado pelo Dicionário de P.A.","Não Localizado — Revisar Código/P.A."))))</f>
        <v>Localizado por Código (233) na Base Mestre</v>
      </c>
      <c r="J11" s="15" t="str">
        <f aca="false">IF(B11="","",IF(IF(ISNUMBER(MATCH(A11,'4.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Produtos)'!$I$4:$I$848,IF(ISNUMBER(MATCH(A11,'4. Base Mestre (845 Produtos)'!$A$4:$A$848,0)),MATCH(A11,'4. Base Mestre (845 Produtos)'!$A$4:$A$848,0),IF(ISNUMBER(MATCH(B11,'4. Base Mestre (845 Produtos)'!$B$4:$B$848,0)),MATCH(B11,'4. Base Mestre (845 Produtos)'!$B$4:$B$848,0),0))),IF(ISNUMBER(MATCH(D11,'3. Dicionario Principios Ativos'!$A$4:$A$245,0)),INDEX('3. Dicionario Principios Ativos'!$B$4:$B$245,MATCH(D11,'3. Dicionario Principios Ativos'!$A$4:$A$245,0)),"Revisar Classificação")))</f>
        <v>Defensivos — Inseticida</v>
      </c>
      <c r="K11" s="16" t="n">
        <f aca="false">IF(B11="","",IF(G11&lt;&gt;"",G11,IF(OR(ISNUMBER(SEARCH("PRINCIPIO ATIVO",B11)),ISNUMBER(SEARCH("PRINC. ATIVO",B11)),ISNUMBER(SEARCH("PR. ATIVO",B11)),ISNUMBER(SEARCH("PR.AT.",B11)),ISNUMBER(SEARCH("(P.A",B11)),ISNUMBER(SEARCH("(P. A",B11))),0,IF(OR(ISNUMBER(SEARCH("0,100KG",B11)),ISNUMBER(SEARCH("0,1KG",B11)),ISNUMBER(SEARCH("0,100L",B11))),0.1,IF(OR(ISNUMBER(SEARCH("0,200L",B11)),ISNUMBER(SEARCH("0,2L",B11)),ISNUMBER(SEARCH("0,200KG",B11)),ISNUMBER(SEARCH("0,2KG",B11))),0.2,IF(OR(ISNUMBER(SEARCH("0,240KG",B11)),ISNUMBER(SEARCH("0,250L",B11))),0.24,IF(OR(ISNUMBER(SEARCH("0,300KG",B11)),ISNUMBER(SEARCH("0,3KG",B11))),0.3,IF(OR(ISNUMBER(SEARCH("0,500L",B11)),ISNUMBER(SEARCH("0,5L",B11)),ISNUMBER(SEARCH("0,5KG",B11))),0.5,IF(ISNUMBER(SEARCH("0,8KG",B11)),0.8,IF(OR(ISNUMBER(SEARCH("1,5L",B11)),ISNUMBER(SEARCH("1,5KG",B11))),1.5,IF(OR(ISNUMBER(SEARCH("1,75L",B11)),ISNUMBER(SEARCH("1,8L",B11)),ISNUMBER(SEARCH("1.8L",B11))),1.8,IF(ISNUMBER(SEARCH("4,5KG",B11)),4.5,IF(ISNUMBER(SEARCH("7,5KG",B11)),7.5,IF(OR(ISNUMBER(SEARCH("1000L",B11)),ISNUMBER(SEARCH("1000KG",B11)),ISNUMBER(SEARCH("1.000KG",B11)),ISNUMBER(SEARCH("1.000L",B11)),ISNUMBER(SEARCH("1000 KG",B11)),ISNUMBER(SEARCH("GRANEL",B11)),ISNUMBER(SEARCH("(TON)",B11))),1000,IF(ISNUMBER(SEARCH("200L",B11)),200,IF(OR(ISNUMBER(SEARCH("25KG",B11)),ISNUMBER(SEARCH("25L",B11))),25,IF(OR(ISNUMBER(SEARCH("20L",B11)),ISNUMBER(SEARCH("20KG",B11))),20,IF(ISNUMBER(SEARCH("15KG",B11)),15,IF(OR(ISNUMBER(SEARCH("10L",B11)),ISNUMBER(SEARCH("10KG",B11))),10,IF(OR(ISNUMBER(SEARCH("5L",B11)),ISNUMBER(SEARCH("5KG",B11)),ISNUMBER(SEARCH("5LT",B11))),5,IF(OR(ISNUMBER(SEARCH("3KG",B11)),ISNUMBER(SEARCH("3L",B11))),3,IF(OR(ISNUMBER(SEARCH("2L",B11)),ISNUMBER(SEARCH("2KG",B11))),2,IF(OR(ISNUMBER(SEARCH("1L",B11)),ISNUMBER(SEARCH("1KG",B11)),ISNUMBER(SEARCH("1LT",B11))),1,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Produtos)'!$D$4:$D$848,IF(ISNUMBER(MATCH(A11,'4. Base Mestre (845 Produtos)'!$A$4:$A$848,0)),MATCH(A11,'4. Base Mestre (845 Produtos)'!$A$4:$A$848,0),IF(ISNUMBER(MATCH(B11,'4. Base Mestre (845 Produtos)'!$B$4:$B$848,0)),MATCH(B11,'4. Base Mestre (845 Produtos)'!$B$4:$B$848,0),0))),1))))))))))))))))))))))))</f>
        <v>5</v>
      </c>
      <c r="L11" s="17" t="str">
        <f aca="false">IF(B11="","",IF(OR(ISNUMBER(SEARCH("KG",B11)),ISNUMBER(SEARCH("GR",B11))),"KG",IF(OR(ISNUMBER(SEARCH("0,200L",B11)),ISNUMBER(SEARCH("0,2L",B11)),ISNUMBER(SEARCH("0,5L",B11)),ISNUMBER(SEARCH("1,5L",B11)),ISNUMBER(SEARCH("1,8L",B11)),ISNUMBER(SEARCH("1.8L",B11)),ISNUMBER(SEARCH("1L",B11)),ISNUMBER(SEARCH("2L",B11)),ISNUMBER(SEARCH("3L",B11)),ISNUMBER(SEARCH("5L",B11)),ISNUMBER(SEARCH("10L",B11)),ISNUMBER(SEARCH("20L",B11)),ISNUMBER(SEARCH("25L",B11)),ISNUMBER(SEARCH("200L",B11)),ISNUMBER(SEARCH("1000L",B11)),ISNUMBER(SEARCH("LT",B11))),"L",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Produtos)'!$E$4:$E$848,IF(ISNUMBER(MATCH(A11,'4. Base Mestre (845 Produtos)'!$A$4:$A$848,0)),MATCH(A11,'4. Base Mestre (845 Produtos)'!$A$4:$A$848,0),IF(ISNUMBER(MATCH(B11,'4. Base Mestre (845 Produtos)'!$B$4:$B$848,0)),MATCH(B11,'4. Base Mestre (845 Produtos)'!$B$4:$B$848,0),0))),C11))))</f>
        <v>L</v>
      </c>
      <c r="M11" s="15" t="str">
        <f aca="false">IF(B11="","",IF(C11=L11,"CONFORME — Unidade ("&amp;C11&amp;") compatível c/ Embalagem","DIVERGENTE — Embalagem em "&amp;L11&amp;", mas cadastrado em "&amp;C11))</f>
        <v>CONFORME — Unidade (L) compatível c/ Embalagem</v>
      </c>
      <c r="N11" s="15" t="str">
        <f aca="false">IF(B11="","",IF(K11=0,"Granel / Produto Técnico (Sem Embalagem Comercial)",IF(K11&lt;=0.3001,"Faixa 1 TIPI: Até 300g/mL (3808.61.00 / 3105.10.00)",IF(K11&lt;=7.5001,"Faixa 2 TIPI: De 300g a 7,5kg/L (3808.62.90 / 3105.10.00)",IF(K11&lt;=10.0001,"Faixa 3 TIPI: De 7,5kg a 10kg/L (3808.69.90 / 3105.10.00)","Faixa 4 TIPI: Acima de 10kg/L (3808.69.90 / Cap. 31 Geral)")))))</f>
        <v>Faixa 2 TIPI: De 300g a 7,5kg/L (3808.62.90 / 3105.10.00)</v>
      </c>
      <c r="O11" s="18" t="str">
        <f aca="false">IF(B11="","",IF(IF(ISNUMBER(MATCH(A11,'4.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Produtos)'!$H$4:$H$848,IF(ISNUMBER(MATCH(A11,'4. Base Mestre (845 Produtos)'!$A$4:$A$848,0)),MATCH(A11,'4. Base Mestre (845 Produtos)'!$A$4:$A$848,0),IF(ISNUMBER(MATCH(B11,'4. Base Mestre (845 Produtos)'!$B$4:$B$848,0)),MATCH(B11,'4. Base Mestre (845 Produtos)'!$B$4:$B$848,0),0))),IF(ISNUMBER(MATCH(D11,'3. Dicionario Principios Ativos'!$A$4:$A$245,0)),INDEX('3. Dicionario Principios Ativos'!$A$4:$A$245,MATCH(D11,'3. Dicionario Principios Ativos'!$A$4:$A$245,0)),D11)))</f>
        <v>LAMBDA-CIALOTRINA 250</v>
      </c>
      <c r="P11" s="15" t="str">
        <f aca="false">IF(B11="","",IF(D11=O11,"CONFORME — Princípio Ativo Validado","DIVERGENTE — Substituir por: "&amp;O11))</f>
        <v>CONFORME — Princípio Ativo Validado</v>
      </c>
      <c r="Q11" s="19" t="str">
        <f aca="false">IF(B11="","",IF(IF(IF(ISNUMBER(MATCH(A11,'4.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Produtos)'!$J$4:$J$848,IF(ISNUMBER(MATCH(A11,'4. Base Mestre (845 Produtos)'!$A$4:$A$848,0)),MATCH(A11,'4. Base Mestre (845 Produtos)'!$A$4:$A$848,0),IF(ISNUMBER(MATCH(B11,'4. Base Mestre (845 Produtos)'!$B$4:$B$848,0)),MATCH(B11,'4. Base Mestre (845 Produtos)'!$B$4:$B$848,0),0)))="SIM",IF(ISNUMBER(MATCH(D11,'3. Dicionario Principios Ativos'!$A$4:$A$245,0)),INDEX('3. Dicionario Principios Ativos'!$C$4:$C$245,MATCH(D11,'3. Dicionario Principios Ativos'!$A$4:$A$245,0))="SIM",FALSE())),IF(AND(K11&gt;0,K11&lt;=0.3001),"3808.61.00",IF(AND(K11&gt;0.3001,K11&lt;=7.5001),"3808.62.90","3808.69.90")),IF(AND(LEFT(IF(IF(ISNUMBER(MATCH(A11,'4.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Produtos)'!$L$4:$L$848,IF(ISNUMBER(MATCH(A11,'4. Base Mestre (845 Produtos)'!$A$4:$A$848,0)),MATCH(A11,'4. Base Mestre (845 Produtos)'!$A$4:$A$848,0),IF(ISNUMBER(MATCH(B11,'4. Base Mestre (845 Produtos)'!$B$4:$B$848,0)),MATCH(B11,'4. Base Mestre (845 Produtos)'!$B$4:$B$848,0),0))),IF(ISNUMBER(MATCH(D11,'3. Dicionario Principios Ativos'!$A$4:$A$245,0)),INDEX('3. Dicionario Principios Ativos'!$D$4:$D$245,MATCH(D11,'3. Dicionario Principios Ativos'!$A$4:$A$245,0)),E11)),2)="31",E11="3105.10.00",K11&gt;0,K11&lt;=10.0001),"3105.10.00",IF(AND(IF(IF(ISNUMBER(MATCH(A11,'4.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Produtos)'!$L$4:$L$848,IF(ISNUMBER(MATCH(A11,'4. Base Mestre (845 Produtos)'!$A$4:$A$848,0)),MATCH(A11,'4. Base Mestre (845 Produtos)'!$A$4:$A$848,0),IF(ISNUMBER(MATCH(B11,'4. Base Mestre (845 Produtos)'!$B$4:$B$848,0)),MATCH(B11,'4. Base Mestre (845 Produtos)'!$B$4:$B$848,0),0))),IF(ISNUMBER(MATCH(D11,'3. Dicionario Principios Ativos'!$A$4:$A$245,0)),INDEX('3. Dicionario Principios Ativos'!$D$4:$D$245,MATCH(D11,'3. Dicionario Principios Ativos'!$A$4:$A$245,0)),E11))="3105.10.00",K11&gt;10.0001),"3105.90.90",IF(IF(ISNUMBER(MATCH(A11,'4.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Produtos)'!$L$4:$L$848,IF(ISNUMBER(MATCH(A11,'4. Base Mestre (845 Produtos)'!$A$4:$A$848,0)),MATCH(A11,'4. Base Mestre (845 Produtos)'!$A$4:$A$848,0),IF(ISNUMBER(MATCH(B11,'4. Base Mestre (845 Produtos)'!$B$4:$B$848,0)),MATCH(B11,'4. Base Mestre (845 Produtos)'!$B$4:$B$848,0),0))),IF(ISNUMBER(MATCH(D11,'3. Dicionario Principios Ativos'!$A$4:$A$245,0)),INDEX('3. Dicionario Principios Ativos'!$D$4:$D$245,MATCH(D11,'3. Dicionario Principios Ativos'!$A$4:$A$245,0)),E11))))))</f>
        <v>3808.62.90</v>
      </c>
      <c r="R11" s="15" t="str">
        <f aca="false">IF(B11="","",IF(OR(E11=Q11,AND(Q11="3002.49.99",E11="3002.90.00")),"CONFORME — NCM "&amp;E11&amp;" Correta na TIPI","DIVERGENTE — Substituir "&amp;E11&amp;" por "&amp;Q11))</f>
        <v>CONFORME — NCM 3808.62.90 Correta na TIPI</v>
      </c>
      <c r="S11" s="15" t="str">
        <f aca="false">IF(B11="","",IF(AND(E11="3808.61.00",OR(K11&gt;0.3001,K11=0)),"INCOMPATÍVEL — NCM 3808.61.00 exige emb. &lt;= 0,3kg/L (Emb. atual: "&amp;K11&amp;" "&amp;L11&amp;" -&gt; usar "&amp;Q11&amp;")",IF(AND(LEFT(E11,7)="3808.62",OR(K11&lt;=0.3001,K11&gt;7.5001)),"INCOMPATÍVEL — NCM 3808.62 exige emb. de 0,3 a 7,5kg/L (Emb. atual: "&amp;K11&amp;" "&amp;L11&amp;" -&gt; usar "&amp;Q11&amp;")",IF(AND(LEFT(E11,7)="3808.69",K11&gt;0,K11&lt;=7.5001),"INCOMPATÍVEL — NCM 3808.69 exige emb. &gt; 7,5kg/L (Emb. atual: "&amp;K11&amp;" "&amp;L11&amp;" -&gt; usar "&amp;Q11&amp;")",IF(AND(LEFT(Q11,6)="3808.6",LEFT(E11,6)&lt;&gt;"3808.6"),"INCOMPATÍVEL — Molécula Nota Subpos. 2 c/ emb. "&amp;K11&amp;" "&amp;L11&amp;" exige NCM "&amp;Q11,IF(AND(OR(E11="3808.91.19",E11="3808.92.19",E11="3808.93.19",E11="3808.99.19"),K11&gt;=1),"INCOMPATÍVEL — Subitem .19 (Domissanitário) vedado p/ emb. agrícola de "&amp;K11&amp;" "&amp;L11,IF(AND(E11="3105.10.00",K11&gt;10.0001),"INCOMPATÍVEL — NCM 3105.10.00 exige peso bruto &lt;= 10kg (Emb. atual: "&amp;K11&amp;" "&amp;L11&amp;" -&gt; usar 3105.90.90)",IF(AND(LEFT(E11,2)="29",LEFT(Q11,4)="3808",K11&gt;0),"INCOMPATÍVEL — Produto formulado em emb. comercial ("&amp;K11&amp;" "&amp;L11&amp;") vedado no Cap. 29 -&gt; usar "&amp;Q11,"CONFORME — Embalagem ("&amp;K11&amp;" "&amp;L11&amp;") compatível c/ a NCM"))))))))</f>
        <v>CONFORME — Embalagem (5 L) compatível c/ a NCM</v>
      </c>
      <c r="T11" s="19" t="n">
        <f aca="false">IF(B11="","",IF(IF(ISNUMBER(MATCH(A11,'4.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Produtos)'!$P$4:$P$848,IF(ISNUMBER(MATCH(A11,'4. Base Mestre (845 Produtos)'!$A$4:$A$848,0)),MATCH(A11,'4. Base Mestre (845 Produtos)'!$A$4:$A$848,0),IF(ISNUMBER(MATCH(B11,'4. Base Mestre (845 Produtos)'!$B$4:$B$848,0)),MATCH(B11,'4. Base Mestre (845 Produtos)'!$B$4:$B$848,0),0))),IF(ISNUMBER(MATCH(D11,'3. Dicionario Principios Ativos'!$A$4:$A$245,0)),INDEX('3. Dicionario Principios Ativos'!$K$4:$K$245,MATCH(D11,'3. Dicionario Principios Ativos'!$A$4:$A$245,0)),"VERIFICAR BULA")))</f>
        <v>4110</v>
      </c>
      <c r="U11" s="15" t="str">
        <f aca="false">IF(B11="","",IF(ISNUMBER(SEARCH("ISENTO",T11)),IF(OR(F11=0,F11="0",F11="ISENTO",F11=""),"CONFORME (DISPENSADO) — Isento pelo Ato SDA/MAPA nº 104/2017","INCORRETO — Produto isento de registro MAPA (usar 0 ou ISENTO)"),IF(ISNUMBER(SEARCH("SIPEAGRO",T11)),IF(ISNUMBER(SEARCH("-",F11)),"CONFORME — Registro SIPEAGRO ("&amp;F11&amp;") Preenchido","ADEQUAR P/ SIPEAGRO — Substituir 0 pelo Registro (UF-XXXXX-XXXXX.X)"),IF(ISNUMBER(SEARCH("VINCULAR",T11)),IF(AND(F11&lt;&gt;0,F11&lt;&gt;"0",F11&lt;&gt;""),"INCORRETO / TROCADO — Código "&amp;F11&amp;" pertence a outro produto (Vincular bula da marca)","VINCULAR MARCA — Cadastro de P.A. s/ marca fixa (Vincular registro na NF-e)"),IF(OR(F11=0,F11="0",F11=""),"AUSENTE (ZERO) — Preencher Registro Oficial MAPA nº "&amp;T11,IF(TEXT(F11,"0")=TEXT(T11,"0"),"CONFORME — Registro MAPA nº "&amp;T11&amp;" Validado na Bula","INCORRETO / TROCADO — Substituir "&amp;F11&amp;" pelo Registro Oficial nº "&amp;T11))))))</f>
        <v>CONFORME — Registro MAPA nº 4110 Validado na Bula</v>
      </c>
      <c r="V11" s="15" t="str">
        <f aca="false">IF(B11="","",IF(IF(ISNUMBER(MATCH(A11,'4.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Produtos)'!$S$4:$S$848,IF(ISNUMBER(MATCH(A11,'4. Base Mestre (845 Produtos)'!$A$4:$A$848,0)),MATCH(A11,'4. Base Mestre (845 Produtos)'!$A$4:$A$848,0),IF(ISNUMBER(MATCH(B11,'4. Base Mestre (845 Produtos)'!$B$4:$B$848,0)),MATCH(B11,'4. Base Mestre (845 Produtos)'!$B$4:$B$848,0),0))),IF(ISNUMBER(MATCH(D11,'3. Dicionario Principios Ativos'!$A$4:$A$245,0)),INDEX('3. Dicionario Principios Ativos'!$L$4:$L$245,MATCH(D11,'3. Dicionario Principios Ativos'!$A$4:$A$245,0)),"Verificar NCM")))</f>
        <v>Beneficiado (Lei 10.925/04): 0% até Mar/26 | 0,925% Real / 0,365% Pres. pós-Abr/26 (LC 224/25)</v>
      </c>
      <c r="W11" s="15" t="str">
        <f aca="false">IF(B11="","",IF(IF(ISNUMBER(MATCH(A11,'4. Base Mestre (845 Produtos)'!$A$4:$A$848,0)),MATCH(A11,'4. Base Mestre (845 Produtos)'!$A$4:$A$848,0),IF(ISNUMBER(MATCH(B11,'4. Base Mestre (845 Produtos)'!$B$4:$B$848,0)),MATCH(B11,'4. Base Mestre (845 Produtos)'!$B$4:$B$848,0),0))&gt;0,INDEX('4. Base Mestre (845 Produtos)'!$T$4:$T$848,IF(ISNUMBER(MATCH(A11,'4. Base Mestre (845 Produtos)'!$A$4:$A$848,0)),MATCH(A11,'4. Base Mestre (845 Produtos)'!$A$4:$A$848,0),IF(ISNUMBER(MATCH(B11,'4. Base Mestre (845 Produtos)'!$B$4:$B$848,0)),MATCH(B11,'4. Base Mestre (845 Produtos)'!$B$4:$B$848,0),0))),IF(ISNUMBER(MATCH(D11,'3. Dicionario Principios Ativos'!$A$4:$A$245,0)),INDEX('3. Dicionario Principios Ativos'!$M$4:$M$245,MATCH(D11,'3. Dicionario Principios Ativos'!$A$4:$A$245,0)),"Verificar CST")))</f>
        <v>Saída: CST 06 (c/ Ajuste M220/M620 pós-Abr/26) | Entrada Revenda: CST 73</v>
      </c>
      <c r="X11" s="18" t="str">
        <f aca="false">IF(B11="","",IF(AND(LEFT(M11,8)="CONFORME",LEFT(P11,8)="CONFORME",LEFT(R11,8)="CONFORME",LEFT(S11,8)="CONFORME",LEFT(U11,8)="CONFORME"),"CADASTRO 100% CONFORME — LIBERADO P/ ERP",IF(AND(LEFT(M11,8)="CONFORME",LEFT(P11,8)="CONFORME",LEFT(R11,8)="CONFORME",LEFT(S11,8)="CONFORME",OR(LEFT(U11,7)="ADEQUAR",LEFT(U11,8)="VINCULAR")),"FISCAL E EMBALAGEM OK — ADEQUAR CAMPO MAPA (SIPEAGRO / MARCA)","BLOQUEADO — CORRIGIR DIVERGÊNCIAS APONTADAS ANTES DE LIBERAR NO ERP")))</f>
        <v>CADASTRO 100% CONFORME — LIBERADO P/ ERP</v>
      </c>
    </row>
    <row r="12" customFormat="false" ht="21.75" hidden="false" customHeight="true" outlineLevel="0" collapsed="false">
      <c r="A12" s="10" t="n">
        <v>231</v>
      </c>
      <c r="B12" s="11" t="s">
        <v>50</v>
      </c>
      <c r="C12" s="12" t="s">
        <v>39</v>
      </c>
      <c r="D12" s="13" t="s">
        <v>44</v>
      </c>
      <c r="E12" s="12" t="s">
        <v>51</v>
      </c>
      <c r="F12" s="12" t="n">
        <v>2020</v>
      </c>
      <c r="G12" s="14"/>
      <c r="H12" s="13" t="s">
        <v>52</v>
      </c>
      <c r="I12" s="20" t="str">
        <f aca="false">IF(B12="","",IF(ISNUMBER(MATCH(A12,'4. Base Mestre (845 Produtos)'!$A$4:$A$848,0)),"Localizado por Código ("&amp;A12&amp;") na Base Mestre",IF(ISNUMBER(MATCH(B12,'4. Base Mestre (845 Produtos)'!$B$4:$B$848,0)),"Localizado por Descrição na Base Mestre",IF(ISNUMBER(MATCH(D12,'3. Dicionario Principios Ativos'!$A$4:$A$245,0)),"Produto Novo — Validado pelo Dicionário de P.A.","Não Localizado — Revisar Código/P.A."))))</f>
        <v>Localizado por Código (231) na Base Mestre</v>
      </c>
      <c r="J12" s="20" t="str">
        <f aca="false">IF(B12="","",IF(IF(ISNUMBER(MATCH(A12,'4.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Produtos)'!$I$4:$I$848,IF(ISNUMBER(MATCH(A12,'4. Base Mestre (845 Produtos)'!$A$4:$A$848,0)),MATCH(A12,'4. Base Mestre (845 Produtos)'!$A$4:$A$848,0),IF(ISNUMBER(MATCH(B12,'4. Base Mestre (845 Produtos)'!$B$4:$B$848,0)),MATCH(B12,'4. Base Mestre (845 Produtos)'!$B$4:$B$848,0),0))),IF(ISNUMBER(MATCH(D12,'3. Dicionario Principios Ativos'!$A$4:$A$245,0)),INDEX('3. Dicionario Principios Ativos'!$B$4:$B$245,MATCH(D12,'3. Dicionario Principios Ativos'!$A$4:$A$245,0)),"Revisar Classificação")))</f>
        <v>Defensivos — Inseticida</v>
      </c>
      <c r="K12" s="21" t="n">
        <f aca="false">IF(B12="","",IF(G12&lt;&gt;"",G12,IF(OR(ISNUMBER(SEARCH("PRINCIPIO ATIVO",B12)),ISNUMBER(SEARCH("PRINC. ATIVO",B12)),ISNUMBER(SEARCH("PR. ATIVO",B12)),ISNUMBER(SEARCH("PR.AT.",B12)),ISNUMBER(SEARCH("(P.A",B12)),ISNUMBER(SEARCH("(P. A",B12))),0,IF(OR(ISNUMBER(SEARCH("0,100KG",B12)),ISNUMBER(SEARCH("0,1KG",B12)),ISNUMBER(SEARCH("0,100L",B12))),0.1,IF(OR(ISNUMBER(SEARCH("0,200L",B12)),ISNUMBER(SEARCH("0,2L",B12)),ISNUMBER(SEARCH("0,200KG",B12)),ISNUMBER(SEARCH("0,2KG",B12))),0.2,IF(OR(ISNUMBER(SEARCH("0,240KG",B12)),ISNUMBER(SEARCH("0,250L",B12))),0.24,IF(OR(ISNUMBER(SEARCH("0,300KG",B12)),ISNUMBER(SEARCH("0,3KG",B12))),0.3,IF(OR(ISNUMBER(SEARCH("0,500L",B12)),ISNUMBER(SEARCH("0,5L",B12)),ISNUMBER(SEARCH("0,5KG",B12))),0.5,IF(ISNUMBER(SEARCH("0,8KG",B12)),0.8,IF(OR(ISNUMBER(SEARCH("1,5L",B12)),ISNUMBER(SEARCH("1,5KG",B12))),1.5,IF(OR(ISNUMBER(SEARCH("1,75L",B12)),ISNUMBER(SEARCH("1,8L",B12)),ISNUMBER(SEARCH("1.8L",B12))),1.8,IF(ISNUMBER(SEARCH("4,5KG",B12)),4.5,IF(ISNUMBER(SEARCH("7,5KG",B12)),7.5,IF(OR(ISNUMBER(SEARCH("1000L",B12)),ISNUMBER(SEARCH("1000KG",B12)),ISNUMBER(SEARCH("1.000KG",B12)),ISNUMBER(SEARCH("1.000L",B12)),ISNUMBER(SEARCH("1000 KG",B12)),ISNUMBER(SEARCH("GRANEL",B12)),ISNUMBER(SEARCH("(TON)",B12))),1000,IF(ISNUMBER(SEARCH("200L",B12)),200,IF(OR(ISNUMBER(SEARCH("25KG",B12)),ISNUMBER(SEARCH("25L",B12))),25,IF(OR(ISNUMBER(SEARCH("20L",B12)),ISNUMBER(SEARCH("20KG",B12))),20,IF(ISNUMBER(SEARCH("15KG",B12)),15,IF(OR(ISNUMBER(SEARCH("10L",B12)),ISNUMBER(SEARCH("10KG",B12))),10,IF(OR(ISNUMBER(SEARCH("5L",B12)),ISNUMBER(SEARCH("5KG",B12)),ISNUMBER(SEARCH("5LT",B12))),5,IF(OR(ISNUMBER(SEARCH("3KG",B12)),ISNUMBER(SEARCH("3L",B12))),3,IF(OR(ISNUMBER(SEARCH("2L",B12)),ISNUMBER(SEARCH("2KG",B12))),2,IF(OR(ISNUMBER(SEARCH("1L",B12)),ISNUMBER(SEARCH("1KG",B12)),ISNUMBER(SEARCH("1LT",B12))),1,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Produtos)'!$D$4:$D$848,IF(ISNUMBER(MATCH(A12,'4. Base Mestre (845 Produtos)'!$A$4:$A$848,0)),MATCH(A12,'4. Base Mestre (845 Produtos)'!$A$4:$A$848,0),IF(ISNUMBER(MATCH(B12,'4. Base Mestre (845 Produtos)'!$B$4:$B$848,0)),MATCH(B12,'4. Base Mestre (845 Produtos)'!$B$4:$B$848,0),0))),1))))))))))))))))))))))))</f>
        <v>20</v>
      </c>
      <c r="L12" s="22" t="str">
        <f aca="false">IF(B12="","",IF(OR(ISNUMBER(SEARCH("KG",B12)),ISNUMBER(SEARCH("GR",B12))),"KG",IF(OR(ISNUMBER(SEARCH("0,200L",B12)),ISNUMBER(SEARCH("0,2L",B12)),ISNUMBER(SEARCH("0,5L",B12)),ISNUMBER(SEARCH("1,5L",B12)),ISNUMBER(SEARCH("1,8L",B12)),ISNUMBER(SEARCH("1.8L",B12)),ISNUMBER(SEARCH("1L",B12)),ISNUMBER(SEARCH("2L",B12)),ISNUMBER(SEARCH("3L",B12)),ISNUMBER(SEARCH("5L",B12)),ISNUMBER(SEARCH("10L",B12)),ISNUMBER(SEARCH("20L",B12)),ISNUMBER(SEARCH("25L",B12)),ISNUMBER(SEARCH("200L",B12)),ISNUMBER(SEARCH("1000L",B12)),ISNUMBER(SEARCH("LT",B12))),"L",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Produtos)'!$E$4:$E$848,IF(ISNUMBER(MATCH(A12,'4. Base Mestre (845 Produtos)'!$A$4:$A$848,0)),MATCH(A12,'4. Base Mestre (845 Produtos)'!$A$4:$A$848,0),IF(ISNUMBER(MATCH(B12,'4. Base Mestre (845 Produtos)'!$B$4:$B$848,0)),MATCH(B12,'4. Base Mestre (845 Produtos)'!$B$4:$B$848,0),0))),C12))))</f>
        <v>L</v>
      </c>
      <c r="M12" s="20" t="str">
        <f aca="false">IF(B12="","",IF(C12=L12,"CONFORME — Unidade ("&amp;C12&amp;") compatível c/ Embalagem","DIVERGENTE — Embalagem em "&amp;L12&amp;", mas cadastrado em "&amp;C12))</f>
        <v>CONFORME — Unidade (L) compatível c/ Embalagem</v>
      </c>
      <c r="N12" s="20" t="str">
        <f aca="false">IF(B12="","",IF(K12=0,"Granel / Produto Técnico (Sem Embalagem Comercial)",IF(K12&lt;=0.3001,"Faixa 1 TIPI: Até 300g/mL (3808.61.00 / 3105.10.00)",IF(K12&lt;=7.5001,"Faixa 2 TIPI: De 300g a 7,5kg/L (3808.62.90 / 3105.10.00)",IF(K12&lt;=10.0001,"Faixa 3 TIPI: De 7,5kg a 10kg/L (3808.69.90 / 3105.10.00)","Faixa 4 TIPI: Acima de 10kg/L (3808.69.90 / Cap. 31 Geral)")))))</f>
        <v>Faixa 4 TIPI: Acima de 10kg/L (3808.69.90 / Cap. 31 Geral)</v>
      </c>
      <c r="O12" s="23" t="str">
        <f aca="false">IF(B12="","",IF(IF(ISNUMBER(MATCH(A12,'4.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Produtos)'!$H$4:$H$848,IF(ISNUMBER(MATCH(A12,'4. Base Mestre (845 Produtos)'!$A$4:$A$848,0)),MATCH(A12,'4. Base Mestre (845 Produtos)'!$A$4:$A$848,0),IF(ISNUMBER(MATCH(B12,'4. Base Mestre (845 Produtos)'!$B$4:$B$848,0)),MATCH(B12,'4. Base Mestre (845 Produtos)'!$B$4:$B$848,0),0))),IF(ISNUMBER(MATCH(D12,'3. Dicionario Principios Ativos'!$A$4:$A$245,0)),INDEX('3. Dicionario Principios Ativos'!$A$4:$A$245,MATCH(D12,'3. Dicionario Principios Ativos'!$A$4:$A$245,0)),D12)))</f>
        <v>LAMBDA-CIALOTRINA 250</v>
      </c>
      <c r="P12" s="20" t="str">
        <f aca="false">IF(B12="","",IF(D12=O12,"CONFORME — Princípio Ativo Validado","DIVERGENTE — Substituir por: "&amp;O12))</f>
        <v>CONFORME — Princípio Ativo Validado</v>
      </c>
      <c r="Q12" s="24" t="str">
        <f aca="false">IF(B12="","",IF(IF(IF(ISNUMBER(MATCH(A12,'4.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Produtos)'!$J$4:$J$848,IF(ISNUMBER(MATCH(A12,'4. Base Mestre (845 Produtos)'!$A$4:$A$848,0)),MATCH(A12,'4. Base Mestre (845 Produtos)'!$A$4:$A$848,0),IF(ISNUMBER(MATCH(B12,'4. Base Mestre (845 Produtos)'!$B$4:$B$848,0)),MATCH(B12,'4. Base Mestre (845 Produtos)'!$B$4:$B$848,0),0)))="SIM",IF(ISNUMBER(MATCH(D12,'3. Dicionario Principios Ativos'!$A$4:$A$245,0)),INDEX('3. Dicionario Principios Ativos'!$C$4:$C$245,MATCH(D12,'3. Dicionario Principios Ativos'!$A$4:$A$245,0))="SIM",FALSE())),IF(AND(K12&gt;0,K12&lt;=0.3001),"3808.61.00",IF(AND(K12&gt;0.3001,K12&lt;=7.5001),"3808.62.90","3808.69.90")),IF(AND(LEFT(IF(IF(ISNUMBER(MATCH(A12,'4.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Produtos)'!$L$4:$L$848,IF(ISNUMBER(MATCH(A12,'4. Base Mestre (845 Produtos)'!$A$4:$A$848,0)),MATCH(A12,'4. Base Mestre (845 Produtos)'!$A$4:$A$848,0),IF(ISNUMBER(MATCH(B12,'4. Base Mestre (845 Produtos)'!$B$4:$B$848,0)),MATCH(B12,'4. Base Mestre (845 Produtos)'!$B$4:$B$848,0),0))),IF(ISNUMBER(MATCH(D12,'3. Dicionario Principios Ativos'!$A$4:$A$245,0)),INDEX('3. Dicionario Principios Ativos'!$D$4:$D$245,MATCH(D12,'3. Dicionario Principios Ativos'!$A$4:$A$245,0)),E12)),2)="31",E12="3105.10.00",K12&gt;0,K12&lt;=10.0001),"3105.10.00",IF(AND(IF(IF(ISNUMBER(MATCH(A12,'4.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Produtos)'!$L$4:$L$848,IF(ISNUMBER(MATCH(A12,'4. Base Mestre (845 Produtos)'!$A$4:$A$848,0)),MATCH(A12,'4. Base Mestre (845 Produtos)'!$A$4:$A$848,0),IF(ISNUMBER(MATCH(B12,'4. Base Mestre (845 Produtos)'!$B$4:$B$848,0)),MATCH(B12,'4. Base Mestre (845 Produtos)'!$B$4:$B$848,0),0))),IF(ISNUMBER(MATCH(D12,'3. Dicionario Principios Ativos'!$A$4:$A$245,0)),INDEX('3. Dicionario Principios Ativos'!$D$4:$D$245,MATCH(D12,'3. Dicionario Principios Ativos'!$A$4:$A$245,0)),E12))="3105.10.00",K12&gt;10.0001),"3105.90.90",IF(IF(ISNUMBER(MATCH(A12,'4.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Produtos)'!$L$4:$L$848,IF(ISNUMBER(MATCH(A12,'4. Base Mestre (845 Produtos)'!$A$4:$A$848,0)),MATCH(A12,'4. Base Mestre (845 Produtos)'!$A$4:$A$848,0),IF(ISNUMBER(MATCH(B12,'4. Base Mestre (845 Produtos)'!$B$4:$B$848,0)),MATCH(B12,'4. Base Mestre (845 Produtos)'!$B$4:$B$848,0),0))),IF(ISNUMBER(MATCH(D12,'3. Dicionario Principios Ativos'!$A$4:$A$245,0)),INDEX('3. Dicionario Principios Ativos'!$D$4:$D$245,MATCH(D12,'3. Dicionario Principios Ativos'!$A$4:$A$245,0)),E12))))))</f>
        <v>3808.69.90</v>
      </c>
      <c r="R12" s="20" t="str">
        <f aca="false">IF(B12="","",IF(OR(E12=Q12,AND(Q12="3002.49.99",E12="3002.90.00")),"CONFORME — NCM "&amp;E12&amp;" Correta na TIPI","DIVERGENTE — Substituir "&amp;E12&amp;" por "&amp;Q12))</f>
        <v>CONFORME — NCM 3808.69.90 Correta na TIPI</v>
      </c>
      <c r="S12" s="20" t="str">
        <f aca="false">IF(B12="","",IF(AND(E12="3808.61.00",OR(K12&gt;0.3001,K12=0)),"INCOMPATÍVEL — NCM 3808.61.00 exige emb. &lt;= 0,3kg/L (Emb. atual: "&amp;K12&amp;" "&amp;L12&amp;" -&gt; usar "&amp;Q12&amp;")",IF(AND(LEFT(E12,7)="3808.62",OR(K12&lt;=0.3001,K12&gt;7.5001)),"INCOMPATÍVEL — NCM 3808.62 exige emb. de 0,3 a 7,5kg/L (Emb. atual: "&amp;K12&amp;" "&amp;L12&amp;" -&gt; usar "&amp;Q12&amp;")",IF(AND(LEFT(E12,7)="3808.69",K12&gt;0,K12&lt;=7.5001),"INCOMPATÍVEL — NCM 3808.69 exige emb. &gt; 7,5kg/L (Emb. atual: "&amp;K12&amp;" "&amp;L12&amp;" -&gt; usar "&amp;Q12&amp;")",IF(AND(LEFT(Q12,6)="3808.6",LEFT(E12,6)&lt;&gt;"3808.6"),"INCOMPATÍVEL — Molécula Nota Subpos. 2 c/ emb. "&amp;K12&amp;" "&amp;L12&amp;" exige NCM "&amp;Q12,IF(AND(OR(E12="3808.91.19",E12="3808.92.19",E12="3808.93.19",E12="3808.99.19"),K12&gt;=1),"INCOMPATÍVEL — Subitem .19 (Domissanitário) vedado p/ emb. agrícola de "&amp;K12&amp;" "&amp;L12,IF(AND(E12="3105.10.00",K12&gt;10.0001),"INCOMPATÍVEL — NCM 3105.10.00 exige peso bruto &lt;= 10kg (Emb. atual: "&amp;K12&amp;" "&amp;L12&amp;" -&gt; usar 3105.90.90)",IF(AND(LEFT(E12,2)="29",LEFT(Q12,4)="3808",K12&gt;0),"INCOMPATÍVEL — Produto formulado em emb. comercial ("&amp;K12&amp;" "&amp;L12&amp;") vedado no Cap. 29 -&gt; usar "&amp;Q12,"CONFORME — Embalagem ("&amp;K12&amp;" "&amp;L12&amp;") compatível c/ a NCM"))))))))</f>
        <v>CONFORME — Embalagem (20 L) compatível c/ a NCM</v>
      </c>
      <c r="T12" s="24" t="n">
        <f aca="false">IF(B12="","",IF(IF(ISNUMBER(MATCH(A12,'4.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Produtos)'!$P$4:$P$848,IF(ISNUMBER(MATCH(A12,'4. Base Mestre (845 Produtos)'!$A$4:$A$848,0)),MATCH(A12,'4. Base Mestre (845 Produtos)'!$A$4:$A$848,0),IF(ISNUMBER(MATCH(B12,'4. Base Mestre (845 Produtos)'!$B$4:$B$848,0)),MATCH(B12,'4. Base Mestre (845 Produtos)'!$B$4:$B$848,0),0))),IF(ISNUMBER(MATCH(D12,'3. Dicionario Principios Ativos'!$A$4:$A$245,0)),INDEX('3. Dicionario Principios Ativos'!$K$4:$K$245,MATCH(D12,'3. Dicionario Principios Ativos'!$A$4:$A$245,0)),"VERIFICAR BULA")))</f>
        <v>2020</v>
      </c>
      <c r="U12" s="20" t="str">
        <f aca="false">IF(B12="","",IF(ISNUMBER(SEARCH("ISENTO",T12)),IF(OR(F12=0,F12="0",F12="ISENTO",F12=""),"CONFORME (DISPENSADO) — Isento pelo Ato SDA/MAPA nº 104/2017","INCORRETO — Produto isento de registro MAPA (usar 0 ou ISENTO)"),IF(ISNUMBER(SEARCH("SIPEAGRO",T12)),IF(ISNUMBER(SEARCH("-",F12)),"CONFORME — Registro SIPEAGRO ("&amp;F12&amp;") Preenchido","ADEQUAR P/ SIPEAGRO — Substituir 0 pelo Registro (UF-XXXXX-XXXXX.X)"),IF(ISNUMBER(SEARCH("VINCULAR",T12)),IF(AND(F12&lt;&gt;0,F12&lt;&gt;"0",F12&lt;&gt;""),"INCORRETO / TROCADO — Código "&amp;F12&amp;" pertence a outro produto (Vincular bula da marca)","VINCULAR MARCA — Cadastro de P.A. s/ marca fixa (Vincular registro na NF-e)"),IF(OR(F12=0,F12="0",F12=""),"AUSENTE (ZERO) — Preencher Registro Oficial MAPA nº "&amp;T12,IF(TEXT(F12,"0")=TEXT(T12,"0"),"CONFORME — Registro MAPA nº "&amp;T12&amp;" Validado na Bula","INCORRETO / TROCADO — Substituir "&amp;F12&amp;" pelo Registro Oficial nº "&amp;T12))))))</f>
        <v>CONFORME — Registro MAPA nº 2020 Validado na Bula</v>
      </c>
      <c r="V12" s="20" t="str">
        <f aca="false">IF(B12="","",IF(IF(ISNUMBER(MATCH(A12,'4.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Produtos)'!$S$4:$S$848,IF(ISNUMBER(MATCH(A12,'4. Base Mestre (845 Produtos)'!$A$4:$A$848,0)),MATCH(A12,'4. Base Mestre (845 Produtos)'!$A$4:$A$848,0),IF(ISNUMBER(MATCH(B12,'4. Base Mestre (845 Produtos)'!$B$4:$B$848,0)),MATCH(B12,'4. Base Mestre (845 Produtos)'!$B$4:$B$848,0),0))),IF(ISNUMBER(MATCH(D12,'3. Dicionario Principios Ativos'!$A$4:$A$245,0)),INDEX('3. Dicionario Principios Ativos'!$L$4:$L$245,MATCH(D12,'3. Dicionario Principios Ativos'!$A$4:$A$245,0)),"Verificar NCM")))</f>
        <v>Beneficiado (Lei 10.925/04): 0% até Mar/26 | 0,925% Real / 0,365% Pres. pós-Abr/26 (LC 224/25)</v>
      </c>
      <c r="W12" s="20" t="str">
        <f aca="false">IF(B12="","",IF(IF(ISNUMBER(MATCH(A12,'4. Base Mestre (845 Produtos)'!$A$4:$A$848,0)),MATCH(A12,'4. Base Mestre (845 Produtos)'!$A$4:$A$848,0),IF(ISNUMBER(MATCH(B12,'4. Base Mestre (845 Produtos)'!$B$4:$B$848,0)),MATCH(B12,'4. Base Mestre (845 Produtos)'!$B$4:$B$848,0),0))&gt;0,INDEX('4. Base Mestre (845 Produtos)'!$T$4:$T$848,IF(ISNUMBER(MATCH(A12,'4. Base Mestre (845 Produtos)'!$A$4:$A$848,0)),MATCH(A12,'4. Base Mestre (845 Produtos)'!$A$4:$A$848,0),IF(ISNUMBER(MATCH(B12,'4. Base Mestre (845 Produtos)'!$B$4:$B$848,0)),MATCH(B12,'4. Base Mestre (845 Produtos)'!$B$4:$B$848,0),0))),IF(ISNUMBER(MATCH(D12,'3. Dicionario Principios Ativos'!$A$4:$A$245,0)),INDEX('3. Dicionario Principios Ativos'!$M$4:$M$245,MATCH(D12,'3. Dicionario Principios Ativos'!$A$4:$A$245,0)),"Verificar CST")))</f>
        <v>Saída: CST 06 (c/ Ajuste M220/M620 pós-Abr/26) | Entrada Revenda: CST 73</v>
      </c>
      <c r="X12" s="23" t="str">
        <f aca="false">IF(B12="","",IF(AND(LEFT(M12,8)="CONFORME",LEFT(P12,8)="CONFORME",LEFT(R12,8)="CONFORME",LEFT(S12,8)="CONFORME",LEFT(U12,8)="CONFORME"),"CADASTRO 100% CONFORME — LIBERADO P/ ERP",IF(AND(LEFT(M12,8)="CONFORME",LEFT(P12,8)="CONFORME",LEFT(R12,8)="CONFORME",LEFT(S12,8)="CONFORME",OR(LEFT(U12,7)="ADEQUAR",LEFT(U12,8)="VINCULAR")),"FISCAL E EMBALAGEM OK — ADEQUAR CAMPO MAPA (SIPEAGRO / MARCA)","BLOQUEADO — CORRIGIR DIVERGÊNCIAS APONTADAS ANTES DE LIBERAR NO ERP")))</f>
        <v>CADASTRO 100% CONFORME — LIBERADO P/ ERP</v>
      </c>
    </row>
    <row r="13" customFormat="false" ht="21.75" hidden="false" customHeight="true" outlineLevel="0" collapsed="false">
      <c r="A13" s="10" t="n">
        <v>276</v>
      </c>
      <c r="B13" s="11" t="s">
        <v>53</v>
      </c>
      <c r="C13" s="12" t="s">
        <v>39</v>
      </c>
      <c r="D13" s="13" t="s">
        <v>54</v>
      </c>
      <c r="E13" s="12" t="s">
        <v>55</v>
      </c>
      <c r="F13" s="12" t="s">
        <v>56</v>
      </c>
      <c r="G13" s="14"/>
      <c r="H13" s="13" t="s">
        <v>57</v>
      </c>
      <c r="I13" s="15" t="str">
        <f aca="false">IF(B13="","",IF(ISNUMBER(MATCH(A13,'4. Base Mestre (845 Produtos)'!$A$4:$A$848,0)),"Localizado por Código ("&amp;A13&amp;") na Base Mestre",IF(ISNUMBER(MATCH(B13,'4. Base Mestre (845 Produtos)'!$B$4:$B$848,0)),"Localizado por Descrição na Base Mestre",IF(ISNUMBER(MATCH(D13,'3. Dicionario Principios Ativos'!$A$4:$A$245,0)),"Produto Novo — Validado pelo Dicionário de P.A.","Não Localizado — Revisar Código/P.A."))))</f>
        <v>Localizado por Código (276) na Base Mestre</v>
      </c>
      <c r="J13" s="15" t="str">
        <f aca="false">IF(B13="","",IF(IF(ISNUMBER(MATCH(A13,'4.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Produtos)'!$I$4:$I$848,IF(ISNUMBER(MATCH(A13,'4. Base Mestre (845 Produtos)'!$A$4:$A$848,0)),MATCH(A13,'4. Base Mestre (845 Produtos)'!$A$4:$A$848,0),IF(ISNUMBER(MATCH(B13,'4. Base Mestre (845 Produtos)'!$B$4:$B$848,0)),MATCH(B13,'4. Base Mestre (845 Produtos)'!$B$4:$B$848,0),0))),IF(ISNUMBER(MATCH(D13,'3. Dicionario Principios Ativos'!$A$4:$A$245,0)),INDEX('3. Dicionario Principios Ativos'!$B$4:$B$245,MATCH(D13,'3. Dicionario Principios Ativos'!$A$4:$A$245,0)),"Revisar Classificação")))</f>
        <v>Fertilizantes — Fertilizante Foliar / Micronutrientes</v>
      </c>
      <c r="K13" s="16" t="n">
        <f aca="false">IF(B13="","",IF(G13&lt;&gt;"",G13,IF(OR(ISNUMBER(SEARCH("PRINCIPIO ATIVO",B13)),ISNUMBER(SEARCH("PRINC. ATIVO",B13)),ISNUMBER(SEARCH("PR. ATIVO",B13)),ISNUMBER(SEARCH("PR.AT.",B13)),ISNUMBER(SEARCH("(P.A",B13)),ISNUMBER(SEARCH("(P. A",B13))),0,IF(OR(ISNUMBER(SEARCH("0,100KG",B13)),ISNUMBER(SEARCH("0,1KG",B13)),ISNUMBER(SEARCH("0,100L",B13))),0.1,IF(OR(ISNUMBER(SEARCH("0,200L",B13)),ISNUMBER(SEARCH("0,2L",B13)),ISNUMBER(SEARCH("0,200KG",B13)),ISNUMBER(SEARCH("0,2KG",B13))),0.2,IF(OR(ISNUMBER(SEARCH("0,240KG",B13)),ISNUMBER(SEARCH("0,250L",B13))),0.24,IF(OR(ISNUMBER(SEARCH("0,300KG",B13)),ISNUMBER(SEARCH("0,3KG",B13))),0.3,IF(OR(ISNUMBER(SEARCH("0,500L",B13)),ISNUMBER(SEARCH("0,5L",B13)),ISNUMBER(SEARCH("0,5KG",B13))),0.5,IF(ISNUMBER(SEARCH("0,8KG",B13)),0.8,IF(OR(ISNUMBER(SEARCH("1,5L",B13)),ISNUMBER(SEARCH("1,5KG",B13))),1.5,IF(OR(ISNUMBER(SEARCH("1,75L",B13)),ISNUMBER(SEARCH("1,8L",B13)),ISNUMBER(SEARCH("1.8L",B13))),1.8,IF(ISNUMBER(SEARCH("4,5KG",B13)),4.5,IF(ISNUMBER(SEARCH("7,5KG",B13)),7.5,IF(OR(ISNUMBER(SEARCH("1000L",B13)),ISNUMBER(SEARCH("1000KG",B13)),ISNUMBER(SEARCH("1.000KG",B13)),ISNUMBER(SEARCH("1.000L",B13)),ISNUMBER(SEARCH("1000 KG",B13)),ISNUMBER(SEARCH("GRANEL",B13)),ISNUMBER(SEARCH("(TON)",B13))),1000,IF(ISNUMBER(SEARCH("200L",B13)),200,IF(OR(ISNUMBER(SEARCH("25KG",B13)),ISNUMBER(SEARCH("25L",B13))),25,IF(OR(ISNUMBER(SEARCH("20L",B13)),ISNUMBER(SEARCH("20KG",B13))),20,IF(ISNUMBER(SEARCH("15KG",B13)),15,IF(OR(ISNUMBER(SEARCH("10L",B13)),ISNUMBER(SEARCH("10KG",B13))),10,IF(OR(ISNUMBER(SEARCH("5L",B13)),ISNUMBER(SEARCH("5KG",B13)),ISNUMBER(SEARCH("5LT",B13))),5,IF(OR(ISNUMBER(SEARCH("3KG",B13)),ISNUMBER(SEARCH("3L",B13))),3,IF(OR(ISNUMBER(SEARCH("2L",B13)),ISNUMBER(SEARCH("2KG",B13))),2,IF(OR(ISNUMBER(SEARCH("1L",B13)),ISNUMBER(SEARCH("1KG",B13)),ISNUMBER(SEARCH("1LT",B13))),1,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Produtos)'!$D$4:$D$848,IF(ISNUMBER(MATCH(A13,'4. Base Mestre (845 Produtos)'!$A$4:$A$848,0)),MATCH(A13,'4. Base Mestre (845 Produtos)'!$A$4:$A$848,0),IF(ISNUMBER(MATCH(B13,'4. Base Mestre (845 Produtos)'!$B$4:$B$848,0)),MATCH(B13,'4. Base Mestre (845 Produtos)'!$B$4:$B$848,0),0))),1))))))))))))))))))))))))</f>
        <v>5</v>
      </c>
      <c r="L13" s="17" t="str">
        <f aca="false">IF(B13="","",IF(OR(ISNUMBER(SEARCH("KG",B13)),ISNUMBER(SEARCH("GR",B13))),"KG",IF(OR(ISNUMBER(SEARCH("0,200L",B13)),ISNUMBER(SEARCH("0,2L",B13)),ISNUMBER(SEARCH("0,5L",B13)),ISNUMBER(SEARCH("1,5L",B13)),ISNUMBER(SEARCH("1,8L",B13)),ISNUMBER(SEARCH("1.8L",B13)),ISNUMBER(SEARCH("1L",B13)),ISNUMBER(SEARCH("2L",B13)),ISNUMBER(SEARCH("3L",B13)),ISNUMBER(SEARCH("5L",B13)),ISNUMBER(SEARCH("10L",B13)),ISNUMBER(SEARCH("20L",B13)),ISNUMBER(SEARCH("25L",B13)),ISNUMBER(SEARCH("200L",B13)),ISNUMBER(SEARCH("1000L",B13)),ISNUMBER(SEARCH("LT",B13))),"L",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Produtos)'!$E$4:$E$848,IF(ISNUMBER(MATCH(A13,'4. Base Mestre (845 Produtos)'!$A$4:$A$848,0)),MATCH(A13,'4. Base Mestre (845 Produtos)'!$A$4:$A$848,0),IF(ISNUMBER(MATCH(B13,'4. Base Mestre (845 Produtos)'!$B$4:$B$848,0)),MATCH(B13,'4. Base Mestre (845 Produtos)'!$B$4:$B$848,0),0))),C13))))</f>
        <v>L</v>
      </c>
      <c r="M13" s="15" t="str">
        <f aca="false">IF(B13="","",IF(C13=L13,"CONFORME — Unidade ("&amp;C13&amp;") compatível c/ Embalagem","DIVERGENTE — Embalagem em "&amp;L13&amp;", mas cadastrado em "&amp;C13))</f>
        <v>CONFORME — Unidade (L) compatível c/ Embalagem</v>
      </c>
      <c r="N13" s="15" t="str">
        <f aca="false">IF(B13="","",IF(K13=0,"Granel / Produto Técnico (Sem Embalagem Comercial)",IF(K13&lt;=0.3001,"Faixa 1 TIPI: Até 300g/mL (3808.61.00 / 3105.10.00)",IF(K13&lt;=7.5001,"Faixa 2 TIPI: De 300g a 7,5kg/L (3808.62.90 / 3105.10.00)",IF(K13&lt;=10.0001,"Faixa 3 TIPI: De 7,5kg a 10kg/L (3808.69.90 / 3105.10.00)","Faixa 4 TIPI: Acima de 10kg/L (3808.69.90 / Cap. 31 Geral)")))))</f>
        <v>Faixa 2 TIPI: De 300g a 7,5kg/L (3808.62.90 / 3105.10.00)</v>
      </c>
      <c r="O13" s="18" t="str">
        <f aca="false">IF(B13="","",IF(IF(ISNUMBER(MATCH(A13,'4.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Produtos)'!$H$4:$H$848,IF(ISNUMBER(MATCH(A13,'4. Base Mestre (845 Produtos)'!$A$4:$A$848,0)),MATCH(A13,'4. Base Mestre (845 Produtos)'!$A$4:$A$848,0),IF(ISNUMBER(MATCH(B13,'4. Base Mestre (845 Produtos)'!$B$4:$B$848,0)),MATCH(B13,'4. Base Mestre (845 Produtos)'!$B$4:$B$848,0),0))),IF(ISNUMBER(MATCH(D13,'3. Dicionario Principios Ativos'!$A$4:$A$245,0)),INDEX('3. Dicionario Principios Ativos'!$A$4:$A$245,MATCH(D13,'3. Dicionario Principios Ativos'!$A$4:$A$245,0)),D13)))</f>
        <v>MO 14%</v>
      </c>
      <c r="P13" s="15" t="str">
        <f aca="false">IF(B13="","",IF(D13=O13,"CONFORME — Princípio Ativo Validado","DIVERGENTE — Substituir por: "&amp;O13))</f>
        <v>CONFORME — Princípio Ativo Validado</v>
      </c>
      <c r="Q13" s="19" t="str">
        <f aca="false">IF(B13="","",IF(IF(IF(ISNUMBER(MATCH(A13,'4.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Produtos)'!$J$4:$J$848,IF(ISNUMBER(MATCH(A13,'4. Base Mestre (845 Produtos)'!$A$4:$A$848,0)),MATCH(A13,'4. Base Mestre (845 Produtos)'!$A$4:$A$848,0),IF(ISNUMBER(MATCH(B13,'4. Base Mestre (845 Produtos)'!$B$4:$B$848,0)),MATCH(B13,'4. Base Mestre (845 Produtos)'!$B$4:$B$848,0),0)))="SIM",IF(ISNUMBER(MATCH(D13,'3. Dicionario Principios Ativos'!$A$4:$A$245,0)),INDEX('3. Dicionario Principios Ativos'!$C$4:$C$245,MATCH(D13,'3. Dicionario Principios Ativos'!$A$4:$A$245,0))="SIM",FALSE())),IF(AND(K13&gt;0,K13&lt;=0.3001),"3808.61.00",IF(AND(K13&gt;0.3001,K13&lt;=7.5001),"3808.62.90","3808.69.90")),IF(AND(LEFT(IF(IF(ISNUMBER(MATCH(A13,'4.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Produtos)'!$L$4:$L$848,IF(ISNUMBER(MATCH(A13,'4. Base Mestre (845 Produtos)'!$A$4:$A$848,0)),MATCH(A13,'4. Base Mestre (845 Produtos)'!$A$4:$A$848,0),IF(ISNUMBER(MATCH(B13,'4. Base Mestre (845 Produtos)'!$B$4:$B$848,0)),MATCH(B13,'4. Base Mestre (845 Produtos)'!$B$4:$B$848,0),0))),IF(ISNUMBER(MATCH(D13,'3. Dicionario Principios Ativos'!$A$4:$A$245,0)),INDEX('3. Dicionario Principios Ativos'!$D$4:$D$245,MATCH(D13,'3. Dicionario Principios Ativos'!$A$4:$A$245,0)),E13)),2)="31",E13="3105.10.00",K13&gt;0,K13&lt;=10.0001),"3105.10.00",IF(AND(IF(IF(ISNUMBER(MATCH(A13,'4.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Produtos)'!$L$4:$L$848,IF(ISNUMBER(MATCH(A13,'4. Base Mestre (845 Produtos)'!$A$4:$A$848,0)),MATCH(A13,'4. Base Mestre (845 Produtos)'!$A$4:$A$848,0),IF(ISNUMBER(MATCH(B13,'4. Base Mestre (845 Produtos)'!$B$4:$B$848,0)),MATCH(B13,'4. Base Mestre (845 Produtos)'!$B$4:$B$848,0),0))),IF(ISNUMBER(MATCH(D13,'3. Dicionario Principios Ativos'!$A$4:$A$245,0)),INDEX('3. Dicionario Principios Ativos'!$D$4:$D$245,MATCH(D13,'3. Dicionario Principios Ativos'!$A$4:$A$245,0)),E13))="3105.10.00",K13&gt;10.0001),"3105.90.90",IF(IF(ISNUMBER(MATCH(A13,'4.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Produtos)'!$L$4:$L$848,IF(ISNUMBER(MATCH(A13,'4. Base Mestre (845 Produtos)'!$A$4:$A$848,0)),MATCH(A13,'4. Base Mestre (845 Produtos)'!$A$4:$A$848,0),IF(ISNUMBER(MATCH(B13,'4. Base Mestre (845 Produtos)'!$B$4:$B$848,0)),MATCH(B13,'4. Base Mestre (845 Produtos)'!$B$4:$B$848,0),0))),IF(ISNUMBER(MATCH(D13,'3. Dicionario Principios Ativos'!$A$4:$A$245,0)),INDEX('3. Dicionario Principios Ativos'!$D$4:$D$245,MATCH(D13,'3. Dicionario Principios Ativos'!$A$4:$A$245,0)),E13))))))</f>
        <v>3105.10.00</v>
      </c>
      <c r="R13" s="15" t="str">
        <f aca="false">IF(B13="","",IF(OR(E13=Q13,AND(Q13="3002.49.99",E13="3002.90.00")),"CONFORME — NCM "&amp;E13&amp;" Correta na TIPI","DIVERGENTE — Substituir "&amp;E13&amp;" por "&amp;Q13))</f>
        <v>CONFORME — NCM 3105.10.00 Correta na TIPI</v>
      </c>
      <c r="S13" s="15" t="str">
        <f aca="false">IF(B13="","",IF(AND(E13="3808.61.00",OR(K13&gt;0.3001,K13=0)),"INCOMPATÍVEL — NCM 3808.61.00 exige emb. &lt;= 0,3kg/L (Emb. atual: "&amp;K13&amp;" "&amp;L13&amp;" -&gt; usar "&amp;Q13&amp;")",IF(AND(LEFT(E13,7)="3808.62",OR(K13&lt;=0.3001,K13&gt;7.5001)),"INCOMPATÍVEL — NCM 3808.62 exige emb. de 0,3 a 7,5kg/L (Emb. atual: "&amp;K13&amp;" "&amp;L13&amp;" -&gt; usar "&amp;Q13&amp;")",IF(AND(LEFT(E13,7)="3808.69",K13&gt;0,K13&lt;=7.5001),"INCOMPATÍVEL — NCM 3808.69 exige emb. &gt; 7,5kg/L (Emb. atual: "&amp;K13&amp;" "&amp;L13&amp;" -&gt; usar "&amp;Q13&amp;")",IF(AND(LEFT(Q13,6)="3808.6",LEFT(E13,6)&lt;&gt;"3808.6"),"INCOMPATÍVEL — Molécula Nota Subpos. 2 c/ emb. "&amp;K13&amp;" "&amp;L13&amp;" exige NCM "&amp;Q13,IF(AND(OR(E13="3808.91.19",E13="3808.92.19",E13="3808.93.19",E13="3808.99.19"),K13&gt;=1),"INCOMPATÍVEL — Subitem .19 (Domissanitário) vedado p/ emb. agrícola de "&amp;K13&amp;" "&amp;L13,IF(AND(E13="3105.10.00",K13&gt;10.0001),"INCOMPATÍVEL — NCM 3105.10.00 exige peso bruto &lt;= 10kg (Emb. atual: "&amp;K13&amp;" "&amp;L13&amp;" -&gt; usar 3105.90.90)",IF(AND(LEFT(E13,2)="29",LEFT(Q13,4)="3808",K13&gt;0),"INCOMPATÍVEL — Produto formulado em emb. comercial ("&amp;K13&amp;" "&amp;L13&amp;") vedado no Cap. 29 -&gt; usar "&amp;Q13,"CONFORME — Embalagem ("&amp;K13&amp;" "&amp;L13&amp;") compatível c/ a NCM"))))))))</f>
        <v>CONFORME — Embalagem (5 L) compatível c/ a NCM</v>
      </c>
      <c r="T13" s="19" t="str">
        <f aca="false">IF(B13="","",IF(IF(ISNUMBER(MATCH(A13,'4.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Produtos)'!$P$4:$P$848,IF(ISNUMBER(MATCH(A13,'4. Base Mestre (845 Produtos)'!$A$4:$A$848,0)),MATCH(A13,'4. Base Mestre (845 Produtos)'!$A$4:$A$848,0),IF(ISNUMBER(MATCH(B13,'4. Base Mestre (845 Produtos)'!$B$4:$B$848,0)),MATCH(B13,'4. Base Mestre (845 Produtos)'!$B$4:$B$848,0),0))),IF(ISNUMBER(MATCH(D13,'3. Dicionario Principios Ativos'!$A$4:$A$245,0)),INDEX('3. Dicionario Principios Ativos'!$K$4:$K$245,MATCH(D13,'3. Dicionario Principios Ativos'!$A$4:$A$245,0)),"VERIFICAR BULA")))</f>
        <v>SIPEAGRO (UF-XXXXX)</v>
      </c>
      <c r="U13" s="15" t="str">
        <f aca="false">IF(B13="","",IF(ISNUMBER(SEARCH("ISENTO",T13)),IF(OR(F13=0,F13="0",F13="ISENTO",F13=""),"CONFORME (DISPENSADO) — Isento pelo Ato SDA/MAPA nº 104/2017","INCORRETO — Produto isento de registro MAPA (usar 0 ou ISENTO)"),IF(ISNUMBER(SEARCH("SIPEAGRO",T13)),IF(ISNUMBER(SEARCH("-",F13)),"CONFORME — Registro SIPEAGRO ("&amp;F13&amp;") Preenchido","ADEQUAR P/ SIPEAGRO — Substituir 0 pelo Registro (UF-XXXXX-XXXXX.X)"),IF(ISNUMBER(SEARCH("VINCULAR",T13)),IF(AND(F13&lt;&gt;0,F13&lt;&gt;"0",F13&lt;&gt;""),"INCORRETO / TROCADO — Código "&amp;F13&amp;" pertence a outro produto (Vincular bula da marca)","VINCULAR MARCA — Cadastro de P.A. s/ marca fixa (Vincular registro na NF-e)"),IF(OR(F13=0,F13="0",F13=""),"AUSENTE (ZERO) — Preencher Registro Oficial MAPA nº "&amp;T13,IF(TEXT(F13,"0")=TEXT(T13,"0"),"CONFORME — Registro MAPA nº "&amp;T13&amp;" Validado na Bula","INCORRETO / TROCADO — Substituir "&amp;F13&amp;" pelo Registro Oficial nº "&amp;T13))))))</f>
        <v>CONFORME — Registro SIPEAGRO (MT-00412-10008.1) Preenchido</v>
      </c>
      <c r="V13" s="15" t="str">
        <f aca="false">IF(B13="","",IF(IF(ISNUMBER(MATCH(A13,'4.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Produtos)'!$S$4:$S$848,IF(ISNUMBER(MATCH(A13,'4. Base Mestre (845 Produtos)'!$A$4:$A$848,0)),MATCH(A13,'4. Base Mestre (845 Produtos)'!$A$4:$A$848,0),IF(ISNUMBER(MATCH(B13,'4. Base Mestre (845 Produtos)'!$B$4:$B$848,0)),MATCH(B13,'4. Base Mestre (845 Produtos)'!$B$4:$B$848,0),0))),IF(ISNUMBER(MATCH(D13,'3. Dicionario Principios Ativos'!$A$4:$A$245,0)),INDEX('3. Dicionario Principios Ativos'!$L$4:$L$245,MATCH(D13,'3. Dicionario Principios Ativos'!$A$4:$A$245,0)),"Verificar NCM")))</f>
        <v>Beneficiado (Lei 10.925/04): 0% até Mar/26 | 0,925% Real / 0,365% Pres. pós-Abr/26 (LC 224/25)</v>
      </c>
      <c r="W13" s="15" t="str">
        <f aca="false">IF(B13="","",IF(IF(ISNUMBER(MATCH(A13,'4. Base Mestre (845 Produtos)'!$A$4:$A$848,0)),MATCH(A13,'4. Base Mestre (845 Produtos)'!$A$4:$A$848,0),IF(ISNUMBER(MATCH(B13,'4. Base Mestre (845 Produtos)'!$B$4:$B$848,0)),MATCH(B13,'4. Base Mestre (845 Produtos)'!$B$4:$B$848,0),0))&gt;0,INDEX('4. Base Mestre (845 Produtos)'!$T$4:$T$848,IF(ISNUMBER(MATCH(A13,'4. Base Mestre (845 Produtos)'!$A$4:$A$848,0)),MATCH(A13,'4. Base Mestre (845 Produtos)'!$A$4:$A$848,0),IF(ISNUMBER(MATCH(B13,'4. Base Mestre (845 Produtos)'!$B$4:$B$848,0)),MATCH(B13,'4. Base Mestre (845 Produtos)'!$B$4:$B$848,0),0))),IF(ISNUMBER(MATCH(D13,'3. Dicionario Principios Ativos'!$A$4:$A$245,0)),INDEX('3. Dicionario Principios Ativos'!$M$4:$M$245,MATCH(D13,'3. Dicionario Principios Ativos'!$A$4:$A$245,0)),"Verificar CST")))</f>
        <v>Saída: CST 06 (c/ Ajuste M220/M620 pós-Abr/26) | Entrada Revenda: CST 73</v>
      </c>
      <c r="X13" s="18" t="str">
        <f aca="false">IF(B13="","",IF(AND(LEFT(M13,8)="CONFORME",LEFT(P13,8)="CONFORME",LEFT(R13,8)="CONFORME",LEFT(S13,8)="CONFORME",LEFT(U13,8)="CONFORME"),"CADASTRO 100% CONFORME — LIBERADO P/ ERP",IF(AND(LEFT(M13,8)="CONFORME",LEFT(P13,8)="CONFORME",LEFT(R13,8)="CONFORME",LEFT(S13,8)="CONFORME",OR(LEFT(U13,7)="ADEQUAR",LEFT(U13,8)="VINCULAR")),"FISCAL E EMBALAGEM OK — ADEQUAR CAMPO MAPA (SIPEAGRO / MARCA)","BLOQUEADO — CORRIGIR DIVERGÊNCIAS APONTADAS ANTES DE LIBERAR NO ERP")))</f>
        <v>CADASTRO 100% CONFORME — LIBERADO P/ ERP</v>
      </c>
    </row>
    <row r="14" customFormat="false" ht="21.75" hidden="false" customHeight="true" outlineLevel="0" collapsed="false">
      <c r="A14" s="10" t="n">
        <v>227</v>
      </c>
      <c r="B14" s="11" t="s">
        <v>58</v>
      </c>
      <c r="C14" s="12" t="s">
        <v>39</v>
      </c>
      <c r="D14" s="13" t="s">
        <v>59</v>
      </c>
      <c r="E14" s="12" t="s">
        <v>60</v>
      </c>
      <c r="F14" s="12" t="n">
        <v>0</v>
      </c>
      <c r="G14" s="14"/>
      <c r="H14" s="13" t="s">
        <v>61</v>
      </c>
      <c r="I14" s="20" t="str">
        <f aca="false">IF(B14="","",IF(ISNUMBER(MATCH(A14,'4. Base Mestre (845 Produtos)'!$A$4:$A$848,0)),"Localizado por Código ("&amp;A14&amp;") na Base Mestre",IF(ISNUMBER(MATCH(B14,'4. Base Mestre (845 Produtos)'!$B$4:$B$848,0)),"Localizado por Descrição na Base Mestre",IF(ISNUMBER(MATCH(D14,'3. Dicionario Principios Ativos'!$A$4:$A$245,0)),"Produto Novo — Validado pelo Dicionário de P.A.","Não Localizado — Revisar Código/P.A."))))</f>
        <v>Localizado por Código (227) na Base Mestre</v>
      </c>
      <c r="J14" s="20" t="str">
        <f aca="false">IF(B14="","",IF(IF(ISNUMBER(MATCH(A14,'4.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Produtos)'!$I$4:$I$848,IF(ISNUMBER(MATCH(A14,'4. Base Mestre (845 Produtos)'!$A$4:$A$848,0)),MATCH(A14,'4. Base Mestre (845 Produtos)'!$A$4:$A$848,0),IF(ISNUMBER(MATCH(B14,'4. Base Mestre (845 Produtos)'!$B$4:$B$848,0)),MATCH(B14,'4. Base Mestre (845 Produtos)'!$B$4:$B$848,0),0))),IF(ISNUMBER(MATCH(D14,'3. Dicionario Principios Ativos'!$A$4:$A$245,0)),INDEX('3. Dicionario Principios Ativos'!$B$4:$B$245,MATCH(D14,'3. Dicionario Principios Ativos'!$A$4:$A$245,0)),"Revisar Classificação")))</f>
        <v>Adjuvantes — Adjuvante Espalhante / Surfactante / Redutor de pH e Deriva</v>
      </c>
      <c r="K14" s="21" t="n">
        <f aca="false">IF(B14="","",IF(G14&lt;&gt;"",G14,IF(OR(ISNUMBER(SEARCH("PRINCIPIO ATIVO",B14)),ISNUMBER(SEARCH("PRINC. ATIVO",B14)),ISNUMBER(SEARCH("PR. ATIVO",B14)),ISNUMBER(SEARCH("PR.AT.",B14)),ISNUMBER(SEARCH("(P.A",B14)),ISNUMBER(SEARCH("(P. A",B14))),0,IF(OR(ISNUMBER(SEARCH("0,100KG",B14)),ISNUMBER(SEARCH("0,1KG",B14)),ISNUMBER(SEARCH("0,100L",B14))),0.1,IF(OR(ISNUMBER(SEARCH("0,200L",B14)),ISNUMBER(SEARCH("0,2L",B14)),ISNUMBER(SEARCH("0,200KG",B14)),ISNUMBER(SEARCH("0,2KG",B14))),0.2,IF(OR(ISNUMBER(SEARCH("0,240KG",B14)),ISNUMBER(SEARCH("0,250L",B14))),0.24,IF(OR(ISNUMBER(SEARCH("0,300KG",B14)),ISNUMBER(SEARCH("0,3KG",B14))),0.3,IF(OR(ISNUMBER(SEARCH("0,500L",B14)),ISNUMBER(SEARCH("0,5L",B14)),ISNUMBER(SEARCH("0,5KG",B14))),0.5,IF(ISNUMBER(SEARCH("0,8KG",B14)),0.8,IF(OR(ISNUMBER(SEARCH("1,5L",B14)),ISNUMBER(SEARCH("1,5KG",B14))),1.5,IF(OR(ISNUMBER(SEARCH("1,75L",B14)),ISNUMBER(SEARCH("1,8L",B14)),ISNUMBER(SEARCH("1.8L",B14))),1.8,IF(ISNUMBER(SEARCH("4,5KG",B14)),4.5,IF(ISNUMBER(SEARCH("7,5KG",B14)),7.5,IF(OR(ISNUMBER(SEARCH("1000L",B14)),ISNUMBER(SEARCH("1000KG",B14)),ISNUMBER(SEARCH("1.000KG",B14)),ISNUMBER(SEARCH("1.000L",B14)),ISNUMBER(SEARCH("1000 KG",B14)),ISNUMBER(SEARCH("GRANEL",B14)),ISNUMBER(SEARCH("(TON)",B14))),1000,IF(ISNUMBER(SEARCH("200L",B14)),200,IF(OR(ISNUMBER(SEARCH("25KG",B14)),ISNUMBER(SEARCH("25L",B14))),25,IF(OR(ISNUMBER(SEARCH("20L",B14)),ISNUMBER(SEARCH("20KG",B14))),20,IF(ISNUMBER(SEARCH("15KG",B14)),15,IF(OR(ISNUMBER(SEARCH("10L",B14)),ISNUMBER(SEARCH("10KG",B14))),10,IF(OR(ISNUMBER(SEARCH("5L",B14)),ISNUMBER(SEARCH("5KG",B14)),ISNUMBER(SEARCH("5LT",B14))),5,IF(OR(ISNUMBER(SEARCH("3KG",B14)),ISNUMBER(SEARCH("3L",B14))),3,IF(OR(ISNUMBER(SEARCH("2L",B14)),ISNUMBER(SEARCH("2KG",B14))),2,IF(OR(ISNUMBER(SEARCH("1L",B14)),ISNUMBER(SEARCH("1KG",B14)),ISNUMBER(SEARCH("1LT",B14))),1,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Produtos)'!$D$4:$D$848,IF(ISNUMBER(MATCH(A14,'4. Base Mestre (845 Produtos)'!$A$4:$A$848,0)),MATCH(A14,'4. Base Mestre (845 Produtos)'!$A$4:$A$848,0),IF(ISNUMBER(MATCH(B14,'4. Base Mestre (845 Produtos)'!$B$4:$B$848,0)),MATCH(B14,'4. Base Mestre (845 Produtos)'!$B$4:$B$848,0),0))),1))))))))))))))))))))))))</f>
        <v>5</v>
      </c>
      <c r="L14" s="22" t="str">
        <f aca="false">IF(B14="","",IF(OR(ISNUMBER(SEARCH("KG",B14)),ISNUMBER(SEARCH("GR",B14))),"KG",IF(OR(ISNUMBER(SEARCH("0,200L",B14)),ISNUMBER(SEARCH("0,2L",B14)),ISNUMBER(SEARCH("0,5L",B14)),ISNUMBER(SEARCH("1,5L",B14)),ISNUMBER(SEARCH("1,8L",B14)),ISNUMBER(SEARCH("1.8L",B14)),ISNUMBER(SEARCH("1L",B14)),ISNUMBER(SEARCH("2L",B14)),ISNUMBER(SEARCH("3L",B14)),ISNUMBER(SEARCH("5L",B14)),ISNUMBER(SEARCH("10L",B14)),ISNUMBER(SEARCH("20L",B14)),ISNUMBER(SEARCH("25L",B14)),ISNUMBER(SEARCH("200L",B14)),ISNUMBER(SEARCH("1000L",B14)),ISNUMBER(SEARCH("LT",B14))),"L",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Produtos)'!$E$4:$E$848,IF(ISNUMBER(MATCH(A14,'4. Base Mestre (845 Produtos)'!$A$4:$A$848,0)),MATCH(A14,'4. Base Mestre (845 Produtos)'!$A$4:$A$848,0),IF(ISNUMBER(MATCH(B14,'4. Base Mestre (845 Produtos)'!$B$4:$B$848,0)),MATCH(B14,'4. Base Mestre (845 Produtos)'!$B$4:$B$848,0),0))),C14))))</f>
        <v>L</v>
      </c>
      <c r="M14" s="20" t="str">
        <f aca="false">IF(B14="","",IF(C14=L14,"CONFORME — Unidade ("&amp;C14&amp;") compatível c/ Embalagem","DIVERGENTE — Embalagem em "&amp;L14&amp;", mas cadastrado em "&amp;C14))</f>
        <v>CONFORME — Unidade (L) compatível c/ Embalagem</v>
      </c>
      <c r="N14" s="20" t="str">
        <f aca="false">IF(B14="","",IF(K14=0,"Granel / Produto Técnico (Sem Embalagem Comercial)",IF(K14&lt;=0.3001,"Faixa 1 TIPI: Até 300g/mL (3808.61.00 / 3105.10.00)",IF(K14&lt;=7.5001,"Faixa 2 TIPI: De 300g a 7,5kg/L (3808.62.90 / 3105.10.00)",IF(K14&lt;=10.0001,"Faixa 3 TIPI: De 7,5kg a 10kg/L (3808.69.90 / 3105.10.00)","Faixa 4 TIPI: Acima de 10kg/L (3808.69.90 / Cap. 31 Geral)")))))</f>
        <v>Faixa 2 TIPI: De 300g a 7,5kg/L (3808.62.90 / 3105.10.00)</v>
      </c>
      <c r="O14" s="23" t="str">
        <f aca="false">IF(B14="","",IF(IF(ISNUMBER(MATCH(A14,'4.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Produtos)'!$H$4:$H$848,IF(ISNUMBER(MATCH(A14,'4. Base Mestre (845 Produtos)'!$A$4:$A$848,0)),MATCH(A14,'4. Base Mestre (845 Produtos)'!$A$4:$A$848,0),IF(ISNUMBER(MATCH(B14,'4. Base Mestre (845 Produtos)'!$B$4:$B$848,0)),MATCH(B14,'4. Base Mestre (845 Produtos)'!$B$4:$B$848,0),0))),IF(ISNUMBER(MATCH(D14,'3. Dicionario Principios Ativos'!$A$4:$A$245,0)),INDEX('3. Dicionario Principios Ativos'!$A$4:$A$245,MATCH(D14,'3. Dicionario Principios Ativos'!$A$4:$A$245,0)),D14)))</f>
        <v>ADJUVANTE</v>
      </c>
      <c r="P14" s="20" t="str">
        <f aca="false">IF(B14="","",IF(D14=O14,"CONFORME — Princípio Ativo Validado","DIVERGENTE — Substituir por: "&amp;O14))</f>
        <v>CONFORME — Princípio Ativo Validado</v>
      </c>
      <c r="Q14" s="24" t="str">
        <f aca="false">IF(B14="","",IF(IF(IF(ISNUMBER(MATCH(A14,'4.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Produtos)'!$J$4:$J$848,IF(ISNUMBER(MATCH(A14,'4. Base Mestre (845 Produtos)'!$A$4:$A$848,0)),MATCH(A14,'4. Base Mestre (845 Produtos)'!$A$4:$A$848,0),IF(ISNUMBER(MATCH(B14,'4. Base Mestre (845 Produtos)'!$B$4:$B$848,0)),MATCH(B14,'4. Base Mestre (845 Produtos)'!$B$4:$B$848,0),0)))="SIM",IF(ISNUMBER(MATCH(D14,'3. Dicionario Principios Ativos'!$A$4:$A$245,0)),INDEX('3. Dicionario Principios Ativos'!$C$4:$C$245,MATCH(D14,'3. Dicionario Principios Ativos'!$A$4:$A$245,0))="SIM",FALSE())),IF(AND(K14&gt;0,K14&lt;=0.3001),"3808.61.00",IF(AND(K14&gt;0.3001,K14&lt;=7.5001),"3808.62.90","3808.69.90")),IF(AND(LEFT(IF(IF(ISNUMBER(MATCH(A14,'4.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Produtos)'!$L$4:$L$848,IF(ISNUMBER(MATCH(A14,'4. Base Mestre (845 Produtos)'!$A$4:$A$848,0)),MATCH(A14,'4. Base Mestre (845 Produtos)'!$A$4:$A$848,0),IF(ISNUMBER(MATCH(B14,'4. Base Mestre (845 Produtos)'!$B$4:$B$848,0)),MATCH(B14,'4. Base Mestre (845 Produtos)'!$B$4:$B$848,0),0))),IF(ISNUMBER(MATCH(D14,'3. Dicionario Principios Ativos'!$A$4:$A$245,0)),INDEX('3. Dicionario Principios Ativos'!$D$4:$D$245,MATCH(D14,'3. Dicionario Principios Ativos'!$A$4:$A$245,0)),E14)),2)="31",E14="3105.10.00",K14&gt;0,K14&lt;=10.0001),"3105.10.00",IF(AND(IF(IF(ISNUMBER(MATCH(A14,'4.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Produtos)'!$L$4:$L$848,IF(ISNUMBER(MATCH(A14,'4. Base Mestre (845 Produtos)'!$A$4:$A$848,0)),MATCH(A14,'4. Base Mestre (845 Produtos)'!$A$4:$A$848,0),IF(ISNUMBER(MATCH(B14,'4. Base Mestre (845 Produtos)'!$B$4:$B$848,0)),MATCH(B14,'4. Base Mestre (845 Produtos)'!$B$4:$B$848,0),0))),IF(ISNUMBER(MATCH(D14,'3. Dicionario Principios Ativos'!$A$4:$A$245,0)),INDEX('3. Dicionario Principios Ativos'!$D$4:$D$245,MATCH(D14,'3. Dicionario Principios Ativos'!$A$4:$A$245,0)),E14))="3105.10.00",K14&gt;10.0001),"3105.90.90",IF(IF(ISNUMBER(MATCH(A14,'4.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Produtos)'!$L$4:$L$848,IF(ISNUMBER(MATCH(A14,'4. Base Mestre (845 Produtos)'!$A$4:$A$848,0)),MATCH(A14,'4. Base Mestre (845 Produtos)'!$A$4:$A$848,0),IF(ISNUMBER(MATCH(B14,'4. Base Mestre (845 Produtos)'!$B$4:$B$848,0)),MATCH(B14,'4. Base Mestre (845 Produtos)'!$B$4:$B$848,0),0))),IF(ISNUMBER(MATCH(D14,'3. Dicionario Principios Ativos'!$A$4:$A$245,0)),INDEX('3. Dicionario Principios Ativos'!$D$4:$D$245,MATCH(D14,'3. Dicionario Principios Ativos'!$A$4:$A$245,0)),E14))))))</f>
        <v>3402.42.00</v>
      </c>
      <c r="R14" s="20" t="str">
        <f aca="false">IF(B14="","",IF(OR(E14=Q14,AND(Q14="3002.49.99",E14="3002.90.00")),"CONFORME — NCM "&amp;E14&amp;" Correta na TIPI","DIVERGENTE — Substituir "&amp;E14&amp;" por "&amp;Q14))</f>
        <v>CONFORME — NCM 3402.42.00 Correta na TIPI</v>
      </c>
      <c r="S14" s="20" t="str">
        <f aca="false">IF(B14="","",IF(AND(E14="3808.61.00",OR(K14&gt;0.3001,K14=0)),"INCOMPATÍVEL — NCM 3808.61.00 exige emb. &lt;= 0,3kg/L (Emb. atual: "&amp;K14&amp;" "&amp;L14&amp;" -&gt; usar "&amp;Q14&amp;")",IF(AND(LEFT(E14,7)="3808.62",OR(K14&lt;=0.3001,K14&gt;7.5001)),"INCOMPATÍVEL — NCM 3808.62 exige emb. de 0,3 a 7,5kg/L (Emb. atual: "&amp;K14&amp;" "&amp;L14&amp;" -&gt; usar "&amp;Q14&amp;")",IF(AND(LEFT(E14,7)="3808.69",K14&gt;0,K14&lt;=7.5001),"INCOMPATÍVEL — NCM 3808.69 exige emb. &gt; 7,5kg/L (Emb. atual: "&amp;K14&amp;" "&amp;L14&amp;" -&gt; usar "&amp;Q14&amp;")",IF(AND(LEFT(Q14,6)="3808.6",LEFT(E14,6)&lt;&gt;"3808.6"),"INCOMPATÍVEL — Molécula Nota Subpos. 2 c/ emb. "&amp;K14&amp;" "&amp;L14&amp;" exige NCM "&amp;Q14,IF(AND(OR(E14="3808.91.19",E14="3808.92.19",E14="3808.93.19",E14="3808.99.19"),K14&gt;=1),"INCOMPATÍVEL — Subitem .19 (Domissanitário) vedado p/ emb. agrícola de "&amp;K14&amp;" "&amp;L14,IF(AND(E14="3105.10.00",K14&gt;10.0001),"INCOMPATÍVEL — NCM 3105.10.00 exige peso bruto &lt;= 10kg (Emb. atual: "&amp;K14&amp;" "&amp;L14&amp;" -&gt; usar 3105.90.90)",IF(AND(LEFT(E14,2)="29",LEFT(Q14,4)="3808",K14&gt;0),"INCOMPATÍVEL — Produto formulado em emb. comercial ("&amp;K14&amp;" "&amp;L14&amp;") vedado no Cap. 29 -&gt; usar "&amp;Q14,"CONFORME — Embalagem ("&amp;K14&amp;" "&amp;L14&amp;") compatível c/ a NCM"))))))))</f>
        <v>CONFORME — Embalagem (5 L) compatível c/ a NCM</v>
      </c>
      <c r="T14" s="24" t="str">
        <f aca="false">IF(B14="","",IF(IF(ISNUMBER(MATCH(A14,'4.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Produtos)'!$P$4:$P$848,IF(ISNUMBER(MATCH(A14,'4. Base Mestre (845 Produtos)'!$A$4:$A$848,0)),MATCH(A14,'4. Base Mestre (845 Produtos)'!$A$4:$A$848,0),IF(ISNUMBER(MATCH(B14,'4. Base Mestre (845 Produtos)'!$B$4:$B$848,0)),MATCH(B14,'4. Base Mestre (845 Produtos)'!$B$4:$B$848,0),0))),IF(ISNUMBER(MATCH(D14,'3. Dicionario Principios Ativos'!$A$4:$A$245,0)),INDEX('3. Dicionario Principios Ativos'!$K$4:$K$245,MATCH(D14,'3. Dicionario Principios Ativos'!$A$4:$A$245,0)),"VERIFICAR BULA")))</f>
        <v>ISENTO (ATO 104/2017)</v>
      </c>
      <c r="U14" s="20" t="str">
        <f aca="false">IF(B14="","",IF(ISNUMBER(SEARCH("ISENTO",T14)),IF(OR(F14=0,F14="0",F14="ISENTO",F14=""),"CONFORME (DISPENSADO) — Isento pelo Ato SDA/MAPA nº 104/2017","INCORRETO — Produto isento de registro MAPA (usar 0 ou ISENTO)"),IF(ISNUMBER(SEARCH("SIPEAGRO",T14)),IF(ISNUMBER(SEARCH("-",F14)),"CONFORME — Registro SIPEAGRO ("&amp;F14&amp;") Preenchido","ADEQUAR P/ SIPEAGRO — Substituir 0 pelo Registro (UF-XXXXX-XXXXX.X)"),IF(ISNUMBER(SEARCH("VINCULAR",T14)),IF(AND(F14&lt;&gt;0,F14&lt;&gt;"0",F14&lt;&gt;""),"INCORRETO / TROCADO — Código "&amp;F14&amp;" pertence a outro produto (Vincular bula da marca)","VINCULAR MARCA — Cadastro de P.A. s/ marca fixa (Vincular registro na NF-e)"),IF(OR(F14=0,F14="0",F14=""),"AUSENTE (ZERO) — Preencher Registro Oficial MAPA nº "&amp;T14,IF(TEXT(F14,"0")=TEXT(T14,"0"),"CONFORME — Registro MAPA nº "&amp;T14&amp;" Validado na Bula","INCORRETO / TROCADO — Substituir "&amp;F14&amp;" pelo Registro Oficial nº "&amp;T14))))))</f>
        <v>CONFORME (DISPENSADO) — Isento pelo Ato SDA/MAPA nº 104/2017</v>
      </c>
      <c r="V14" s="20" t="str">
        <f aca="false">IF(B14="","",IF(IF(ISNUMBER(MATCH(A14,'4.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Produtos)'!$S$4:$S$848,IF(ISNUMBER(MATCH(A14,'4. Base Mestre (845 Produtos)'!$A$4:$A$848,0)),MATCH(A14,'4. Base Mestre (845 Produtos)'!$A$4:$A$848,0),IF(ISNUMBER(MATCH(B14,'4. Base Mestre (845 Produtos)'!$B$4:$B$848,0)),MATCH(B14,'4. Base Mestre (845 Produtos)'!$B$4:$B$848,0),0))),IF(ISNUMBER(MATCH(D14,'3. Dicionario Principios Ativos'!$A$4:$A$245,0)),INDEX('3. Dicionario Principios Ativos'!$L$4:$L$245,MATCH(D14,'3. Dicionario Principios Ativos'!$A$4:$A$245,0)),"Verificar NCM")))</f>
        <v>Tributado Integralmente: 9,25% Lucro Real (c/ crédito CST 50 na revenda) | 3,65% Presumido (SC COSIT 4/24 e 261/23)</v>
      </c>
      <c r="W14" s="20" t="str">
        <f aca="false">IF(B14="","",IF(IF(ISNUMBER(MATCH(A14,'4. Base Mestre (845 Produtos)'!$A$4:$A$848,0)),MATCH(A14,'4. Base Mestre (845 Produtos)'!$A$4:$A$848,0),IF(ISNUMBER(MATCH(B14,'4. Base Mestre (845 Produtos)'!$B$4:$B$848,0)),MATCH(B14,'4. Base Mestre (845 Produtos)'!$B$4:$B$848,0),0))&gt;0,INDEX('4. Base Mestre (845 Produtos)'!$T$4:$T$848,IF(ISNUMBER(MATCH(A14,'4. Base Mestre (845 Produtos)'!$A$4:$A$848,0)),MATCH(A14,'4. Base Mestre (845 Produtos)'!$A$4:$A$848,0),IF(ISNUMBER(MATCH(B14,'4. Base Mestre (845 Produtos)'!$B$4:$B$848,0)),MATCH(B14,'4. Base Mestre (845 Produtos)'!$B$4:$B$848,0),0))),IF(ISNUMBER(MATCH(D14,'3. Dicionario Principios Ativos'!$A$4:$A$245,0)),INDEX('3. Dicionario Principios Ativos'!$M$4:$M$245,MATCH(D14,'3. Dicionario Principios Ativos'!$A$4:$A$245,0)),"Verificar CST")))</f>
        <v>Saída: CST 01 (9,25% Real / 3,65% Pres.) | Entrada Revenda Real: CST 50</v>
      </c>
      <c r="X14" s="23" t="str">
        <f aca="false">IF(B14="","",IF(AND(LEFT(M14,8)="CONFORME",LEFT(P14,8)="CONFORME",LEFT(R14,8)="CONFORME",LEFT(S14,8)="CONFORME",LEFT(U14,8)="CONFORME"),"CADASTRO 100% CONFORME — LIBERADO P/ ERP",IF(AND(LEFT(M14,8)="CONFORME",LEFT(P14,8)="CONFORME",LEFT(R14,8)="CONFORME",LEFT(S14,8)="CONFORME",OR(LEFT(U14,7)="ADEQUAR",LEFT(U14,8)="VINCULAR")),"FISCAL E EMBALAGEM OK — ADEQUAR CAMPO MAPA (SIPEAGRO / MARCA)","BLOQUEADO — CORRIGIR DIVERGÊNCIAS APONTADAS ANTES DE LIBERAR NO ERP")))</f>
        <v>CADASTRO 100% CONFORME — LIBERADO P/ ERP</v>
      </c>
    </row>
    <row r="15" customFormat="false" ht="21.75" hidden="false" customHeight="true" outlineLevel="0" collapsed="false">
      <c r="A15" s="10" t="n">
        <v>12</v>
      </c>
      <c r="B15" s="11" t="s">
        <v>62</v>
      </c>
      <c r="C15" s="12" t="s">
        <v>63</v>
      </c>
      <c r="D15" s="13" t="s">
        <v>64</v>
      </c>
      <c r="E15" s="12" t="s">
        <v>65</v>
      </c>
      <c r="F15" s="12" t="n">
        <v>1378704</v>
      </c>
      <c r="G15" s="14"/>
      <c r="H15" s="13" t="s">
        <v>66</v>
      </c>
      <c r="I15" s="15" t="str">
        <f aca="false">IF(B15="","",IF(ISNUMBER(MATCH(A15,'4. Base Mestre (845 Produtos)'!$A$4:$A$848,0)),"Localizado por Código ("&amp;A15&amp;") na Base Mestre",IF(ISNUMBER(MATCH(B15,'4. Base Mestre (845 Produtos)'!$B$4:$B$848,0)),"Localizado por Descrição na Base Mestre",IF(ISNUMBER(MATCH(D15,'3. Dicionario Principios Ativos'!$A$4:$A$245,0)),"Produto Novo — Validado pelo Dicionário de P.A.","Não Localizado — Revisar Código/P.A."))))</f>
        <v>Localizado por Código (12) na Base Mestre</v>
      </c>
      <c r="J15" s="15" t="str">
        <f aca="false">IF(B15="","",IF(IF(ISNUMBER(MATCH(A15,'4.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Produtos)'!$I$4:$I$848,IF(ISNUMBER(MATCH(A15,'4. Base Mestre (845 Produtos)'!$A$4:$A$848,0)),MATCH(A15,'4. Base Mestre (845 Produtos)'!$A$4:$A$848,0),IF(ISNUMBER(MATCH(B15,'4. Base Mestre (845 Produtos)'!$B$4:$B$848,0)),MATCH(B15,'4. Base Mestre (845 Produtos)'!$B$4:$B$848,0),0))),IF(ISNUMBER(MATCH(D15,'3. Dicionario Principios Ativos'!$A$4:$A$245,0)),INDEX('3. Dicionario Principios Ativos'!$B$4:$B$245,MATCH(D15,'3. Dicionario Principios Ativos'!$A$4:$A$245,0)),"Revisar Classificação")))</f>
        <v>Defensivos — Inseticida</v>
      </c>
      <c r="K15" s="16" t="n">
        <f aca="false">IF(B15="","",IF(G15&lt;&gt;"",G15,IF(OR(ISNUMBER(SEARCH("PRINCIPIO ATIVO",B15)),ISNUMBER(SEARCH("PRINC. ATIVO",B15)),ISNUMBER(SEARCH("PR. ATIVO",B15)),ISNUMBER(SEARCH("PR.AT.",B15)),ISNUMBER(SEARCH("(P.A",B15)),ISNUMBER(SEARCH("(P. A",B15))),0,IF(OR(ISNUMBER(SEARCH("0,100KG",B15)),ISNUMBER(SEARCH("0,1KG",B15)),ISNUMBER(SEARCH("0,100L",B15))),0.1,IF(OR(ISNUMBER(SEARCH("0,200L",B15)),ISNUMBER(SEARCH("0,2L",B15)),ISNUMBER(SEARCH("0,200KG",B15)),ISNUMBER(SEARCH("0,2KG",B15))),0.2,IF(OR(ISNUMBER(SEARCH("0,240KG",B15)),ISNUMBER(SEARCH("0,250L",B15))),0.24,IF(OR(ISNUMBER(SEARCH("0,300KG",B15)),ISNUMBER(SEARCH("0,3KG",B15))),0.3,IF(OR(ISNUMBER(SEARCH("0,500L",B15)),ISNUMBER(SEARCH("0,5L",B15)),ISNUMBER(SEARCH("0,5KG",B15))),0.5,IF(ISNUMBER(SEARCH("0,8KG",B15)),0.8,IF(OR(ISNUMBER(SEARCH("1,5L",B15)),ISNUMBER(SEARCH("1,5KG",B15))),1.5,IF(OR(ISNUMBER(SEARCH("1,75L",B15)),ISNUMBER(SEARCH("1,8L",B15)),ISNUMBER(SEARCH("1.8L",B15))),1.8,IF(ISNUMBER(SEARCH("4,5KG",B15)),4.5,IF(ISNUMBER(SEARCH("7,5KG",B15)),7.5,IF(OR(ISNUMBER(SEARCH("1000L",B15)),ISNUMBER(SEARCH("1000KG",B15)),ISNUMBER(SEARCH("1.000KG",B15)),ISNUMBER(SEARCH("1.000L",B15)),ISNUMBER(SEARCH("1000 KG",B15)),ISNUMBER(SEARCH("GRANEL",B15)),ISNUMBER(SEARCH("(TON)",B15))),1000,IF(ISNUMBER(SEARCH("200L",B15)),200,IF(OR(ISNUMBER(SEARCH("25KG",B15)),ISNUMBER(SEARCH("25L",B15))),25,IF(OR(ISNUMBER(SEARCH("20L",B15)),ISNUMBER(SEARCH("20KG",B15))),20,IF(ISNUMBER(SEARCH("15KG",B15)),15,IF(OR(ISNUMBER(SEARCH("10L",B15)),ISNUMBER(SEARCH("10KG",B15))),10,IF(OR(ISNUMBER(SEARCH("5L",B15)),ISNUMBER(SEARCH("5KG",B15)),ISNUMBER(SEARCH("5LT",B15))),5,IF(OR(ISNUMBER(SEARCH("3KG",B15)),ISNUMBER(SEARCH("3L",B15))),3,IF(OR(ISNUMBER(SEARCH("2L",B15)),ISNUMBER(SEARCH("2KG",B15))),2,IF(OR(ISNUMBER(SEARCH("1L",B15)),ISNUMBER(SEARCH("1KG",B15)),ISNUMBER(SEARCH("1LT",B15))),1,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Produtos)'!$D$4:$D$848,IF(ISNUMBER(MATCH(A15,'4. Base Mestre (845 Produtos)'!$A$4:$A$848,0)),MATCH(A15,'4. Base Mestre (845 Produtos)'!$A$4:$A$848,0),IF(ISNUMBER(MATCH(B15,'4. Base Mestre (845 Produtos)'!$B$4:$B$848,0)),MATCH(B15,'4. Base Mestre (845 Produtos)'!$B$4:$B$848,0),0))),1))))))))))))))))))))))))</f>
        <v>5</v>
      </c>
      <c r="L15" s="17" t="str">
        <f aca="false">IF(B15="","",IF(OR(ISNUMBER(SEARCH("KG",B15)),ISNUMBER(SEARCH("GR",B15))),"KG",IF(OR(ISNUMBER(SEARCH("0,200L",B15)),ISNUMBER(SEARCH("0,2L",B15)),ISNUMBER(SEARCH("0,5L",B15)),ISNUMBER(SEARCH("1,5L",B15)),ISNUMBER(SEARCH("1,8L",B15)),ISNUMBER(SEARCH("1.8L",B15)),ISNUMBER(SEARCH("1L",B15)),ISNUMBER(SEARCH("2L",B15)),ISNUMBER(SEARCH("3L",B15)),ISNUMBER(SEARCH("5L",B15)),ISNUMBER(SEARCH("10L",B15)),ISNUMBER(SEARCH("20L",B15)),ISNUMBER(SEARCH("25L",B15)),ISNUMBER(SEARCH("200L",B15)),ISNUMBER(SEARCH("1000L",B15)),ISNUMBER(SEARCH("LT",B15))),"L",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Produtos)'!$E$4:$E$848,IF(ISNUMBER(MATCH(A15,'4. Base Mestre (845 Produtos)'!$A$4:$A$848,0)),MATCH(A15,'4. Base Mestre (845 Produtos)'!$A$4:$A$848,0),IF(ISNUMBER(MATCH(B15,'4. Base Mestre (845 Produtos)'!$B$4:$B$848,0)),MATCH(B15,'4. Base Mestre (845 Produtos)'!$B$4:$B$848,0),0))),C15))))</f>
        <v>KG</v>
      </c>
      <c r="M15" s="15" t="str">
        <f aca="false">IF(B15="","",IF(C15=L15,"CONFORME — Unidade ("&amp;C15&amp;") compatível c/ Embalagem","DIVERGENTE — Embalagem em "&amp;L15&amp;", mas cadastrado em "&amp;C15))</f>
        <v>CONFORME — Unidade (KG) compatível c/ Embalagem</v>
      </c>
      <c r="N15" s="15" t="str">
        <f aca="false">IF(B15="","",IF(K15=0,"Granel / Produto Técnico (Sem Embalagem Comercial)",IF(K15&lt;=0.3001,"Faixa 1 TIPI: Até 300g/mL (3808.61.00 / 3105.10.00)",IF(K15&lt;=7.5001,"Faixa 2 TIPI: De 300g a 7,5kg/L (3808.62.90 / 3105.10.00)",IF(K15&lt;=10.0001,"Faixa 3 TIPI: De 7,5kg a 10kg/L (3808.69.90 / 3105.10.00)","Faixa 4 TIPI: Acima de 10kg/L (3808.69.90 / Cap. 31 Geral)")))))</f>
        <v>Faixa 2 TIPI: De 300g a 7,5kg/L (3808.62.90 / 3105.10.00)</v>
      </c>
      <c r="O15" s="18" t="str">
        <f aca="false">IF(B15="","",IF(IF(ISNUMBER(MATCH(A15,'4.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Produtos)'!$H$4:$H$848,IF(ISNUMBER(MATCH(A15,'4. Base Mestre (845 Produtos)'!$A$4:$A$848,0)),MATCH(A15,'4. Base Mestre (845 Produtos)'!$A$4:$A$848,0),IF(ISNUMBER(MATCH(B15,'4. Base Mestre (845 Produtos)'!$B$4:$B$848,0)),MATCH(B15,'4. Base Mestre (845 Produtos)'!$B$4:$B$848,0),0))),IF(ISNUMBER(MATCH(D15,'3. Dicionario Principios Ativos'!$A$4:$A$245,0)),INDEX('3. Dicionario Principios Ativos'!$A$4:$A$245,MATCH(D15,'3. Dicionario Principios Ativos'!$A$4:$A$245,0)),D15)))</f>
        <v>ACEFATO 750</v>
      </c>
      <c r="P15" s="15" t="str">
        <f aca="false">IF(B15="","",IF(D15=O15,"CONFORME — Princípio Ativo Validado","DIVERGENTE — Substituir por: "&amp;O15))</f>
        <v>CONFORME — Princípio Ativo Validado</v>
      </c>
      <c r="Q15" s="19" t="str">
        <f aca="false">IF(B15="","",IF(IF(IF(ISNUMBER(MATCH(A15,'4.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Produtos)'!$J$4:$J$848,IF(ISNUMBER(MATCH(A15,'4. Base Mestre (845 Produtos)'!$A$4:$A$848,0)),MATCH(A15,'4. Base Mestre (845 Produtos)'!$A$4:$A$848,0),IF(ISNUMBER(MATCH(B15,'4. Base Mestre (845 Produtos)'!$B$4:$B$848,0)),MATCH(B15,'4. Base Mestre (845 Produtos)'!$B$4:$B$848,0),0)))="SIM",IF(ISNUMBER(MATCH(D15,'3. Dicionario Principios Ativos'!$A$4:$A$245,0)),INDEX('3. Dicionario Principios Ativos'!$C$4:$C$245,MATCH(D15,'3. Dicionario Principios Ativos'!$A$4:$A$245,0))="SIM",FALSE())),IF(AND(K15&gt;0,K15&lt;=0.3001),"3808.61.00",IF(AND(K15&gt;0.3001,K15&lt;=7.5001),"3808.62.90","3808.69.90")),IF(AND(LEFT(IF(IF(ISNUMBER(MATCH(A15,'4.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Produtos)'!$L$4:$L$848,IF(ISNUMBER(MATCH(A15,'4. Base Mestre (845 Produtos)'!$A$4:$A$848,0)),MATCH(A15,'4. Base Mestre (845 Produtos)'!$A$4:$A$848,0),IF(ISNUMBER(MATCH(B15,'4. Base Mestre (845 Produtos)'!$B$4:$B$848,0)),MATCH(B15,'4. Base Mestre (845 Produtos)'!$B$4:$B$848,0),0))),IF(ISNUMBER(MATCH(D15,'3. Dicionario Principios Ativos'!$A$4:$A$245,0)),INDEX('3. Dicionario Principios Ativos'!$D$4:$D$245,MATCH(D15,'3. Dicionario Principios Ativos'!$A$4:$A$245,0)),E15)),2)="31",E15="3105.10.00",K15&gt;0,K15&lt;=10.0001),"3105.10.00",IF(AND(IF(IF(ISNUMBER(MATCH(A15,'4.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Produtos)'!$L$4:$L$848,IF(ISNUMBER(MATCH(A15,'4. Base Mestre (845 Produtos)'!$A$4:$A$848,0)),MATCH(A15,'4. Base Mestre (845 Produtos)'!$A$4:$A$848,0),IF(ISNUMBER(MATCH(B15,'4. Base Mestre (845 Produtos)'!$B$4:$B$848,0)),MATCH(B15,'4. Base Mestre (845 Produtos)'!$B$4:$B$848,0),0))),IF(ISNUMBER(MATCH(D15,'3. Dicionario Principios Ativos'!$A$4:$A$245,0)),INDEX('3. Dicionario Principios Ativos'!$D$4:$D$245,MATCH(D15,'3. Dicionario Principios Ativos'!$A$4:$A$245,0)),E15))="3105.10.00",K15&gt;10.0001),"3105.90.90",IF(IF(ISNUMBER(MATCH(A15,'4.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Produtos)'!$L$4:$L$848,IF(ISNUMBER(MATCH(A15,'4. Base Mestre (845 Produtos)'!$A$4:$A$848,0)),MATCH(A15,'4. Base Mestre (845 Produtos)'!$A$4:$A$848,0),IF(ISNUMBER(MATCH(B15,'4. Base Mestre (845 Produtos)'!$B$4:$B$848,0)),MATCH(B15,'4. Base Mestre (845 Produtos)'!$B$4:$B$848,0),0))),IF(ISNUMBER(MATCH(D15,'3. Dicionario Principios Ativos'!$A$4:$A$245,0)),INDEX('3. Dicionario Principios Ativos'!$D$4:$D$245,MATCH(D15,'3. Dicionario Principios Ativos'!$A$4:$A$245,0)),E15))))))</f>
        <v>3808.91.91</v>
      </c>
      <c r="R15" s="15" t="str">
        <f aca="false">IF(B15="","",IF(OR(E15=Q15,AND(Q15="3002.49.99",E15="3002.90.00")),"CONFORME — NCM "&amp;E15&amp;" Correta na TIPI","DIVERGENTE — Substituir "&amp;E15&amp;" por "&amp;Q15))</f>
        <v>CONFORME — NCM 3808.91.91 Correta na TIPI</v>
      </c>
      <c r="S15" s="15" t="str">
        <f aca="false">IF(B15="","",IF(AND(E15="3808.61.00",OR(K15&gt;0.3001,K15=0)),"INCOMPATÍVEL — NCM 3808.61.00 exige emb. &lt;= 0,3kg/L (Emb. atual: "&amp;K15&amp;" "&amp;L15&amp;" -&gt; usar "&amp;Q15&amp;")",IF(AND(LEFT(E15,7)="3808.62",OR(K15&lt;=0.3001,K15&gt;7.5001)),"INCOMPATÍVEL — NCM 3808.62 exige emb. de 0,3 a 7,5kg/L (Emb. atual: "&amp;K15&amp;" "&amp;L15&amp;" -&gt; usar "&amp;Q15&amp;")",IF(AND(LEFT(E15,7)="3808.69",K15&gt;0,K15&lt;=7.5001),"INCOMPATÍVEL — NCM 3808.69 exige emb. &gt; 7,5kg/L (Emb. atual: "&amp;K15&amp;" "&amp;L15&amp;" -&gt; usar "&amp;Q15&amp;")",IF(AND(LEFT(Q15,6)="3808.6",LEFT(E15,6)&lt;&gt;"3808.6"),"INCOMPATÍVEL — Molécula Nota Subpos. 2 c/ emb. "&amp;K15&amp;" "&amp;L15&amp;" exige NCM "&amp;Q15,IF(AND(OR(E15="3808.91.19",E15="3808.92.19",E15="3808.93.19",E15="3808.99.19"),K15&gt;=1),"INCOMPATÍVEL — Subitem .19 (Domissanitário) vedado p/ emb. agrícola de "&amp;K15&amp;" "&amp;L15,IF(AND(E15="3105.10.00",K15&gt;10.0001),"INCOMPATÍVEL — NCM 3105.10.00 exige peso bruto &lt;= 10kg (Emb. atual: "&amp;K15&amp;" "&amp;L15&amp;" -&gt; usar 3105.90.90)",IF(AND(LEFT(E15,2)="29",LEFT(Q15,4)="3808",K15&gt;0),"INCOMPATÍVEL — Produto formulado em emb. comercial ("&amp;K15&amp;" "&amp;L15&amp;") vedado no Cap. 29 -&gt; usar "&amp;Q15,"CONFORME — Embalagem ("&amp;K15&amp;" "&amp;L15&amp;") compatível c/ a NCM"))))))))</f>
        <v>CONFORME — Embalagem (5 KG) compatível c/ a NCM</v>
      </c>
      <c r="T15" s="19" t="n">
        <f aca="false">IF(B15="","",IF(IF(ISNUMBER(MATCH(A15,'4.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Produtos)'!$P$4:$P$848,IF(ISNUMBER(MATCH(A15,'4. Base Mestre (845 Produtos)'!$A$4:$A$848,0)),MATCH(A15,'4. Base Mestre (845 Produtos)'!$A$4:$A$848,0),IF(ISNUMBER(MATCH(B15,'4. Base Mestre (845 Produtos)'!$B$4:$B$848,0)),MATCH(B15,'4. Base Mestre (845 Produtos)'!$B$4:$B$848,0),0))),IF(ISNUMBER(MATCH(D15,'3. Dicionario Principios Ativos'!$A$4:$A$245,0)),INDEX('3. Dicionario Principios Ativos'!$K$4:$K$245,MATCH(D15,'3. Dicionario Principios Ativos'!$A$4:$A$245,0)),"VERIFICAR BULA")))</f>
        <v>1378704</v>
      </c>
      <c r="U15" s="15" t="str">
        <f aca="false">IF(B15="","",IF(ISNUMBER(SEARCH("ISENTO",T15)),IF(OR(F15=0,F15="0",F15="ISENTO",F15=""),"CONFORME (DISPENSADO) — Isento pelo Ato SDA/MAPA nº 104/2017","INCORRETO — Produto isento de registro MAPA (usar 0 ou ISENTO)"),IF(ISNUMBER(SEARCH("SIPEAGRO",T15)),IF(ISNUMBER(SEARCH("-",F15)),"CONFORME — Registro SIPEAGRO ("&amp;F15&amp;") Preenchido","ADEQUAR P/ SIPEAGRO — Substituir 0 pelo Registro (UF-XXXXX-XXXXX.X)"),IF(ISNUMBER(SEARCH("VINCULAR",T15)),IF(AND(F15&lt;&gt;0,F15&lt;&gt;"0",F15&lt;&gt;""),"INCORRETO / TROCADO — Código "&amp;F15&amp;" pertence a outro produto (Vincular bula da marca)","VINCULAR MARCA — Cadastro de P.A. s/ marca fixa (Vincular registro na NF-e)"),IF(OR(F15=0,F15="0",F15=""),"AUSENTE (ZERO) — Preencher Registro Oficial MAPA nº "&amp;T15,IF(TEXT(F15,"0")=TEXT(T15,"0"),"CONFORME — Registro MAPA nº "&amp;T15&amp;" Validado na Bula","INCORRETO / TROCADO — Substituir "&amp;F15&amp;" pelo Registro Oficial nº "&amp;T15))))))</f>
        <v>CONFORME — Registro MAPA nº 1378704 Validado na Bula</v>
      </c>
      <c r="V15" s="15" t="str">
        <f aca="false">IF(B15="","",IF(IF(ISNUMBER(MATCH(A15,'4.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Produtos)'!$S$4:$S$848,IF(ISNUMBER(MATCH(A15,'4. Base Mestre (845 Produtos)'!$A$4:$A$848,0)),MATCH(A15,'4. Base Mestre (845 Produtos)'!$A$4:$A$848,0),IF(ISNUMBER(MATCH(B15,'4. Base Mestre (845 Produtos)'!$B$4:$B$848,0)),MATCH(B15,'4. Base Mestre (845 Produtos)'!$B$4:$B$848,0),0))),IF(ISNUMBER(MATCH(D15,'3. Dicionario Principios Ativos'!$A$4:$A$245,0)),INDEX('3. Dicionario Principios Ativos'!$L$4:$L$245,MATCH(D15,'3. Dicionario Principios Ativos'!$A$4:$A$245,0)),"Verificar NCM")))</f>
        <v>Beneficiado (Lei 10.925/04): 0% até Mar/26 | 0,925% Real / 0,365% Pres. pós-Abr/26 (LC 224/25)</v>
      </c>
      <c r="W15" s="15" t="str">
        <f aca="false">IF(B15="","",IF(IF(ISNUMBER(MATCH(A15,'4. Base Mestre (845 Produtos)'!$A$4:$A$848,0)),MATCH(A15,'4. Base Mestre (845 Produtos)'!$A$4:$A$848,0),IF(ISNUMBER(MATCH(B15,'4. Base Mestre (845 Produtos)'!$B$4:$B$848,0)),MATCH(B15,'4. Base Mestre (845 Produtos)'!$B$4:$B$848,0),0))&gt;0,INDEX('4. Base Mestre (845 Produtos)'!$T$4:$T$848,IF(ISNUMBER(MATCH(A15,'4. Base Mestre (845 Produtos)'!$A$4:$A$848,0)),MATCH(A15,'4. Base Mestre (845 Produtos)'!$A$4:$A$848,0),IF(ISNUMBER(MATCH(B15,'4. Base Mestre (845 Produtos)'!$B$4:$B$848,0)),MATCH(B15,'4. Base Mestre (845 Produtos)'!$B$4:$B$848,0),0))),IF(ISNUMBER(MATCH(D15,'3. Dicionario Principios Ativos'!$A$4:$A$245,0)),INDEX('3. Dicionario Principios Ativos'!$M$4:$M$245,MATCH(D15,'3. Dicionario Principios Ativos'!$A$4:$A$245,0)),"Verificar CST")))</f>
        <v>Saída: CST 06 (c/ Ajuste M220/M620 pós-Abr/26) | Entrada Revenda: CST 73</v>
      </c>
      <c r="X15" s="18" t="str">
        <f aca="false">IF(B15="","",IF(AND(LEFT(M15,8)="CONFORME",LEFT(P15,8)="CONFORME",LEFT(R15,8)="CONFORME",LEFT(S15,8)="CONFORME",LEFT(U15,8)="CONFORME"),"CADASTRO 100% CONFORME — LIBERADO P/ ERP",IF(AND(LEFT(M15,8)="CONFORME",LEFT(P15,8)="CONFORME",LEFT(R15,8)="CONFORME",LEFT(S15,8)="CONFORME",OR(LEFT(U15,7)="ADEQUAR",LEFT(U15,8)="VINCULAR")),"FISCAL E EMBALAGEM OK — ADEQUAR CAMPO MAPA (SIPEAGRO / MARCA)","BLOQUEADO — CORRIGIR DIVERGÊNCIAS APONTADAS ANTES DE LIBERAR NO ERP")))</f>
        <v>CADASTRO 100% CONFORME — LIBERADO P/ ERP</v>
      </c>
    </row>
    <row r="16" customFormat="false" ht="21.75" hidden="false" customHeight="true" outlineLevel="0" collapsed="false">
      <c r="A16" s="10" t="n">
        <v>469</v>
      </c>
      <c r="B16" s="11" t="s">
        <v>67</v>
      </c>
      <c r="C16" s="12" t="s">
        <v>39</v>
      </c>
      <c r="D16" s="13" t="s">
        <v>44</v>
      </c>
      <c r="E16" s="12" t="s">
        <v>51</v>
      </c>
      <c r="F16" s="12" t="n">
        <v>2020</v>
      </c>
      <c r="G16" s="14"/>
      <c r="H16" s="13" t="s">
        <v>68</v>
      </c>
      <c r="I16" s="20" t="str">
        <f aca="false">IF(B16="","",IF(ISNUMBER(MATCH(A16,'4. Base Mestre (845 Produtos)'!$A$4:$A$848,0)),"Localizado por Código ("&amp;A16&amp;") na Base Mestre",IF(ISNUMBER(MATCH(B16,'4. Base Mestre (845 Produtos)'!$B$4:$B$848,0)),"Localizado por Descrição na Base Mestre",IF(ISNUMBER(MATCH(D16,'3. Dicionario Principios Ativos'!$A$4:$A$245,0)),"Produto Novo — Validado pelo Dicionário de P.A.","Não Localizado — Revisar Código/P.A."))))</f>
        <v>Localizado por Código (469) na Base Mestre</v>
      </c>
      <c r="J16" s="20" t="str">
        <f aca="false">IF(B16="","",IF(IF(ISNUMBER(MATCH(A16,'4.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Produtos)'!$I$4:$I$848,IF(ISNUMBER(MATCH(A16,'4. Base Mestre (845 Produtos)'!$A$4:$A$848,0)),MATCH(A16,'4. Base Mestre (845 Produtos)'!$A$4:$A$848,0),IF(ISNUMBER(MATCH(B16,'4. Base Mestre (845 Produtos)'!$B$4:$B$848,0)),MATCH(B16,'4. Base Mestre (845 Produtos)'!$B$4:$B$848,0),0))),IF(ISNUMBER(MATCH(D16,'3. Dicionario Principios Ativos'!$A$4:$A$245,0)),INDEX('3. Dicionario Principios Ativos'!$B$4:$B$245,MATCH(D16,'3. Dicionario Principios Ativos'!$A$4:$A$245,0)),"Revisar Classificação")))</f>
        <v>Defensivos — Inseticida</v>
      </c>
      <c r="K16" s="21" t="n">
        <f aca="false">IF(B16="","",IF(G16&lt;&gt;"",G16,IF(OR(ISNUMBER(SEARCH("PRINCIPIO ATIVO",B16)),ISNUMBER(SEARCH("PRINC. ATIVO",B16)),ISNUMBER(SEARCH("PR. ATIVO",B16)),ISNUMBER(SEARCH("PR.AT.",B16)),ISNUMBER(SEARCH("(P.A",B16)),ISNUMBER(SEARCH("(P. A",B16))),0,IF(OR(ISNUMBER(SEARCH("0,100KG",B16)),ISNUMBER(SEARCH("0,1KG",B16)),ISNUMBER(SEARCH("0,100L",B16))),0.1,IF(OR(ISNUMBER(SEARCH("0,200L",B16)),ISNUMBER(SEARCH("0,2L",B16)),ISNUMBER(SEARCH("0,200KG",B16)),ISNUMBER(SEARCH("0,2KG",B16))),0.2,IF(OR(ISNUMBER(SEARCH("0,240KG",B16)),ISNUMBER(SEARCH("0,250L",B16))),0.24,IF(OR(ISNUMBER(SEARCH("0,300KG",B16)),ISNUMBER(SEARCH("0,3KG",B16))),0.3,IF(OR(ISNUMBER(SEARCH("0,500L",B16)),ISNUMBER(SEARCH("0,5L",B16)),ISNUMBER(SEARCH("0,5KG",B16))),0.5,IF(ISNUMBER(SEARCH("0,8KG",B16)),0.8,IF(OR(ISNUMBER(SEARCH("1,5L",B16)),ISNUMBER(SEARCH("1,5KG",B16))),1.5,IF(OR(ISNUMBER(SEARCH("1,75L",B16)),ISNUMBER(SEARCH("1,8L",B16)),ISNUMBER(SEARCH("1.8L",B16))),1.8,IF(ISNUMBER(SEARCH("4,5KG",B16)),4.5,IF(ISNUMBER(SEARCH("7,5KG",B16)),7.5,IF(OR(ISNUMBER(SEARCH("1000L",B16)),ISNUMBER(SEARCH("1000KG",B16)),ISNUMBER(SEARCH("1.000KG",B16)),ISNUMBER(SEARCH("1.000L",B16)),ISNUMBER(SEARCH("1000 KG",B16)),ISNUMBER(SEARCH("GRANEL",B16)),ISNUMBER(SEARCH("(TON)",B16))),1000,IF(ISNUMBER(SEARCH("200L",B16)),200,IF(OR(ISNUMBER(SEARCH("25KG",B16)),ISNUMBER(SEARCH("25L",B16))),25,IF(OR(ISNUMBER(SEARCH("20L",B16)),ISNUMBER(SEARCH("20KG",B16))),20,IF(ISNUMBER(SEARCH("15KG",B16)),15,IF(OR(ISNUMBER(SEARCH("10L",B16)),ISNUMBER(SEARCH("10KG",B16))),10,IF(OR(ISNUMBER(SEARCH("5L",B16)),ISNUMBER(SEARCH("5KG",B16)),ISNUMBER(SEARCH("5LT",B16))),5,IF(OR(ISNUMBER(SEARCH("3KG",B16)),ISNUMBER(SEARCH("3L",B16))),3,IF(OR(ISNUMBER(SEARCH("2L",B16)),ISNUMBER(SEARCH("2KG",B16))),2,IF(OR(ISNUMBER(SEARCH("1L",B16)),ISNUMBER(SEARCH("1KG",B16)),ISNUMBER(SEARCH("1LT",B16))),1,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Produtos)'!$D$4:$D$848,IF(ISNUMBER(MATCH(A16,'4. Base Mestre (845 Produtos)'!$A$4:$A$848,0)),MATCH(A16,'4. Base Mestre (845 Produtos)'!$A$4:$A$848,0),IF(ISNUMBER(MATCH(B16,'4. Base Mestre (845 Produtos)'!$B$4:$B$848,0)),MATCH(B16,'4. Base Mestre (845 Produtos)'!$B$4:$B$848,0),0))),1))))))))))))))))))))))))</f>
        <v>5</v>
      </c>
      <c r="L16" s="22" t="str">
        <f aca="false">IF(B16="","",IF(OR(ISNUMBER(SEARCH("KG",B16)),ISNUMBER(SEARCH("GR",B16))),"KG",IF(OR(ISNUMBER(SEARCH("0,200L",B16)),ISNUMBER(SEARCH("0,2L",B16)),ISNUMBER(SEARCH("0,5L",B16)),ISNUMBER(SEARCH("1,5L",B16)),ISNUMBER(SEARCH("1,8L",B16)),ISNUMBER(SEARCH("1.8L",B16)),ISNUMBER(SEARCH("1L",B16)),ISNUMBER(SEARCH("2L",B16)),ISNUMBER(SEARCH("3L",B16)),ISNUMBER(SEARCH("5L",B16)),ISNUMBER(SEARCH("10L",B16)),ISNUMBER(SEARCH("20L",B16)),ISNUMBER(SEARCH("25L",B16)),ISNUMBER(SEARCH("200L",B16)),ISNUMBER(SEARCH("1000L",B16)),ISNUMBER(SEARCH("LT",B16))),"L",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Produtos)'!$E$4:$E$848,IF(ISNUMBER(MATCH(A16,'4. Base Mestre (845 Produtos)'!$A$4:$A$848,0)),MATCH(A16,'4. Base Mestre (845 Produtos)'!$A$4:$A$848,0),IF(ISNUMBER(MATCH(B16,'4. Base Mestre (845 Produtos)'!$B$4:$B$848,0)),MATCH(B16,'4. Base Mestre (845 Produtos)'!$B$4:$B$848,0),0))),C16))))</f>
        <v>L</v>
      </c>
      <c r="M16" s="20" t="str">
        <f aca="false">IF(B16="","",IF(C16=L16,"CONFORME — Unidade ("&amp;C16&amp;") compatível c/ Embalagem","DIVERGENTE — Embalagem em "&amp;L16&amp;", mas cadastrado em "&amp;C16))</f>
        <v>CONFORME — Unidade (L) compatível c/ Embalagem</v>
      </c>
      <c r="N16" s="20" t="str">
        <f aca="false">IF(B16="","",IF(K16=0,"Granel / Produto Técnico (Sem Embalagem Comercial)",IF(K16&lt;=0.3001,"Faixa 1 TIPI: Até 300g/mL (3808.61.00 / 3105.10.00)",IF(K16&lt;=7.5001,"Faixa 2 TIPI: De 300g a 7,5kg/L (3808.62.90 / 3105.10.00)",IF(K16&lt;=10.0001,"Faixa 3 TIPI: De 7,5kg a 10kg/L (3808.69.90 / 3105.10.00)","Faixa 4 TIPI: Acima de 10kg/L (3808.69.90 / Cap. 31 Geral)")))))</f>
        <v>Faixa 2 TIPI: De 300g a 7,5kg/L (3808.62.90 / 3105.10.00)</v>
      </c>
      <c r="O16" s="23" t="str">
        <f aca="false">IF(B16="","",IF(IF(ISNUMBER(MATCH(A16,'4.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Produtos)'!$H$4:$H$848,IF(ISNUMBER(MATCH(A16,'4. Base Mestre (845 Produtos)'!$A$4:$A$848,0)),MATCH(A16,'4. Base Mestre (845 Produtos)'!$A$4:$A$848,0),IF(ISNUMBER(MATCH(B16,'4. Base Mestre (845 Produtos)'!$B$4:$B$848,0)),MATCH(B16,'4. Base Mestre (845 Produtos)'!$B$4:$B$848,0),0))),IF(ISNUMBER(MATCH(D16,'3. Dicionario Principios Ativos'!$A$4:$A$245,0)),INDEX('3. Dicionario Principios Ativos'!$A$4:$A$245,MATCH(D16,'3. Dicionario Principios Ativos'!$A$4:$A$245,0)),D16)))</f>
        <v>LAMBDA-CIALOTRINA 250</v>
      </c>
      <c r="P16" s="20" t="str">
        <f aca="false">IF(B16="","",IF(D16=O16,"CONFORME — Princípio Ativo Validado","DIVERGENTE — Substituir por: "&amp;O16))</f>
        <v>CONFORME — Princípio Ativo Validado</v>
      </c>
      <c r="Q16" s="24" t="str">
        <f aca="false">IF(B16="","",IF(IF(IF(ISNUMBER(MATCH(A16,'4.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Produtos)'!$J$4:$J$848,IF(ISNUMBER(MATCH(A16,'4. Base Mestre (845 Produtos)'!$A$4:$A$848,0)),MATCH(A16,'4. Base Mestre (845 Produtos)'!$A$4:$A$848,0),IF(ISNUMBER(MATCH(B16,'4. Base Mestre (845 Produtos)'!$B$4:$B$848,0)),MATCH(B16,'4. Base Mestre (845 Produtos)'!$B$4:$B$848,0),0)))="SIM",IF(ISNUMBER(MATCH(D16,'3. Dicionario Principios Ativos'!$A$4:$A$245,0)),INDEX('3. Dicionario Principios Ativos'!$C$4:$C$245,MATCH(D16,'3. Dicionario Principios Ativos'!$A$4:$A$245,0))="SIM",FALSE())),IF(AND(K16&gt;0,K16&lt;=0.3001),"3808.61.00",IF(AND(K16&gt;0.3001,K16&lt;=7.5001),"3808.62.90","3808.69.90")),IF(AND(LEFT(IF(IF(ISNUMBER(MATCH(A16,'4.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Produtos)'!$L$4:$L$848,IF(ISNUMBER(MATCH(A16,'4. Base Mestre (845 Produtos)'!$A$4:$A$848,0)),MATCH(A16,'4. Base Mestre (845 Produtos)'!$A$4:$A$848,0),IF(ISNUMBER(MATCH(B16,'4. Base Mestre (845 Produtos)'!$B$4:$B$848,0)),MATCH(B16,'4. Base Mestre (845 Produtos)'!$B$4:$B$848,0),0))),IF(ISNUMBER(MATCH(D16,'3. Dicionario Principios Ativos'!$A$4:$A$245,0)),INDEX('3. Dicionario Principios Ativos'!$D$4:$D$245,MATCH(D16,'3. Dicionario Principios Ativos'!$A$4:$A$245,0)),E16)),2)="31",E16="3105.10.00",K16&gt;0,K16&lt;=10.0001),"3105.10.00",IF(AND(IF(IF(ISNUMBER(MATCH(A16,'4.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Produtos)'!$L$4:$L$848,IF(ISNUMBER(MATCH(A16,'4. Base Mestre (845 Produtos)'!$A$4:$A$848,0)),MATCH(A16,'4. Base Mestre (845 Produtos)'!$A$4:$A$848,0),IF(ISNUMBER(MATCH(B16,'4. Base Mestre (845 Produtos)'!$B$4:$B$848,0)),MATCH(B16,'4. Base Mestre (845 Produtos)'!$B$4:$B$848,0),0))),IF(ISNUMBER(MATCH(D16,'3. Dicionario Principios Ativos'!$A$4:$A$245,0)),INDEX('3. Dicionario Principios Ativos'!$D$4:$D$245,MATCH(D16,'3. Dicionario Principios Ativos'!$A$4:$A$245,0)),E16))="3105.10.00",K16&gt;10.0001),"3105.90.90",IF(IF(ISNUMBER(MATCH(A16,'4.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Produtos)'!$L$4:$L$848,IF(ISNUMBER(MATCH(A16,'4. Base Mestre (845 Produtos)'!$A$4:$A$848,0)),MATCH(A16,'4. Base Mestre (845 Produtos)'!$A$4:$A$848,0),IF(ISNUMBER(MATCH(B16,'4. Base Mestre (845 Produtos)'!$B$4:$B$848,0)),MATCH(B16,'4. Base Mestre (845 Produtos)'!$B$4:$B$848,0),0))),IF(ISNUMBER(MATCH(D16,'3. Dicionario Principios Ativos'!$A$4:$A$245,0)),INDEX('3. Dicionario Principios Ativos'!$D$4:$D$245,MATCH(D16,'3. Dicionario Principios Ativos'!$A$4:$A$245,0)),E16))))))</f>
        <v>3808.62.90</v>
      </c>
      <c r="R16" s="20" t="str">
        <f aca="false">IF(B16="","",IF(OR(E16=Q16,AND(Q16="3002.49.99",E16="3002.90.00")),"CONFORME — NCM "&amp;E16&amp;" Correta na TIPI","DIVERGENTE — Substituir "&amp;E16&amp;" por "&amp;Q16))</f>
        <v>DIVERGENTE — Substituir 3808.69.90 por 3808.62.90</v>
      </c>
      <c r="S16" s="20" t="str">
        <f aca="false">IF(B16="","",IF(AND(E16="3808.61.00",OR(K16&gt;0.3001,K16=0)),"INCOMPATÍVEL — NCM 3808.61.00 exige emb. &lt;= 0,3kg/L (Emb. atual: "&amp;K16&amp;" "&amp;L16&amp;" -&gt; usar "&amp;Q16&amp;")",IF(AND(LEFT(E16,7)="3808.62",OR(K16&lt;=0.3001,K16&gt;7.5001)),"INCOMPATÍVEL — NCM 3808.62 exige emb. de 0,3 a 7,5kg/L (Emb. atual: "&amp;K16&amp;" "&amp;L16&amp;" -&gt; usar "&amp;Q16&amp;")",IF(AND(LEFT(E16,7)="3808.69",K16&gt;0,K16&lt;=7.5001),"INCOMPATÍVEL — NCM 3808.69 exige emb. &gt; 7,5kg/L (Emb. atual: "&amp;K16&amp;" "&amp;L16&amp;" -&gt; usar "&amp;Q16&amp;")",IF(AND(LEFT(Q16,6)="3808.6",LEFT(E16,6)&lt;&gt;"3808.6"),"INCOMPATÍVEL — Molécula Nota Subpos. 2 c/ emb. "&amp;K16&amp;" "&amp;L16&amp;" exige NCM "&amp;Q16,IF(AND(OR(E16="3808.91.19",E16="3808.92.19",E16="3808.93.19",E16="3808.99.19"),K16&gt;=1),"INCOMPATÍVEL — Subitem .19 (Domissanitário) vedado p/ emb. agrícola de "&amp;K16&amp;" "&amp;L16,IF(AND(E16="3105.10.00",K16&gt;10.0001),"INCOMPATÍVEL — NCM 3105.10.00 exige peso bruto &lt;= 10kg (Emb. atual: "&amp;K16&amp;" "&amp;L16&amp;" -&gt; usar 3105.90.90)",IF(AND(LEFT(E16,2)="29",LEFT(Q16,4)="3808",K16&gt;0),"INCOMPATÍVEL — Produto formulado em emb. comercial ("&amp;K16&amp;" "&amp;L16&amp;") vedado no Cap. 29 -&gt; usar "&amp;Q16,"CONFORME — Embalagem ("&amp;K16&amp;" "&amp;L16&amp;") compatível c/ a NCM"))))))))</f>
        <v>INCOMPATÍVEL — NCM 3808.69 exige emb. &gt; 7,5kg/L (Emb. atual: 5 L -&gt; usar 3808.62.90)</v>
      </c>
      <c r="T16" s="24" t="n">
        <f aca="false">IF(B16="","",IF(IF(ISNUMBER(MATCH(A16,'4.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Produtos)'!$P$4:$P$848,IF(ISNUMBER(MATCH(A16,'4. Base Mestre (845 Produtos)'!$A$4:$A$848,0)),MATCH(A16,'4. Base Mestre (845 Produtos)'!$A$4:$A$848,0),IF(ISNUMBER(MATCH(B16,'4. Base Mestre (845 Produtos)'!$B$4:$B$848,0)),MATCH(B16,'4. Base Mestre (845 Produtos)'!$B$4:$B$848,0),0))),IF(ISNUMBER(MATCH(D16,'3. Dicionario Principios Ativos'!$A$4:$A$245,0)),INDEX('3. Dicionario Principios Ativos'!$K$4:$K$245,MATCH(D16,'3. Dicionario Principios Ativos'!$A$4:$A$245,0)),"VERIFICAR BULA")))</f>
        <v>2020</v>
      </c>
      <c r="U16" s="20" t="str">
        <f aca="false">IF(B16="","",IF(ISNUMBER(SEARCH("ISENTO",T16)),IF(OR(F16=0,F16="0",F16="ISENTO",F16=""),"CONFORME (DISPENSADO) — Isento pelo Ato SDA/MAPA nº 104/2017","INCORRETO — Produto isento de registro MAPA (usar 0 ou ISENTO)"),IF(ISNUMBER(SEARCH("SIPEAGRO",T16)),IF(ISNUMBER(SEARCH("-",F16)),"CONFORME — Registro SIPEAGRO ("&amp;F16&amp;") Preenchido","ADEQUAR P/ SIPEAGRO — Substituir 0 pelo Registro (UF-XXXXX-XXXXX.X)"),IF(ISNUMBER(SEARCH("VINCULAR",T16)),IF(AND(F16&lt;&gt;0,F16&lt;&gt;"0",F16&lt;&gt;""),"INCORRETO / TROCADO — Código "&amp;F16&amp;" pertence a outro produto (Vincular bula da marca)","VINCULAR MARCA — Cadastro de P.A. s/ marca fixa (Vincular registro na NF-e)"),IF(OR(F16=0,F16="0",F16=""),"AUSENTE (ZERO) — Preencher Registro Oficial MAPA nº "&amp;T16,IF(TEXT(F16,"0")=TEXT(T16,"0"),"CONFORME — Registro MAPA nº "&amp;T16&amp;" Validado na Bula","INCORRETO / TROCADO — Substituir "&amp;F16&amp;" pelo Registro Oficial nº "&amp;T16))))))</f>
        <v>CONFORME — Registro MAPA nº 2020 Validado na Bula</v>
      </c>
      <c r="V16" s="20" t="str">
        <f aca="false">IF(B16="","",IF(IF(ISNUMBER(MATCH(A16,'4.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Produtos)'!$S$4:$S$848,IF(ISNUMBER(MATCH(A16,'4. Base Mestre (845 Produtos)'!$A$4:$A$848,0)),MATCH(A16,'4. Base Mestre (845 Produtos)'!$A$4:$A$848,0),IF(ISNUMBER(MATCH(B16,'4. Base Mestre (845 Produtos)'!$B$4:$B$848,0)),MATCH(B16,'4. Base Mestre (845 Produtos)'!$B$4:$B$848,0),0))),IF(ISNUMBER(MATCH(D16,'3. Dicionario Principios Ativos'!$A$4:$A$245,0)),INDEX('3. Dicionario Principios Ativos'!$L$4:$L$245,MATCH(D16,'3. Dicionario Principios Ativos'!$A$4:$A$245,0)),"Verificar NCM")))</f>
        <v>Beneficiado (Lei 10.925/04): 0% até Mar/26 | 0,925% Real / 0,365% Pres. pós-Abr/26 (LC 224/25)</v>
      </c>
      <c r="W16" s="20" t="str">
        <f aca="false">IF(B16="","",IF(IF(ISNUMBER(MATCH(A16,'4. Base Mestre (845 Produtos)'!$A$4:$A$848,0)),MATCH(A16,'4. Base Mestre (845 Produtos)'!$A$4:$A$848,0),IF(ISNUMBER(MATCH(B16,'4. Base Mestre (845 Produtos)'!$B$4:$B$848,0)),MATCH(B16,'4. Base Mestre (845 Produtos)'!$B$4:$B$848,0),0))&gt;0,INDEX('4. Base Mestre (845 Produtos)'!$T$4:$T$848,IF(ISNUMBER(MATCH(A16,'4. Base Mestre (845 Produtos)'!$A$4:$A$848,0)),MATCH(A16,'4. Base Mestre (845 Produtos)'!$A$4:$A$848,0),IF(ISNUMBER(MATCH(B16,'4. Base Mestre (845 Produtos)'!$B$4:$B$848,0)),MATCH(B16,'4. Base Mestre (845 Produtos)'!$B$4:$B$848,0),0))),IF(ISNUMBER(MATCH(D16,'3. Dicionario Principios Ativos'!$A$4:$A$245,0)),INDEX('3. Dicionario Principios Ativos'!$M$4:$M$245,MATCH(D16,'3. Dicionario Principios Ativos'!$A$4:$A$245,0)),"Verificar CST")))</f>
        <v>Saída: CST 06 (c/ Ajuste M220/M620 pós-Abr/26) | Entrada Revenda: CST 73</v>
      </c>
      <c r="X16" s="23" t="str">
        <f aca="false">IF(B16="","",IF(AND(LEFT(M16,8)="CONFORME",LEFT(P16,8)="CONFORME",LEFT(R16,8)="CONFORME",LEFT(S16,8)="CONFORME",LEFT(U16,8)="CONFORME"),"CADASTRO 100% CONFORME — LIBERADO P/ ERP",IF(AND(LEFT(M16,8)="CONFORME",LEFT(P16,8)="CONFORME",LEFT(R16,8)="CONFORME",LEFT(S16,8)="CONFORME",OR(LEFT(U16,7)="ADEQUAR",LEFT(U16,8)="VINCULAR")),"FISCAL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17" customFormat="false" ht="21.75" hidden="false" customHeight="true" outlineLevel="0" collapsed="false">
      <c r="A17" s="10" t="n">
        <v>3068</v>
      </c>
      <c r="B17" s="11" t="s">
        <v>69</v>
      </c>
      <c r="C17" s="12" t="s">
        <v>39</v>
      </c>
      <c r="D17" s="13" t="s">
        <v>70</v>
      </c>
      <c r="E17" s="12" t="s">
        <v>48</v>
      </c>
      <c r="F17" s="12" t="n">
        <v>6922</v>
      </c>
      <c r="G17" s="14"/>
      <c r="H17" s="13" t="s">
        <v>71</v>
      </c>
      <c r="I17" s="15" t="str">
        <f aca="false">IF(B17="","",IF(ISNUMBER(MATCH(A17,'4. Base Mestre (845 Produtos)'!$A$4:$A$848,0)),"Localizado por Código ("&amp;A17&amp;") na Base Mestre",IF(ISNUMBER(MATCH(B17,'4. Base Mestre (845 Produtos)'!$B$4:$B$848,0)),"Localizado por Descrição na Base Mestre",IF(ISNUMBER(MATCH(D17,'3. Dicionario Principios Ativos'!$A$4:$A$245,0)),"Produto Novo — Validado pelo Dicionário de P.A.","Não Localizado — Revisar Código/P.A."))))</f>
        <v>Localizado por Código (3068) na Base Mestre</v>
      </c>
      <c r="J17" s="15" t="str">
        <f aca="false">IF(B17="","",IF(IF(ISNUMBER(MATCH(A17,'4.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Produtos)'!$I$4:$I$848,IF(ISNUMBER(MATCH(A17,'4. Base Mestre (845 Produtos)'!$A$4:$A$848,0)),MATCH(A17,'4. Base Mestre (845 Produtos)'!$A$4:$A$848,0),IF(ISNUMBER(MATCH(B17,'4. Base Mestre (845 Produtos)'!$B$4:$B$848,0)),MATCH(B17,'4. Base Mestre (845 Produtos)'!$B$4:$B$848,0),0))),IF(ISNUMBER(MATCH(D17,'3. Dicionario Principios Ativos'!$A$4:$A$245,0)),INDEX('3. Dicionario Principios Ativos'!$B$4:$B$245,MATCH(D17,'3. Dicionario Principios Ativos'!$A$4:$A$245,0)),"Revisar Classificação")))</f>
        <v>Defensivos — Inseticida e Acaricida</v>
      </c>
      <c r="K17" s="16" t="n">
        <f aca="false">IF(B17="","",IF(G17&lt;&gt;"",G17,IF(OR(ISNUMBER(SEARCH("PRINCIPIO ATIVO",B17)),ISNUMBER(SEARCH("PRINC. ATIVO",B17)),ISNUMBER(SEARCH("PR. ATIVO",B17)),ISNUMBER(SEARCH("PR.AT.",B17)),ISNUMBER(SEARCH("(P.A",B17)),ISNUMBER(SEARCH("(P. A",B17))),0,IF(OR(ISNUMBER(SEARCH("0,100KG",B17)),ISNUMBER(SEARCH("0,1KG",B17)),ISNUMBER(SEARCH("0,100L",B17))),0.1,IF(OR(ISNUMBER(SEARCH("0,200L",B17)),ISNUMBER(SEARCH("0,2L",B17)),ISNUMBER(SEARCH("0,200KG",B17)),ISNUMBER(SEARCH("0,2KG",B17))),0.2,IF(OR(ISNUMBER(SEARCH("0,240KG",B17)),ISNUMBER(SEARCH("0,250L",B17))),0.24,IF(OR(ISNUMBER(SEARCH("0,300KG",B17)),ISNUMBER(SEARCH("0,3KG",B17))),0.3,IF(OR(ISNUMBER(SEARCH("0,500L",B17)),ISNUMBER(SEARCH("0,5L",B17)),ISNUMBER(SEARCH("0,5KG",B17))),0.5,IF(ISNUMBER(SEARCH("0,8KG",B17)),0.8,IF(OR(ISNUMBER(SEARCH("1,5L",B17)),ISNUMBER(SEARCH("1,5KG",B17))),1.5,IF(OR(ISNUMBER(SEARCH("1,75L",B17)),ISNUMBER(SEARCH("1,8L",B17)),ISNUMBER(SEARCH("1.8L",B17))),1.8,IF(ISNUMBER(SEARCH("4,5KG",B17)),4.5,IF(ISNUMBER(SEARCH("7,5KG",B17)),7.5,IF(OR(ISNUMBER(SEARCH("1000L",B17)),ISNUMBER(SEARCH("1000KG",B17)),ISNUMBER(SEARCH("1.000KG",B17)),ISNUMBER(SEARCH("1.000L",B17)),ISNUMBER(SEARCH("1000 KG",B17)),ISNUMBER(SEARCH("GRANEL",B17)),ISNUMBER(SEARCH("(TON)",B17))),1000,IF(ISNUMBER(SEARCH("200L",B17)),200,IF(OR(ISNUMBER(SEARCH("25KG",B17)),ISNUMBER(SEARCH("25L",B17))),25,IF(OR(ISNUMBER(SEARCH("20L",B17)),ISNUMBER(SEARCH("20KG",B17))),20,IF(ISNUMBER(SEARCH("15KG",B17)),15,IF(OR(ISNUMBER(SEARCH("10L",B17)),ISNUMBER(SEARCH("10KG",B17))),10,IF(OR(ISNUMBER(SEARCH("5L",B17)),ISNUMBER(SEARCH("5KG",B17)),ISNUMBER(SEARCH("5LT",B17))),5,IF(OR(ISNUMBER(SEARCH("3KG",B17)),ISNUMBER(SEARCH("3L",B17))),3,IF(OR(ISNUMBER(SEARCH("2L",B17)),ISNUMBER(SEARCH("2KG",B17))),2,IF(OR(ISNUMBER(SEARCH("1L",B17)),ISNUMBER(SEARCH("1KG",B17)),ISNUMBER(SEARCH("1LT",B17))),1,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Produtos)'!$D$4:$D$848,IF(ISNUMBER(MATCH(A17,'4. Base Mestre (845 Produtos)'!$A$4:$A$848,0)),MATCH(A17,'4. Base Mestre (845 Produtos)'!$A$4:$A$848,0),IF(ISNUMBER(MATCH(B17,'4. Base Mestre (845 Produtos)'!$B$4:$B$848,0)),MATCH(B17,'4. Base Mestre (845 Produtos)'!$B$4:$B$848,0),0))),1))))))))))))))))))))))))</f>
        <v>10</v>
      </c>
      <c r="L17" s="17" t="str">
        <f aca="false">IF(B17="","",IF(OR(ISNUMBER(SEARCH("KG",B17)),ISNUMBER(SEARCH("GR",B17))),"KG",IF(OR(ISNUMBER(SEARCH("0,200L",B17)),ISNUMBER(SEARCH("0,2L",B17)),ISNUMBER(SEARCH("0,5L",B17)),ISNUMBER(SEARCH("1,5L",B17)),ISNUMBER(SEARCH("1,8L",B17)),ISNUMBER(SEARCH("1.8L",B17)),ISNUMBER(SEARCH("1L",B17)),ISNUMBER(SEARCH("2L",B17)),ISNUMBER(SEARCH("3L",B17)),ISNUMBER(SEARCH("5L",B17)),ISNUMBER(SEARCH("10L",B17)),ISNUMBER(SEARCH("20L",B17)),ISNUMBER(SEARCH("25L",B17)),ISNUMBER(SEARCH("200L",B17)),ISNUMBER(SEARCH("1000L",B17)),ISNUMBER(SEARCH("LT",B17))),"L",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Produtos)'!$E$4:$E$848,IF(ISNUMBER(MATCH(A17,'4. Base Mestre (845 Produtos)'!$A$4:$A$848,0)),MATCH(A17,'4. Base Mestre (845 Produtos)'!$A$4:$A$848,0),IF(ISNUMBER(MATCH(B17,'4. Base Mestre (845 Produtos)'!$B$4:$B$848,0)),MATCH(B17,'4. Base Mestre (845 Produtos)'!$B$4:$B$848,0),0))),C17))))</f>
        <v>L</v>
      </c>
      <c r="M17" s="15" t="str">
        <f aca="false">IF(B17="","",IF(C17=L17,"CONFORME — Unidade ("&amp;C17&amp;") compatível c/ Embalagem","DIVERGENTE — Embalagem em "&amp;L17&amp;", mas cadastrado em "&amp;C17))</f>
        <v>CONFORME — Unidade (L) compatível c/ Embalagem</v>
      </c>
      <c r="N17" s="15" t="str">
        <f aca="false">IF(B17="","",IF(K17=0,"Granel / Produto Técnico (Sem Embalagem Comercial)",IF(K17&lt;=0.3001,"Faixa 1 TIPI: Até 300g/mL (3808.61.00 / 3105.10.00)",IF(K17&lt;=7.5001,"Faixa 2 TIPI: De 300g a 7,5kg/L (3808.62.90 / 3105.10.00)",IF(K17&lt;=10.0001,"Faixa 3 TIPI: De 7,5kg a 10kg/L (3808.69.90 / 3105.10.00)","Faixa 4 TIPI: Acima de 10kg/L (3808.69.90 / Cap. 31 Geral)")))))</f>
        <v>Faixa 3 TIPI: De 7,5kg a 10kg/L (3808.69.90 / 3105.10.00)</v>
      </c>
      <c r="O17" s="18" t="str">
        <f aca="false">IF(B17="","",IF(IF(ISNUMBER(MATCH(A17,'4.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Produtos)'!$H$4:$H$848,IF(ISNUMBER(MATCH(A17,'4. Base Mestre (845 Produtos)'!$A$4:$A$848,0)),MATCH(A17,'4. Base Mestre (845 Produtos)'!$A$4:$A$848,0),IF(ISNUMBER(MATCH(B17,'4. Base Mestre (845 Produtos)'!$B$4:$B$848,0)),MATCH(B17,'4. Base Mestre (845 Produtos)'!$B$4:$B$848,0),0))),IF(ISNUMBER(MATCH(D17,'3. Dicionario Principios Ativos'!$A$4:$A$245,0)),INDEX('3. Dicionario Principios Ativos'!$A$4:$A$245,MATCH(D17,'3. Dicionario Principios Ativos'!$A$4:$A$245,0)),D17)))</f>
        <v>BIFENTRINA 400</v>
      </c>
      <c r="P17" s="15" t="str">
        <f aca="false">IF(B17="","",IF(D17=O17,"CONFORME — Princípio Ativo Validado","DIVERGENTE — Substituir por: "&amp;O17))</f>
        <v>CONFORME — Princípio Ativo Validado</v>
      </c>
      <c r="Q17" s="19" t="str">
        <f aca="false">IF(B17="","",IF(IF(IF(ISNUMBER(MATCH(A17,'4.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Produtos)'!$J$4:$J$848,IF(ISNUMBER(MATCH(A17,'4. Base Mestre (845 Produtos)'!$A$4:$A$848,0)),MATCH(A17,'4. Base Mestre (845 Produtos)'!$A$4:$A$848,0),IF(ISNUMBER(MATCH(B17,'4. Base Mestre (845 Produtos)'!$B$4:$B$848,0)),MATCH(B17,'4. Base Mestre (845 Produtos)'!$B$4:$B$848,0),0)))="SIM",IF(ISNUMBER(MATCH(D17,'3. Dicionario Principios Ativos'!$A$4:$A$245,0)),INDEX('3. Dicionario Principios Ativos'!$C$4:$C$245,MATCH(D17,'3. Dicionario Principios Ativos'!$A$4:$A$245,0))="SIM",FALSE())),IF(AND(K17&gt;0,K17&lt;=0.3001),"3808.61.00",IF(AND(K17&gt;0.3001,K17&lt;=7.5001),"3808.62.90","3808.69.90")),IF(AND(LEFT(IF(IF(ISNUMBER(MATCH(A17,'4.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Produtos)'!$L$4:$L$848,IF(ISNUMBER(MATCH(A17,'4. Base Mestre (845 Produtos)'!$A$4:$A$848,0)),MATCH(A17,'4. Base Mestre (845 Produtos)'!$A$4:$A$848,0),IF(ISNUMBER(MATCH(B17,'4. Base Mestre (845 Produtos)'!$B$4:$B$848,0)),MATCH(B17,'4. Base Mestre (845 Produtos)'!$B$4:$B$848,0),0))),IF(ISNUMBER(MATCH(D17,'3. Dicionario Principios Ativos'!$A$4:$A$245,0)),INDEX('3. Dicionario Principios Ativos'!$D$4:$D$245,MATCH(D17,'3. Dicionario Principios Ativos'!$A$4:$A$245,0)),E17)),2)="31",E17="3105.10.00",K17&gt;0,K17&lt;=10.0001),"3105.10.00",IF(AND(IF(IF(ISNUMBER(MATCH(A17,'4.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Produtos)'!$L$4:$L$848,IF(ISNUMBER(MATCH(A17,'4. Base Mestre (845 Produtos)'!$A$4:$A$848,0)),MATCH(A17,'4. Base Mestre (845 Produtos)'!$A$4:$A$848,0),IF(ISNUMBER(MATCH(B17,'4. Base Mestre (845 Produtos)'!$B$4:$B$848,0)),MATCH(B17,'4. Base Mestre (845 Produtos)'!$B$4:$B$848,0),0))),IF(ISNUMBER(MATCH(D17,'3. Dicionario Principios Ativos'!$A$4:$A$245,0)),INDEX('3. Dicionario Principios Ativos'!$D$4:$D$245,MATCH(D17,'3. Dicionario Principios Ativos'!$A$4:$A$245,0)),E17))="3105.10.00",K17&gt;10.0001),"3105.90.90",IF(IF(ISNUMBER(MATCH(A17,'4.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Produtos)'!$L$4:$L$848,IF(ISNUMBER(MATCH(A17,'4. Base Mestre (845 Produtos)'!$A$4:$A$848,0)),MATCH(A17,'4. Base Mestre (845 Produtos)'!$A$4:$A$848,0),IF(ISNUMBER(MATCH(B17,'4. Base Mestre (845 Produtos)'!$B$4:$B$848,0)),MATCH(B17,'4. Base Mestre (845 Produtos)'!$B$4:$B$848,0),0))),IF(ISNUMBER(MATCH(D17,'3. Dicionario Principios Ativos'!$A$4:$A$245,0)),INDEX('3. Dicionario Principios Ativos'!$D$4:$D$245,MATCH(D17,'3. Dicionario Principios Ativos'!$A$4:$A$245,0)),E17))))))</f>
        <v>3808.69.90</v>
      </c>
      <c r="R17" s="15" t="str">
        <f aca="false">IF(B17="","",IF(OR(E17=Q17,AND(Q17="3002.49.99",E17="3002.90.00")),"CONFORME — NCM "&amp;E17&amp;" Correta na TIPI","DIVERGENTE — Substituir "&amp;E17&amp;" por "&amp;Q17))</f>
        <v>DIVERGENTE — Substituir 3808.62.90 por 3808.69.90</v>
      </c>
      <c r="S17" s="15" t="str">
        <f aca="false">IF(B17="","",IF(AND(E17="3808.61.00",OR(K17&gt;0.3001,K17=0)),"INCOMPATÍVEL — NCM 3808.61.00 exige emb. &lt;= 0,3kg/L (Emb. atual: "&amp;K17&amp;" "&amp;L17&amp;" -&gt; usar "&amp;Q17&amp;")",IF(AND(LEFT(E17,7)="3808.62",OR(K17&lt;=0.3001,K17&gt;7.5001)),"INCOMPATÍVEL — NCM 3808.62 exige emb. de 0,3 a 7,5kg/L (Emb. atual: "&amp;K17&amp;" "&amp;L17&amp;" -&gt; usar "&amp;Q17&amp;")",IF(AND(LEFT(E17,7)="3808.69",K17&gt;0,K17&lt;=7.5001),"INCOMPATÍVEL — NCM 3808.69 exige emb. &gt; 7,5kg/L (Emb. atual: "&amp;K17&amp;" "&amp;L17&amp;" -&gt; usar "&amp;Q17&amp;")",IF(AND(LEFT(Q17,6)="3808.6",LEFT(E17,6)&lt;&gt;"3808.6"),"INCOMPATÍVEL — Molécula Nota Subpos. 2 c/ emb. "&amp;K17&amp;" "&amp;L17&amp;" exige NCM "&amp;Q17,IF(AND(OR(E17="3808.91.19",E17="3808.92.19",E17="3808.93.19",E17="3808.99.19"),K17&gt;=1),"INCOMPATÍVEL — Subitem .19 (Domissanitário) vedado p/ emb. agrícola de "&amp;K17&amp;" "&amp;L17,IF(AND(E17="3105.10.00",K17&gt;10.0001),"INCOMPATÍVEL — NCM 3105.10.00 exige peso bruto &lt;= 10kg (Emb. atual: "&amp;K17&amp;" "&amp;L17&amp;" -&gt; usar 3105.90.90)",IF(AND(LEFT(E17,2)="29",LEFT(Q17,4)="3808",K17&gt;0),"INCOMPATÍVEL — Produto formulado em emb. comercial ("&amp;K17&amp;" "&amp;L17&amp;") vedado no Cap. 29 -&gt; usar "&amp;Q17,"CONFORME — Embalagem ("&amp;K17&amp;" "&amp;L17&amp;") compatível c/ a NCM"))))))))</f>
        <v>INCOMPATÍVEL — NCM 3808.62 exige emb. de 0,3 a 7,5kg/L (Emb. atual: 10 L -&gt; usar 3808.69.90)</v>
      </c>
      <c r="T17" s="19" t="n">
        <f aca="false">IF(B17="","",IF(IF(ISNUMBER(MATCH(A17,'4.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Produtos)'!$P$4:$P$848,IF(ISNUMBER(MATCH(A17,'4. Base Mestre (845 Produtos)'!$A$4:$A$848,0)),MATCH(A17,'4. Base Mestre (845 Produtos)'!$A$4:$A$848,0),IF(ISNUMBER(MATCH(B17,'4. Base Mestre (845 Produtos)'!$B$4:$B$848,0)),MATCH(B17,'4. Base Mestre (845 Produtos)'!$B$4:$B$848,0),0))),IF(ISNUMBER(MATCH(D17,'3. Dicionario Principios Ativos'!$A$4:$A$245,0)),INDEX('3. Dicionario Principios Ativos'!$K$4:$K$245,MATCH(D17,'3. Dicionario Principios Ativos'!$A$4:$A$245,0)),"VERIFICAR BULA")))</f>
        <v>6922</v>
      </c>
      <c r="U17" s="15" t="str">
        <f aca="false">IF(B17="","",IF(ISNUMBER(SEARCH("ISENTO",T17)),IF(OR(F17=0,F17="0",F17="ISENTO",F17=""),"CONFORME (DISPENSADO) — Isento pelo Ato SDA/MAPA nº 104/2017","INCORRETO — Produto isento de registro MAPA (usar 0 ou ISENTO)"),IF(ISNUMBER(SEARCH("SIPEAGRO",T17)),IF(ISNUMBER(SEARCH("-",F17)),"CONFORME — Registro SIPEAGRO ("&amp;F17&amp;") Preenchido","ADEQUAR P/ SIPEAGRO — Substituir 0 pelo Registro (UF-XXXXX-XXXXX.X)"),IF(ISNUMBER(SEARCH("VINCULAR",T17)),IF(AND(F17&lt;&gt;0,F17&lt;&gt;"0",F17&lt;&gt;""),"INCORRETO / TROCADO — Código "&amp;F17&amp;" pertence a outro produto (Vincular bula da marca)","VINCULAR MARCA — Cadastro de P.A. s/ marca fixa (Vincular registro na NF-e)"),IF(OR(F17=0,F17="0",F17=""),"AUSENTE (ZERO) — Preencher Registro Oficial MAPA nº "&amp;T17,IF(TEXT(F17,"0")=TEXT(T17,"0"),"CONFORME — Registro MAPA nº "&amp;T17&amp;" Validado na Bula","INCORRETO / TROCADO — Substituir "&amp;F17&amp;" pelo Registro Oficial nº "&amp;T17))))))</f>
        <v>CONFORME — Registro MAPA nº 6922 Validado na Bula</v>
      </c>
      <c r="V17" s="15" t="str">
        <f aca="false">IF(B17="","",IF(IF(ISNUMBER(MATCH(A17,'4.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Produtos)'!$S$4:$S$848,IF(ISNUMBER(MATCH(A17,'4. Base Mestre (845 Produtos)'!$A$4:$A$848,0)),MATCH(A17,'4. Base Mestre (845 Produtos)'!$A$4:$A$848,0),IF(ISNUMBER(MATCH(B17,'4. Base Mestre (845 Produtos)'!$B$4:$B$848,0)),MATCH(B17,'4. Base Mestre (845 Produtos)'!$B$4:$B$848,0),0))),IF(ISNUMBER(MATCH(D17,'3. Dicionario Principios Ativos'!$A$4:$A$245,0)),INDEX('3. Dicionario Principios Ativos'!$L$4:$L$245,MATCH(D17,'3. Dicionario Principios Ativos'!$A$4:$A$245,0)),"Verificar NCM")))</f>
        <v>Beneficiado (Lei 10.925/04): 0% até Mar/26 | 0,925% Real / 0,365% Pres. pós-Abr/26 (LC 224/25)</v>
      </c>
      <c r="W17" s="15" t="str">
        <f aca="false">IF(B17="","",IF(IF(ISNUMBER(MATCH(A17,'4. Base Mestre (845 Produtos)'!$A$4:$A$848,0)),MATCH(A17,'4. Base Mestre (845 Produtos)'!$A$4:$A$848,0),IF(ISNUMBER(MATCH(B17,'4. Base Mestre (845 Produtos)'!$B$4:$B$848,0)),MATCH(B17,'4. Base Mestre (845 Produtos)'!$B$4:$B$848,0),0))&gt;0,INDEX('4. Base Mestre (845 Produtos)'!$T$4:$T$848,IF(ISNUMBER(MATCH(A17,'4. Base Mestre (845 Produtos)'!$A$4:$A$848,0)),MATCH(A17,'4. Base Mestre (845 Produtos)'!$A$4:$A$848,0),IF(ISNUMBER(MATCH(B17,'4. Base Mestre (845 Produtos)'!$B$4:$B$848,0)),MATCH(B17,'4. Base Mestre (845 Produtos)'!$B$4:$B$848,0),0))),IF(ISNUMBER(MATCH(D17,'3. Dicionario Principios Ativos'!$A$4:$A$245,0)),INDEX('3. Dicionario Principios Ativos'!$M$4:$M$245,MATCH(D17,'3. Dicionario Principios Ativos'!$A$4:$A$245,0)),"Verificar CST")))</f>
        <v>Saída: CST 06 (c/ Ajuste M220/M620 pós-Abr/26) | Entrada Revenda: CST 73</v>
      </c>
      <c r="X17" s="18" t="str">
        <f aca="false">IF(B17="","",IF(AND(LEFT(M17,8)="CONFORME",LEFT(P17,8)="CONFORME",LEFT(R17,8)="CONFORME",LEFT(S17,8)="CONFORME",LEFT(U17,8)="CONFORME"),"CADASTRO 100% CONFORME — LIBERADO P/ ERP",IF(AND(LEFT(M17,8)="CONFORME",LEFT(P17,8)="CONFORME",LEFT(R17,8)="CONFORME",LEFT(S17,8)="CONFORME",OR(LEFT(U17,7)="ADEQUAR",LEFT(U17,8)="VINCULAR")),"FISCAL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18" customFormat="false" ht="21.75" hidden="false" customHeight="true" outlineLevel="0" collapsed="false">
      <c r="A18" s="10" t="n">
        <v>4490</v>
      </c>
      <c r="B18" s="11" t="s">
        <v>72</v>
      </c>
      <c r="C18" s="12" t="s">
        <v>39</v>
      </c>
      <c r="D18" s="13" t="s">
        <v>70</v>
      </c>
      <c r="E18" s="12" t="s">
        <v>48</v>
      </c>
      <c r="F18" s="12" t="n">
        <v>6922</v>
      </c>
      <c r="G18" s="14"/>
      <c r="H18" s="13" t="s">
        <v>73</v>
      </c>
      <c r="I18" s="20" t="str">
        <f aca="false">IF(B18="","",IF(ISNUMBER(MATCH(A18,'4. Base Mestre (845 Produtos)'!$A$4:$A$848,0)),"Localizado por Código ("&amp;A18&amp;") na Base Mestre",IF(ISNUMBER(MATCH(B18,'4. Base Mestre (845 Produtos)'!$B$4:$B$848,0)),"Localizado por Descrição na Base Mestre",IF(ISNUMBER(MATCH(D18,'3. Dicionario Principios Ativos'!$A$4:$A$245,0)),"Produto Novo — Validado pelo Dicionário de P.A.","Não Localizado — Revisar Código/P.A."))))</f>
        <v>Localizado por Código (4490) na Base Mestre</v>
      </c>
      <c r="J18" s="20" t="str">
        <f aca="false">IF(B18="","",IF(IF(ISNUMBER(MATCH(A18,'4.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Produtos)'!$I$4:$I$848,IF(ISNUMBER(MATCH(A18,'4. Base Mestre (845 Produtos)'!$A$4:$A$848,0)),MATCH(A18,'4. Base Mestre (845 Produtos)'!$A$4:$A$848,0),IF(ISNUMBER(MATCH(B18,'4. Base Mestre (845 Produtos)'!$B$4:$B$848,0)),MATCH(B18,'4. Base Mestre (845 Produtos)'!$B$4:$B$848,0),0))),IF(ISNUMBER(MATCH(D18,'3. Dicionario Principios Ativos'!$A$4:$A$245,0)),INDEX('3. Dicionario Principios Ativos'!$B$4:$B$245,MATCH(D18,'3. Dicionario Principios Ativos'!$A$4:$A$245,0)),"Revisar Classificação")))</f>
        <v>Defensivos — Inseticida e Acaricida</v>
      </c>
      <c r="K18" s="21" t="n">
        <f aca="false">IF(B18="","",IF(G18&lt;&gt;"",G18,IF(OR(ISNUMBER(SEARCH("PRINCIPIO ATIVO",B18)),ISNUMBER(SEARCH("PRINC. ATIVO",B18)),ISNUMBER(SEARCH("PR. ATIVO",B18)),ISNUMBER(SEARCH("PR.AT.",B18)),ISNUMBER(SEARCH("(P.A",B18)),ISNUMBER(SEARCH("(P. A",B18))),0,IF(OR(ISNUMBER(SEARCH("0,100KG",B18)),ISNUMBER(SEARCH("0,1KG",B18)),ISNUMBER(SEARCH("0,100L",B18))),0.1,IF(OR(ISNUMBER(SEARCH("0,200L",B18)),ISNUMBER(SEARCH("0,2L",B18)),ISNUMBER(SEARCH("0,200KG",B18)),ISNUMBER(SEARCH("0,2KG",B18))),0.2,IF(OR(ISNUMBER(SEARCH("0,240KG",B18)),ISNUMBER(SEARCH("0,250L",B18))),0.24,IF(OR(ISNUMBER(SEARCH("0,300KG",B18)),ISNUMBER(SEARCH("0,3KG",B18))),0.3,IF(OR(ISNUMBER(SEARCH("0,500L",B18)),ISNUMBER(SEARCH("0,5L",B18)),ISNUMBER(SEARCH("0,5KG",B18))),0.5,IF(ISNUMBER(SEARCH("0,8KG",B18)),0.8,IF(OR(ISNUMBER(SEARCH("1,5L",B18)),ISNUMBER(SEARCH("1,5KG",B18))),1.5,IF(OR(ISNUMBER(SEARCH("1,75L",B18)),ISNUMBER(SEARCH("1,8L",B18)),ISNUMBER(SEARCH("1.8L",B18))),1.8,IF(ISNUMBER(SEARCH("4,5KG",B18)),4.5,IF(ISNUMBER(SEARCH("7,5KG",B18)),7.5,IF(OR(ISNUMBER(SEARCH("1000L",B18)),ISNUMBER(SEARCH("1000KG",B18)),ISNUMBER(SEARCH("1.000KG",B18)),ISNUMBER(SEARCH("1.000L",B18)),ISNUMBER(SEARCH("1000 KG",B18)),ISNUMBER(SEARCH("GRANEL",B18)),ISNUMBER(SEARCH("(TON)",B18))),1000,IF(ISNUMBER(SEARCH("200L",B18)),200,IF(OR(ISNUMBER(SEARCH("25KG",B18)),ISNUMBER(SEARCH("25L",B18))),25,IF(OR(ISNUMBER(SEARCH("20L",B18)),ISNUMBER(SEARCH("20KG",B18))),20,IF(ISNUMBER(SEARCH("15KG",B18)),15,IF(OR(ISNUMBER(SEARCH("10L",B18)),ISNUMBER(SEARCH("10KG",B18))),10,IF(OR(ISNUMBER(SEARCH("5L",B18)),ISNUMBER(SEARCH("5KG",B18)),ISNUMBER(SEARCH("5LT",B18))),5,IF(OR(ISNUMBER(SEARCH("3KG",B18)),ISNUMBER(SEARCH("3L",B18))),3,IF(OR(ISNUMBER(SEARCH("2L",B18)),ISNUMBER(SEARCH("2KG",B18))),2,IF(OR(ISNUMBER(SEARCH("1L",B18)),ISNUMBER(SEARCH("1KG",B18)),ISNUMBER(SEARCH("1LT",B18))),1,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Produtos)'!$D$4:$D$848,IF(ISNUMBER(MATCH(A18,'4. Base Mestre (845 Produtos)'!$A$4:$A$848,0)),MATCH(A18,'4. Base Mestre (845 Produtos)'!$A$4:$A$848,0),IF(ISNUMBER(MATCH(B18,'4. Base Mestre (845 Produtos)'!$B$4:$B$848,0)),MATCH(B18,'4. Base Mestre (845 Produtos)'!$B$4:$B$848,0),0))),1))))))))))))))))))))))))</f>
        <v>0.2</v>
      </c>
      <c r="L18" s="22" t="str">
        <f aca="false">IF(B18="","",IF(OR(ISNUMBER(SEARCH("KG",B18)),ISNUMBER(SEARCH("GR",B18))),"KG",IF(OR(ISNUMBER(SEARCH("0,200L",B18)),ISNUMBER(SEARCH("0,2L",B18)),ISNUMBER(SEARCH("0,5L",B18)),ISNUMBER(SEARCH("1,5L",B18)),ISNUMBER(SEARCH("1,8L",B18)),ISNUMBER(SEARCH("1.8L",B18)),ISNUMBER(SEARCH("1L",B18)),ISNUMBER(SEARCH("2L",B18)),ISNUMBER(SEARCH("3L",B18)),ISNUMBER(SEARCH("5L",B18)),ISNUMBER(SEARCH("10L",B18)),ISNUMBER(SEARCH("20L",B18)),ISNUMBER(SEARCH("25L",B18)),ISNUMBER(SEARCH("200L",B18)),ISNUMBER(SEARCH("1000L",B18)),ISNUMBER(SEARCH("LT",B18))),"L",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Produtos)'!$E$4:$E$848,IF(ISNUMBER(MATCH(A18,'4. Base Mestre (845 Produtos)'!$A$4:$A$848,0)),MATCH(A18,'4. Base Mestre (845 Produtos)'!$A$4:$A$848,0),IF(ISNUMBER(MATCH(B18,'4. Base Mestre (845 Produtos)'!$B$4:$B$848,0)),MATCH(B18,'4. Base Mestre (845 Produtos)'!$B$4:$B$848,0),0))),C18))))</f>
        <v>L</v>
      </c>
      <c r="M18" s="20" t="str">
        <f aca="false">IF(B18="","",IF(C18=L18,"CONFORME — Unidade ("&amp;C18&amp;") compatível c/ Embalagem","DIVERGENTE — Embalagem em "&amp;L18&amp;", mas cadastrado em "&amp;C18))</f>
        <v>CONFORME — Unidade (L) compatível c/ Embalagem</v>
      </c>
      <c r="N18" s="20" t="str">
        <f aca="false">IF(B18="","",IF(K18=0,"Granel / Produto Técnico (Sem Embalagem Comercial)",IF(K18&lt;=0.3001,"Faixa 1 TIPI: Até 300g/mL (3808.61.00 / 3105.10.00)",IF(K18&lt;=7.5001,"Faixa 2 TIPI: De 300g a 7,5kg/L (3808.62.90 / 3105.10.00)",IF(K18&lt;=10.0001,"Faixa 3 TIPI: De 7,5kg a 10kg/L (3808.69.90 / 3105.10.00)","Faixa 4 TIPI: Acima de 10kg/L (3808.69.90 / Cap. 31 Geral)")))))</f>
        <v>Faixa 1 TIPI: Até 300g/mL (3808.61.00 / 3105.10.00)</v>
      </c>
      <c r="O18" s="23" t="str">
        <f aca="false">IF(B18="","",IF(IF(ISNUMBER(MATCH(A18,'4.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Produtos)'!$H$4:$H$848,IF(ISNUMBER(MATCH(A18,'4. Base Mestre (845 Produtos)'!$A$4:$A$848,0)),MATCH(A18,'4. Base Mestre (845 Produtos)'!$A$4:$A$848,0),IF(ISNUMBER(MATCH(B18,'4. Base Mestre (845 Produtos)'!$B$4:$B$848,0)),MATCH(B18,'4. Base Mestre (845 Produtos)'!$B$4:$B$848,0),0))),IF(ISNUMBER(MATCH(D18,'3. Dicionario Principios Ativos'!$A$4:$A$245,0)),INDEX('3. Dicionario Principios Ativos'!$A$4:$A$245,MATCH(D18,'3. Dicionario Principios Ativos'!$A$4:$A$245,0)),D18)))</f>
        <v>BIFENTRINA 400</v>
      </c>
      <c r="P18" s="20" t="str">
        <f aca="false">IF(B18="","",IF(D18=O18,"CONFORME — Princípio Ativo Validado","DIVERGENTE — Substituir por: "&amp;O18))</f>
        <v>CONFORME — Princípio Ativo Validado</v>
      </c>
      <c r="Q18" s="24" t="str">
        <f aca="false">IF(B18="","",IF(IF(IF(ISNUMBER(MATCH(A18,'4.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Produtos)'!$J$4:$J$848,IF(ISNUMBER(MATCH(A18,'4. Base Mestre (845 Produtos)'!$A$4:$A$848,0)),MATCH(A18,'4. Base Mestre (845 Produtos)'!$A$4:$A$848,0),IF(ISNUMBER(MATCH(B18,'4. Base Mestre (845 Produtos)'!$B$4:$B$848,0)),MATCH(B18,'4. Base Mestre (845 Produtos)'!$B$4:$B$848,0),0)))="SIM",IF(ISNUMBER(MATCH(D18,'3. Dicionario Principios Ativos'!$A$4:$A$245,0)),INDEX('3. Dicionario Principios Ativos'!$C$4:$C$245,MATCH(D18,'3. Dicionario Principios Ativos'!$A$4:$A$245,0))="SIM",FALSE())),IF(AND(K18&gt;0,K18&lt;=0.3001),"3808.61.00",IF(AND(K18&gt;0.3001,K18&lt;=7.5001),"3808.62.90","3808.69.90")),IF(AND(LEFT(IF(IF(ISNUMBER(MATCH(A18,'4.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Produtos)'!$L$4:$L$848,IF(ISNUMBER(MATCH(A18,'4. Base Mestre (845 Produtos)'!$A$4:$A$848,0)),MATCH(A18,'4. Base Mestre (845 Produtos)'!$A$4:$A$848,0),IF(ISNUMBER(MATCH(B18,'4. Base Mestre (845 Produtos)'!$B$4:$B$848,0)),MATCH(B18,'4. Base Mestre (845 Produtos)'!$B$4:$B$848,0),0))),IF(ISNUMBER(MATCH(D18,'3. Dicionario Principios Ativos'!$A$4:$A$245,0)),INDEX('3. Dicionario Principios Ativos'!$D$4:$D$245,MATCH(D18,'3. Dicionario Principios Ativos'!$A$4:$A$245,0)),E18)),2)="31",E18="3105.10.00",K18&gt;0,K18&lt;=10.0001),"3105.10.00",IF(AND(IF(IF(ISNUMBER(MATCH(A18,'4.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Produtos)'!$L$4:$L$848,IF(ISNUMBER(MATCH(A18,'4. Base Mestre (845 Produtos)'!$A$4:$A$848,0)),MATCH(A18,'4. Base Mestre (845 Produtos)'!$A$4:$A$848,0),IF(ISNUMBER(MATCH(B18,'4. Base Mestre (845 Produtos)'!$B$4:$B$848,0)),MATCH(B18,'4. Base Mestre (845 Produtos)'!$B$4:$B$848,0),0))),IF(ISNUMBER(MATCH(D18,'3. Dicionario Principios Ativos'!$A$4:$A$245,0)),INDEX('3. Dicionario Principios Ativos'!$D$4:$D$245,MATCH(D18,'3. Dicionario Principios Ativos'!$A$4:$A$245,0)),E18))="3105.10.00",K18&gt;10.0001),"3105.90.90",IF(IF(ISNUMBER(MATCH(A18,'4.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Produtos)'!$L$4:$L$848,IF(ISNUMBER(MATCH(A18,'4. Base Mestre (845 Produtos)'!$A$4:$A$848,0)),MATCH(A18,'4. Base Mestre (845 Produtos)'!$A$4:$A$848,0),IF(ISNUMBER(MATCH(B18,'4. Base Mestre (845 Produtos)'!$B$4:$B$848,0)),MATCH(B18,'4. Base Mestre (845 Produtos)'!$B$4:$B$848,0),0))),IF(ISNUMBER(MATCH(D18,'3. Dicionario Principios Ativos'!$A$4:$A$245,0)),INDEX('3. Dicionario Principios Ativos'!$D$4:$D$245,MATCH(D18,'3. Dicionario Principios Ativos'!$A$4:$A$245,0)),E18))))))</f>
        <v>3808.61.00</v>
      </c>
      <c r="R18" s="20" t="str">
        <f aca="false">IF(B18="","",IF(OR(E18=Q18,AND(Q18="3002.49.99",E18="3002.90.00")),"CONFORME — NCM "&amp;E18&amp;" Correta na TIPI","DIVERGENTE — Substituir "&amp;E18&amp;" por "&amp;Q18))</f>
        <v>DIVERGENTE — Substituir 3808.62.90 por 3808.61.00</v>
      </c>
      <c r="S18" s="20" t="str">
        <f aca="false">IF(B18="","",IF(AND(E18="3808.61.00",OR(K18&gt;0.3001,K18=0)),"INCOMPATÍVEL — NCM 3808.61.00 exige emb. &lt;= 0,3kg/L (Emb. atual: "&amp;K18&amp;" "&amp;L18&amp;" -&gt; usar "&amp;Q18&amp;")",IF(AND(LEFT(E18,7)="3808.62",OR(K18&lt;=0.3001,K18&gt;7.5001)),"INCOMPATÍVEL — NCM 3808.62 exige emb. de 0,3 a 7,5kg/L (Emb. atual: "&amp;K18&amp;" "&amp;L18&amp;" -&gt; usar "&amp;Q18&amp;")",IF(AND(LEFT(E18,7)="3808.69",K18&gt;0,K18&lt;=7.5001),"INCOMPATÍVEL — NCM 3808.69 exige emb. &gt; 7,5kg/L (Emb. atual: "&amp;K18&amp;" "&amp;L18&amp;" -&gt; usar "&amp;Q18&amp;")",IF(AND(LEFT(Q18,6)="3808.6",LEFT(E18,6)&lt;&gt;"3808.6"),"INCOMPATÍVEL — Molécula Nota Subpos. 2 c/ emb. "&amp;K18&amp;" "&amp;L18&amp;" exige NCM "&amp;Q18,IF(AND(OR(E18="3808.91.19",E18="3808.92.19",E18="3808.93.19",E18="3808.99.19"),K18&gt;=1),"INCOMPATÍVEL — Subitem .19 (Domissanitário) vedado p/ emb. agrícola de "&amp;K18&amp;" "&amp;L18,IF(AND(E18="3105.10.00",K18&gt;10.0001),"INCOMPATÍVEL — NCM 3105.10.00 exige peso bruto &lt;= 10kg (Emb. atual: "&amp;K18&amp;" "&amp;L18&amp;" -&gt; usar 3105.90.90)",IF(AND(LEFT(E18,2)="29",LEFT(Q18,4)="3808",K18&gt;0),"INCOMPATÍVEL — Produto formulado em emb. comercial ("&amp;K18&amp;" "&amp;L18&amp;") vedado no Cap. 29 -&gt; usar "&amp;Q18,"CONFORME — Embalagem ("&amp;K18&amp;" "&amp;L18&amp;") compatível c/ a NCM"))))))))</f>
        <v>INCOMPATÍVEL — NCM 3808.62 exige emb. de 0,3 a 7,5kg/L (Emb. atual: 0.2 L -&gt; usar 3808.61.00)</v>
      </c>
      <c r="T18" s="24" t="n">
        <f aca="false">IF(B18="","",IF(IF(ISNUMBER(MATCH(A18,'4.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Produtos)'!$P$4:$P$848,IF(ISNUMBER(MATCH(A18,'4. Base Mestre (845 Produtos)'!$A$4:$A$848,0)),MATCH(A18,'4. Base Mestre (845 Produtos)'!$A$4:$A$848,0),IF(ISNUMBER(MATCH(B18,'4. Base Mestre (845 Produtos)'!$B$4:$B$848,0)),MATCH(B18,'4. Base Mestre (845 Produtos)'!$B$4:$B$848,0),0))),IF(ISNUMBER(MATCH(D18,'3. Dicionario Principios Ativos'!$A$4:$A$245,0)),INDEX('3. Dicionario Principios Ativos'!$K$4:$K$245,MATCH(D18,'3. Dicionario Principios Ativos'!$A$4:$A$245,0)),"VERIFICAR BULA")))</f>
        <v>6922</v>
      </c>
      <c r="U18" s="20" t="str">
        <f aca="false">IF(B18="","",IF(ISNUMBER(SEARCH("ISENTO",T18)),IF(OR(F18=0,F18="0",F18="ISENTO",F18=""),"CONFORME (DISPENSADO) — Isento pelo Ato SDA/MAPA nº 104/2017","INCORRETO — Produto isento de registro MAPA (usar 0 ou ISENTO)"),IF(ISNUMBER(SEARCH("SIPEAGRO",T18)),IF(ISNUMBER(SEARCH("-",F18)),"CONFORME — Registro SIPEAGRO ("&amp;F18&amp;") Preenchido","ADEQUAR P/ SIPEAGRO — Substituir 0 pelo Registro (UF-XXXXX-XXXXX.X)"),IF(ISNUMBER(SEARCH("VINCULAR",T18)),IF(AND(F18&lt;&gt;0,F18&lt;&gt;"0",F18&lt;&gt;""),"INCORRETO / TROCADO — Código "&amp;F18&amp;" pertence a outro produto (Vincular bula da marca)","VINCULAR MARCA — Cadastro de P.A. s/ marca fixa (Vincular registro na NF-e)"),IF(OR(F18=0,F18="0",F18=""),"AUSENTE (ZERO) — Preencher Registro Oficial MAPA nº "&amp;T18,IF(TEXT(F18,"0")=TEXT(T18,"0"),"CONFORME — Registro MAPA nº "&amp;T18&amp;" Validado na Bula","INCORRETO / TROCADO — Substituir "&amp;F18&amp;" pelo Registro Oficial nº "&amp;T18))))))</f>
        <v>CONFORME — Registro MAPA nº 6922 Validado na Bula</v>
      </c>
      <c r="V18" s="20" t="str">
        <f aca="false">IF(B18="","",IF(IF(ISNUMBER(MATCH(A18,'4.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Produtos)'!$S$4:$S$848,IF(ISNUMBER(MATCH(A18,'4. Base Mestre (845 Produtos)'!$A$4:$A$848,0)),MATCH(A18,'4. Base Mestre (845 Produtos)'!$A$4:$A$848,0),IF(ISNUMBER(MATCH(B18,'4. Base Mestre (845 Produtos)'!$B$4:$B$848,0)),MATCH(B18,'4. Base Mestre (845 Produtos)'!$B$4:$B$848,0),0))),IF(ISNUMBER(MATCH(D18,'3. Dicionario Principios Ativos'!$A$4:$A$245,0)),INDEX('3. Dicionario Principios Ativos'!$L$4:$L$245,MATCH(D18,'3. Dicionario Principios Ativos'!$A$4:$A$245,0)),"Verificar NCM")))</f>
        <v>Beneficiado (Lei 10.925/04): 0% até Mar/26 | 0,925% Real / 0,365% Pres. pós-Abr/26 (LC 224/25)</v>
      </c>
      <c r="W18" s="20" t="str">
        <f aca="false">IF(B18="","",IF(IF(ISNUMBER(MATCH(A18,'4. Base Mestre (845 Produtos)'!$A$4:$A$848,0)),MATCH(A18,'4. Base Mestre (845 Produtos)'!$A$4:$A$848,0),IF(ISNUMBER(MATCH(B18,'4. Base Mestre (845 Produtos)'!$B$4:$B$848,0)),MATCH(B18,'4. Base Mestre (845 Produtos)'!$B$4:$B$848,0),0))&gt;0,INDEX('4. Base Mestre (845 Produtos)'!$T$4:$T$848,IF(ISNUMBER(MATCH(A18,'4. Base Mestre (845 Produtos)'!$A$4:$A$848,0)),MATCH(A18,'4. Base Mestre (845 Produtos)'!$A$4:$A$848,0),IF(ISNUMBER(MATCH(B18,'4. Base Mestre (845 Produtos)'!$B$4:$B$848,0)),MATCH(B18,'4. Base Mestre (845 Produtos)'!$B$4:$B$848,0),0))),IF(ISNUMBER(MATCH(D18,'3. Dicionario Principios Ativos'!$A$4:$A$245,0)),INDEX('3. Dicionario Principios Ativos'!$M$4:$M$245,MATCH(D18,'3. Dicionario Principios Ativos'!$A$4:$A$245,0)),"Verificar CST")))</f>
        <v>Saída: CST 06 (c/ Ajuste M220/M620 pós-Abr/26) | Entrada Revenda: CST 73</v>
      </c>
      <c r="X18" s="23" t="str">
        <f aca="false">IF(B18="","",IF(AND(LEFT(M18,8)="CONFORME",LEFT(P18,8)="CONFORME",LEFT(R18,8)="CONFORME",LEFT(S18,8)="CONFORME",LEFT(U18,8)="CONFORME"),"CADASTRO 100% CONFORME — LIBERADO P/ ERP",IF(AND(LEFT(M18,8)="CONFORME",LEFT(P18,8)="CONFORME",LEFT(R18,8)="CONFORME",LEFT(S18,8)="CONFORME",OR(LEFT(U18,7)="ADEQUAR",LEFT(U18,8)="VINCULAR")),"FISCAL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19" customFormat="false" ht="21.75" hidden="false" customHeight="true" outlineLevel="0" collapsed="false">
      <c r="A19" s="10" t="n">
        <v>4914</v>
      </c>
      <c r="B19" s="11" t="s">
        <v>74</v>
      </c>
      <c r="C19" s="12" t="s">
        <v>39</v>
      </c>
      <c r="D19" s="13" t="s">
        <v>75</v>
      </c>
      <c r="E19" s="12" t="s">
        <v>51</v>
      </c>
      <c r="F19" s="12" t="n">
        <v>26023</v>
      </c>
      <c r="G19" s="14"/>
      <c r="H19" s="13" t="s">
        <v>76</v>
      </c>
      <c r="I19" s="15" t="str">
        <f aca="false">IF(B19="","",IF(ISNUMBER(MATCH(A19,'4. Base Mestre (845 Produtos)'!$A$4:$A$848,0)),"Localizado por Código ("&amp;A19&amp;") na Base Mestre",IF(ISNUMBER(MATCH(B19,'4. Base Mestre (845 Produtos)'!$B$4:$B$848,0)),"Localizado por Descrição na Base Mestre",IF(ISNUMBER(MATCH(D19,'3. Dicionario Principios Ativos'!$A$4:$A$245,0)),"Produto Novo — Validado pelo Dicionário de P.A.","Não Localizado — Revisar Código/P.A."))))</f>
        <v>Localizado por Código (4914) na Base Mestre</v>
      </c>
      <c r="J19" s="15" t="str">
        <f aca="false">IF(B19="","",IF(IF(ISNUMBER(MATCH(A19,'4.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Produtos)'!$I$4:$I$848,IF(ISNUMBER(MATCH(A19,'4. Base Mestre (845 Produtos)'!$A$4:$A$848,0)),MATCH(A19,'4. Base Mestre (845 Produtos)'!$A$4:$A$848,0),IF(ISNUMBER(MATCH(B19,'4. Base Mestre (845 Produtos)'!$B$4:$B$848,0)),MATCH(B19,'4. Base Mestre (845 Produtos)'!$B$4:$B$848,0),0))),IF(ISNUMBER(MATCH(D19,'3. Dicionario Principios Ativos'!$A$4:$A$245,0)),INDEX('3. Dicionario Principios Ativos'!$B$4:$B$245,MATCH(D19,'3. Dicionario Principios Ativos'!$A$4:$A$245,0)),"Revisar Classificação")))</f>
        <v>Defensivos — Inseticida</v>
      </c>
      <c r="K19" s="16" t="n">
        <f aca="false">IF(B19="","",IF(G19&lt;&gt;"",G19,IF(OR(ISNUMBER(SEARCH("PRINCIPIO ATIVO",B19)),ISNUMBER(SEARCH("PRINC. ATIVO",B19)),ISNUMBER(SEARCH("PR. ATIVO",B19)),ISNUMBER(SEARCH("PR.AT.",B19)),ISNUMBER(SEARCH("(P.A",B19)),ISNUMBER(SEARCH("(P. A",B19))),0,IF(OR(ISNUMBER(SEARCH("0,100KG",B19)),ISNUMBER(SEARCH("0,1KG",B19)),ISNUMBER(SEARCH("0,100L",B19))),0.1,IF(OR(ISNUMBER(SEARCH("0,200L",B19)),ISNUMBER(SEARCH("0,2L",B19)),ISNUMBER(SEARCH("0,200KG",B19)),ISNUMBER(SEARCH("0,2KG",B19))),0.2,IF(OR(ISNUMBER(SEARCH("0,240KG",B19)),ISNUMBER(SEARCH("0,250L",B19))),0.24,IF(OR(ISNUMBER(SEARCH("0,300KG",B19)),ISNUMBER(SEARCH("0,3KG",B19))),0.3,IF(OR(ISNUMBER(SEARCH("0,500L",B19)),ISNUMBER(SEARCH("0,5L",B19)),ISNUMBER(SEARCH("0,5KG",B19))),0.5,IF(ISNUMBER(SEARCH("0,8KG",B19)),0.8,IF(OR(ISNUMBER(SEARCH("1,5L",B19)),ISNUMBER(SEARCH("1,5KG",B19))),1.5,IF(OR(ISNUMBER(SEARCH("1,75L",B19)),ISNUMBER(SEARCH("1,8L",B19)),ISNUMBER(SEARCH("1.8L",B19))),1.8,IF(ISNUMBER(SEARCH("4,5KG",B19)),4.5,IF(ISNUMBER(SEARCH("7,5KG",B19)),7.5,IF(OR(ISNUMBER(SEARCH("1000L",B19)),ISNUMBER(SEARCH("1000KG",B19)),ISNUMBER(SEARCH("1.000KG",B19)),ISNUMBER(SEARCH("1.000L",B19)),ISNUMBER(SEARCH("1000 KG",B19)),ISNUMBER(SEARCH("GRANEL",B19)),ISNUMBER(SEARCH("(TON)",B19))),1000,IF(ISNUMBER(SEARCH("200L",B19)),200,IF(OR(ISNUMBER(SEARCH("25KG",B19)),ISNUMBER(SEARCH("25L",B19))),25,IF(OR(ISNUMBER(SEARCH("20L",B19)),ISNUMBER(SEARCH("20KG",B19))),20,IF(ISNUMBER(SEARCH("15KG",B19)),15,IF(OR(ISNUMBER(SEARCH("10L",B19)),ISNUMBER(SEARCH("10KG",B19))),10,IF(OR(ISNUMBER(SEARCH("5L",B19)),ISNUMBER(SEARCH("5KG",B19)),ISNUMBER(SEARCH("5LT",B19))),5,IF(OR(ISNUMBER(SEARCH("3KG",B19)),ISNUMBER(SEARCH("3L",B19))),3,IF(OR(ISNUMBER(SEARCH("2L",B19)),ISNUMBER(SEARCH("2KG",B19))),2,IF(OR(ISNUMBER(SEARCH("1L",B19)),ISNUMBER(SEARCH("1KG",B19)),ISNUMBER(SEARCH("1LT",B19))),1,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Produtos)'!$D$4:$D$848,IF(ISNUMBER(MATCH(A19,'4. Base Mestre (845 Produtos)'!$A$4:$A$848,0)),MATCH(A19,'4. Base Mestre (845 Produtos)'!$A$4:$A$848,0),IF(ISNUMBER(MATCH(B19,'4. Base Mestre (845 Produtos)'!$B$4:$B$848,0)),MATCH(B19,'4. Base Mestre (845 Produtos)'!$B$4:$B$848,0),0))),1))))))))))))))))))))))))</f>
        <v>0.2</v>
      </c>
      <c r="L19" s="17" t="str">
        <f aca="false">IF(B19="","",IF(OR(ISNUMBER(SEARCH("KG",B19)),ISNUMBER(SEARCH("GR",B19))),"KG",IF(OR(ISNUMBER(SEARCH("0,200L",B19)),ISNUMBER(SEARCH("0,2L",B19)),ISNUMBER(SEARCH("0,5L",B19)),ISNUMBER(SEARCH("1,5L",B19)),ISNUMBER(SEARCH("1,8L",B19)),ISNUMBER(SEARCH("1.8L",B19)),ISNUMBER(SEARCH("1L",B19)),ISNUMBER(SEARCH("2L",B19)),ISNUMBER(SEARCH("3L",B19)),ISNUMBER(SEARCH("5L",B19)),ISNUMBER(SEARCH("10L",B19)),ISNUMBER(SEARCH("20L",B19)),ISNUMBER(SEARCH("25L",B19)),ISNUMBER(SEARCH("200L",B19)),ISNUMBER(SEARCH("1000L",B19)),ISNUMBER(SEARCH("LT",B19))),"L",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Produtos)'!$E$4:$E$848,IF(ISNUMBER(MATCH(A19,'4. Base Mestre (845 Produtos)'!$A$4:$A$848,0)),MATCH(A19,'4. Base Mestre (845 Produtos)'!$A$4:$A$848,0),IF(ISNUMBER(MATCH(B19,'4. Base Mestre (845 Produtos)'!$B$4:$B$848,0)),MATCH(B19,'4. Base Mestre (845 Produtos)'!$B$4:$B$848,0),0))),C19))))</f>
        <v>L</v>
      </c>
      <c r="M19" s="15" t="str">
        <f aca="false">IF(B19="","",IF(C19=L19,"CONFORME — Unidade ("&amp;C19&amp;") compatível c/ Embalagem","DIVERGENTE — Embalagem em "&amp;L19&amp;", mas cadastrado em "&amp;C19))</f>
        <v>CONFORME — Unidade (L) compatível c/ Embalagem</v>
      </c>
      <c r="N19" s="15" t="str">
        <f aca="false">IF(B19="","",IF(K19=0,"Granel / Produto Técnico (Sem Embalagem Comercial)",IF(K19&lt;=0.3001,"Faixa 1 TIPI: Até 300g/mL (3808.61.00 / 3105.10.00)",IF(K19&lt;=7.5001,"Faixa 2 TIPI: De 300g a 7,5kg/L (3808.62.90 / 3105.10.00)",IF(K19&lt;=10.0001,"Faixa 3 TIPI: De 7,5kg a 10kg/L (3808.69.90 / 3105.10.00)","Faixa 4 TIPI: Acima de 10kg/L (3808.69.90 / Cap. 31 Geral)")))))</f>
        <v>Faixa 1 TIPI: Até 300g/mL (3808.61.00 / 3105.10.00)</v>
      </c>
      <c r="O19" s="18" t="str">
        <f aca="false">IF(B19="","",IF(IF(ISNUMBER(MATCH(A19,'4.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Produtos)'!$H$4:$H$848,IF(ISNUMBER(MATCH(A19,'4. Base Mestre (845 Produtos)'!$A$4:$A$848,0)),MATCH(A19,'4. Base Mestre (845 Produtos)'!$A$4:$A$848,0),IF(ISNUMBER(MATCH(B19,'4. Base Mestre (845 Produtos)'!$B$4:$B$848,0)),MATCH(B19,'4. Base Mestre (845 Produtos)'!$B$4:$B$848,0),0))),IF(ISNUMBER(MATCH(D19,'3. Dicionario Principios Ativos'!$A$4:$A$245,0)),INDEX('3. Dicionario Principios Ativos'!$A$4:$A$245,MATCH(D19,'3. Dicionario Principios Ativos'!$A$4:$A$245,0)),D19)))</f>
        <v>MALATIONA 1000</v>
      </c>
      <c r="P19" s="15" t="str">
        <f aca="false">IF(B19="","",IF(D19=O19,"CONFORME — Princípio Ativo Validado","DIVERGENTE — Substituir por: "&amp;O19))</f>
        <v>CONFORME — Princípio Ativo Validado</v>
      </c>
      <c r="Q19" s="19" t="str">
        <f aca="false">IF(B19="","",IF(IF(IF(ISNUMBER(MATCH(A19,'4.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Produtos)'!$J$4:$J$848,IF(ISNUMBER(MATCH(A19,'4. Base Mestre (845 Produtos)'!$A$4:$A$848,0)),MATCH(A19,'4. Base Mestre (845 Produtos)'!$A$4:$A$848,0),IF(ISNUMBER(MATCH(B19,'4. Base Mestre (845 Produtos)'!$B$4:$B$848,0)),MATCH(B19,'4. Base Mestre (845 Produtos)'!$B$4:$B$848,0),0)))="SIM",IF(ISNUMBER(MATCH(D19,'3. Dicionario Principios Ativos'!$A$4:$A$245,0)),INDEX('3. Dicionario Principios Ativos'!$C$4:$C$245,MATCH(D19,'3. Dicionario Principios Ativos'!$A$4:$A$245,0))="SIM",FALSE())),IF(AND(K19&gt;0,K19&lt;=0.3001),"3808.61.00",IF(AND(K19&gt;0.3001,K19&lt;=7.5001),"3808.62.90","3808.69.90")),IF(AND(LEFT(IF(IF(ISNUMBER(MATCH(A19,'4.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Produtos)'!$L$4:$L$848,IF(ISNUMBER(MATCH(A19,'4. Base Mestre (845 Produtos)'!$A$4:$A$848,0)),MATCH(A19,'4. Base Mestre (845 Produtos)'!$A$4:$A$848,0),IF(ISNUMBER(MATCH(B19,'4. Base Mestre (845 Produtos)'!$B$4:$B$848,0)),MATCH(B19,'4. Base Mestre (845 Produtos)'!$B$4:$B$848,0),0))),IF(ISNUMBER(MATCH(D19,'3. Dicionario Principios Ativos'!$A$4:$A$245,0)),INDEX('3. Dicionario Principios Ativos'!$D$4:$D$245,MATCH(D19,'3. Dicionario Principios Ativos'!$A$4:$A$245,0)),E19)),2)="31",E19="3105.10.00",K19&gt;0,K19&lt;=10.0001),"3105.10.00",IF(AND(IF(IF(ISNUMBER(MATCH(A19,'4.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Produtos)'!$L$4:$L$848,IF(ISNUMBER(MATCH(A19,'4. Base Mestre (845 Produtos)'!$A$4:$A$848,0)),MATCH(A19,'4. Base Mestre (845 Produtos)'!$A$4:$A$848,0),IF(ISNUMBER(MATCH(B19,'4. Base Mestre (845 Produtos)'!$B$4:$B$848,0)),MATCH(B19,'4. Base Mestre (845 Produtos)'!$B$4:$B$848,0),0))),IF(ISNUMBER(MATCH(D19,'3. Dicionario Principios Ativos'!$A$4:$A$245,0)),INDEX('3. Dicionario Principios Ativos'!$D$4:$D$245,MATCH(D19,'3. Dicionario Principios Ativos'!$A$4:$A$245,0)),E19))="3105.10.00",K19&gt;10.0001),"3105.90.90",IF(IF(ISNUMBER(MATCH(A19,'4.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Produtos)'!$L$4:$L$848,IF(ISNUMBER(MATCH(A19,'4. Base Mestre (845 Produtos)'!$A$4:$A$848,0)),MATCH(A19,'4. Base Mestre (845 Produtos)'!$A$4:$A$848,0),IF(ISNUMBER(MATCH(B19,'4. Base Mestre (845 Produtos)'!$B$4:$B$848,0)),MATCH(B19,'4. Base Mestre (845 Produtos)'!$B$4:$B$848,0),0))),IF(ISNUMBER(MATCH(D19,'3. Dicionario Principios Ativos'!$A$4:$A$245,0)),INDEX('3. Dicionario Principios Ativos'!$D$4:$D$245,MATCH(D19,'3. Dicionario Principios Ativos'!$A$4:$A$245,0)),E19))))))</f>
        <v>3808.61.00</v>
      </c>
      <c r="R19" s="15" t="str">
        <f aca="false">IF(B19="","",IF(OR(E19=Q19,AND(Q19="3002.49.99",E19="3002.90.00")),"CONFORME — NCM "&amp;E19&amp;" Correta na TIPI","DIVERGENTE — Substituir "&amp;E19&amp;" por "&amp;Q19))</f>
        <v>DIVERGENTE — Substituir 3808.69.90 por 3808.61.00</v>
      </c>
      <c r="S19" s="15" t="str">
        <f aca="false">IF(B19="","",IF(AND(E19="3808.61.00",OR(K19&gt;0.3001,K19=0)),"INCOMPATÍVEL — NCM 3808.61.00 exige emb. &lt;= 0,3kg/L (Emb. atual: "&amp;K19&amp;" "&amp;L19&amp;" -&gt; usar "&amp;Q19&amp;")",IF(AND(LEFT(E19,7)="3808.62",OR(K19&lt;=0.3001,K19&gt;7.5001)),"INCOMPATÍVEL — NCM 3808.62 exige emb. de 0,3 a 7,5kg/L (Emb. atual: "&amp;K19&amp;" "&amp;L19&amp;" -&gt; usar "&amp;Q19&amp;")",IF(AND(LEFT(E19,7)="3808.69",K19&gt;0,K19&lt;=7.5001),"INCOMPATÍVEL — NCM 3808.69 exige emb. &gt; 7,5kg/L (Emb. atual: "&amp;K19&amp;" "&amp;L19&amp;" -&gt; usar "&amp;Q19&amp;")",IF(AND(LEFT(Q19,6)="3808.6",LEFT(E19,6)&lt;&gt;"3808.6"),"INCOMPATÍVEL — Molécula Nota Subpos. 2 c/ emb. "&amp;K19&amp;" "&amp;L19&amp;" exige NCM "&amp;Q19,IF(AND(OR(E19="3808.91.19",E19="3808.92.19",E19="3808.93.19",E19="3808.99.19"),K19&gt;=1),"INCOMPATÍVEL — Subitem .19 (Domissanitário) vedado p/ emb. agrícola de "&amp;K19&amp;" "&amp;L19,IF(AND(E19="3105.10.00",K19&gt;10.0001),"INCOMPATÍVEL — NCM 3105.10.00 exige peso bruto &lt;= 10kg (Emb. atual: "&amp;K19&amp;" "&amp;L19&amp;" -&gt; usar 3105.90.90)",IF(AND(LEFT(E19,2)="29",LEFT(Q19,4)="3808",K19&gt;0),"INCOMPATÍVEL — Produto formulado em emb. comercial ("&amp;K19&amp;" "&amp;L19&amp;") vedado no Cap. 29 -&gt; usar "&amp;Q19,"CONFORME — Embalagem ("&amp;K19&amp;" "&amp;L19&amp;") compatível c/ a NCM"))))))))</f>
        <v>INCOMPATÍVEL — NCM 3808.69 exige emb. &gt; 7,5kg/L (Emb. atual: 0.2 L -&gt; usar 3808.61.00)</v>
      </c>
      <c r="T19" s="19" t="n">
        <f aca="false">IF(B19="","",IF(IF(ISNUMBER(MATCH(A19,'4.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Produtos)'!$P$4:$P$848,IF(ISNUMBER(MATCH(A19,'4. Base Mestre (845 Produtos)'!$A$4:$A$848,0)),MATCH(A19,'4. Base Mestre (845 Produtos)'!$A$4:$A$848,0),IF(ISNUMBER(MATCH(B19,'4. Base Mestre (845 Produtos)'!$B$4:$B$848,0)),MATCH(B19,'4. Base Mestre (845 Produtos)'!$B$4:$B$848,0),0))),IF(ISNUMBER(MATCH(D19,'3. Dicionario Principios Ativos'!$A$4:$A$245,0)),INDEX('3. Dicionario Principios Ativos'!$K$4:$K$245,MATCH(D19,'3. Dicionario Principios Ativos'!$A$4:$A$245,0)),"VERIFICAR BULA")))</f>
        <v>26023</v>
      </c>
      <c r="U19" s="15" t="str">
        <f aca="false">IF(B19="","",IF(ISNUMBER(SEARCH("ISENTO",T19)),IF(OR(F19=0,F19="0",F19="ISENTO",F19=""),"CONFORME (DISPENSADO) — Isento pelo Ato SDA/MAPA nº 104/2017","INCORRETO — Produto isento de registro MAPA (usar 0 ou ISENTO)"),IF(ISNUMBER(SEARCH("SIPEAGRO",T19)),IF(ISNUMBER(SEARCH("-",F19)),"CONFORME — Registro SIPEAGRO ("&amp;F19&amp;") Preenchido","ADEQUAR P/ SIPEAGRO — Substituir 0 pelo Registro (UF-XXXXX-XXXXX.X)"),IF(ISNUMBER(SEARCH("VINCULAR",T19)),IF(AND(F19&lt;&gt;0,F19&lt;&gt;"0",F19&lt;&gt;""),"INCORRETO / TROCADO — Código "&amp;F19&amp;" pertence a outro produto (Vincular bula da marca)","VINCULAR MARCA — Cadastro de P.A. s/ marca fixa (Vincular registro na NF-e)"),IF(OR(F19=0,F19="0",F19=""),"AUSENTE (ZERO) — Preencher Registro Oficial MAPA nº "&amp;T19,IF(TEXT(F19,"0")=TEXT(T19,"0"),"CONFORME — Registro MAPA nº "&amp;T19&amp;" Validado na Bula","INCORRETO / TROCADO — Substituir "&amp;F19&amp;" pelo Registro Oficial nº "&amp;T19))))))</f>
        <v>CONFORME — Registro MAPA nº 26023 Validado na Bula</v>
      </c>
      <c r="V19" s="15" t="str">
        <f aca="false">IF(B19="","",IF(IF(ISNUMBER(MATCH(A19,'4.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Produtos)'!$S$4:$S$848,IF(ISNUMBER(MATCH(A19,'4. Base Mestre (845 Produtos)'!$A$4:$A$848,0)),MATCH(A19,'4. Base Mestre (845 Produtos)'!$A$4:$A$848,0),IF(ISNUMBER(MATCH(B19,'4. Base Mestre (845 Produtos)'!$B$4:$B$848,0)),MATCH(B19,'4. Base Mestre (845 Produtos)'!$B$4:$B$848,0),0))),IF(ISNUMBER(MATCH(D19,'3. Dicionario Principios Ativos'!$A$4:$A$245,0)),INDEX('3. Dicionario Principios Ativos'!$L$4:$L$245,MATCH(D19,'3. Dicionario Principios Ativos'!$A$4:$A$245,0)),"Verificar NCM")))</f>
        <v>Beneficiado (Lei 10.925/04): 0% até Mar/26 | 0,925% Real / 0,365% Pres. pós-Abr/26 (LC 224/25)</v>
      </c>
      <c r="W19" s="15" t="str">
        <f aca="false">IF(B19="","",IF(IF(ISNUMBER(MATCH(A19,'4. Base Mestre (845 Produtos)'!$A$4:$A$848,0)),MATCH(A19,'4. Base Mestre (845 Produtos)'!$A$4:$A$848,0),IF(ISNUMBER(MATCH(B19,'4. Base Mestre (845 Produtos)'!$B$4:$B$848,0)),MATCH(B19,'4. Base Mestre (845 Produtos)'!$B$4:$B$848,0),0))&gt;0,INDEX('4. Base Mestre (845 Produtos)'!$T$4:$T$848,IF(ISNUMBER(MATCH(A19,'4. Base Mestre (845 Produtos)'!$A$4:$A$848,0)),MATCH(A19,'4. Base Mestre (845 Produtos)'!$A$4:$A$848,0),IF(ISNUMBER(MATCH(B19,'4. Base Mestre (845 Produtos)'!$B$4:$B$848,0)),MATCH(B19,'4. Base Mestre (845 Produtos)'!$B$4:$B$848,0),0))),IF(ISNUMBER(MATCH(D19,'3. Dicionario Principios Ativos'!$A$4:$A$245,0)),INDEX('3. Dicionario Principios Ativos'!$M$4:$M$245,MATCH(D19,'3. Dicionario Principios Ativos'!$A$4:$A$245,0)),"Verificar CST")))</f>
        <v>Saída: CST 06 (c/ Ajuste M220/M620 pós-Abr/26) | Entrada Revenda: CST 73</v>
      </c>
      <c r="X19" s="18" t="str">
        <f aca="false">IF(B19="","",IF(AND(LEFT(M19,8)="CONFORME",LEFT(P19,8)="CONFORME",LEFT(R19,8)="CONFORME",LEFT(S19,8)="CONFORME",LEFT(U19,8)="CONFORME"),"CADASTRO 100% CONFORME — LIBERADO P/ ERP",IF(AND(LEFT(M19,8)="CONFORME",LEFT(P19,8)="CONFORME",LEFT(R19,8)="CONFORME",LEFT(S19,8)="CONFORME",OR(LEFT(U19,7)="ADEQUAR",LEFT(U19,8)="VINCULAR")),"FISCAL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20" customFormat="false" ht="21.75" hidden="false" customHeight="true" outlineLevel="0" collapsed="false">
      <c r="A20" s="10" t="n">
        <v>7374</v>
      </c>
      <c r="B20" s="11" t="s">
        <v>77</v>
      </c>
      <c r="C20" s="12" t="s">
        <v>63</v>
      </c>
      <c r="D20" s="13" t="s">
        <v>78</v>
      </c>
      <c r="E20" s="12" t="s">
        <v>51</v>
      </c>
      <c r="F20" s="12" t="n">
        <v>52425</v>
      </c>
      <c r="G20" s="14"/>
      <c r="H20" s="13" t="s">
        <v>79</v>
      </c>
      <c r="I20" s="20" t="str">
        <f aca="false">IF(B20="","",IF(ISNUMBER(MATCH(A20,'4. Base Mestre (845 Produtos)'!$A$4:$A$848,0)),"Localizado por Código ("&amp;A20&amp;") na Base Mestre",IF(ISNUMBER(MATCH(B20,'4. Base Mestre (845 Produtos)'!$B$4:$B$848,0)),"Localizado por Descrição na Base Mestre",IF(ISNUMBER(MATCH(D20,'3. Dicionario Principios Ativos'!$A$4:$A$245,0)),"Produto Novo — Validado pelo Dicionário de P.A.","Não Localizado — Revisar Código/P.A."))))</f>
        <v>Localizado por Código (7374) na Base Mestre</v>
      </c>
      <c r="J20" s="20" t="str">
        <f aca="false">IF(B20="","",IF(IF(ISNUMBER(MATCH(A20,'4.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Produtos)'!$I$4:$I$848,IF(ISNUMBER(MATCH(A20,'4. Base Mestre (845 Produtos)'!$A$4:$A$848,0)),MATCH(A20,'4. Base Mestre (845 Produtos)'!$A$4:$A$848,0),IF(ISNUMBER(MATCH(B20,'4. Base Mestre (845 Produtos)'!$B$4:$B$848,0)),MATCH(B20,'4. Base Mestre (845 Produtos)'!$B$4:$B$848,0),0))),IF(ISNUMBER(MATCH(D20,'3. Dicionario Principios Ativos'!$A$4:$A$245,0)),INDEX('3. Dicionario Principios Ativos'!$B$4:$B$245,MATCH(D20,'3. Dicionario Principios Ativos'!$A$4:$A$245,0)),"Revisar Classificação")))</f>
        <v>Defensivos — Inseticida</v>
      </c>
      <c r="K20" s="21" t="n">
        <f aca="false">IF(B20="","",IF(G20&lt;&gt;"",G20,IF(OR(ISNUMBER(SEARCH("PRINCIPIO ATIVO",B20)),ISNUMBER(SEARCH("PRINC. ATIVO",B20)),ISNUMBER(SEARCH("PR. ATIVO",B20)),ISNUMBER(SEARCH("PR.AT.",B20)),ISNUMBER(SEARCH("(P.A",B20)),ISNUMBER(SEARCH("(P. A",B20))),0,IF(OR(ISNUMBER(SEARCH("0,100KG",B20)),ISNUMBER(SEARCH("0,1KG",B20)),ISNUMBER(SEARCH("0,100L",B20))),0.1,IF(OR(ISNUMBER(SEARCH("0,200L",B20)),ISNUMBER(SEARCH("0,2L",B20)),ISNUMBER(SEARCH("0,200KG",B20)),ISNUMBER(SEARCH("0,2KG",B20))),0.2,IF(OR(ISNUMBER(SEARCH("0,240KG",B20)),ISNUMBER(SEARCH("0,250L",B20))),0.24,IF(OR(ISNUMBER(SEARCH("0,300KG",B20)),ISNUMBER(SEARCH("0,3KG",B20))),0.3,IF(OR(ISNUMBER(SEARCH("0,500L",B20)),ISNUMBER(SEARCH("0,5L",B20)),ISNUMBER(SEARCH("0,5KG",B20))),0.5,IF(ISNUMBER(SEARCH("0,8KG",B20)),0.8,IF(OR(ISNUMBER(SEARCH("1,5L",B20)),ISNUMBER(SEARCH("1,5KG",B20))),1.5,IF(OR(ISNUMBER(SEARCH("1,75L",B20)),ISNUMBER(SEARCH("1,8L",B20)),ISNUMBER(SEARCH("1.8L",B20))),1.8,IF(ISNUMBER(SEARCH("4,5KG",B20)),4.5,IF(ISNUMBER(SEARCH("7,5KG",B20)),7.5,IF(OR(ISNUMBER(SEARCH("1000L",B20)),ISNUMBER(SEARCH("1000KG",B20)),ISNUMBER(SEARCH("1.000KG",B20)),ISNUMBER(SEARCH("1.000L",B20)),ISNUMBER(SEARCH("1000 KG",B20)),ISNUMBER(SEARCH("GRANEL",B20)),ISNUMBER(SEARCH("(TON)",B20))),1000,IF(ISNUMBER(SEARCH("200L",B20)),200,IF(OR(ISNUMBER(SEARCH("25KG",B20)),ISNUMBER(SEARCH("25L",B20))),25,IF(OR(ISNUMBER(SEARCH("20L",B20)),ISNUMBER(SEARCH("20KG",B20))),20,IF(ISNUMBER(SEARCH("15KG",B20)),15,IF(OR(ISNUMBER(SEARCH("10L",B20)),ISNUMBER(SEARCH("10KG",B20))),10,IF(OR(ISNUMBER(SEARCH("5L",B20)),ISNUMBER(SEARCH("5KG",B20)),ISNUMBER(SEARCH("5LT",B20))),5,IF(OR(ISNUMBER(SEARCH("3KG",B20)),ISNUMBER(SEARCH("3L",B20))),3,IF(OR(ISNUMBER(SEARCH("2L",B20)),ISNUMBER(SEARCH("2KG",B20))),2,IF(OR(ISNUMBER(SEARCH("1L",B20)),ISNUMBER(SEARCH("1KG",B20)),ISNUMBER(SEARCH("1LT",B20))),1,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Produtos)'!$D$4:$D$848,IF(ISNUMBER(MATCH(A20,'4. Base Mestre (845 Produtos)'!$A$4:$A$848,0)),MATCH(A20,'4. Base Mestre (845 Produtos)'!$A$4:$A$848,0),IF(ISNUMBER(MATCH(B20,'4. Base Mestre (845 Produtos)'!$B$4:$B$848,0)),MATCH(B20,'4. Base Mestre (845 Produtos)'!$B$4:$B$848,0),0))),1))))))))))))))))))))))))</f>
        <v>0.1</v>
      </c>
      <c r="L20" s="22" t="str">
        <f aca="false">IF(B20="","",IF(OR(ISNUMBER(SEARCH("KG",B20)),ISNUMBER(SEARCH("GR",B20))),"KG",IF(OR(ISNUMBER(SEARCH("0,200L",B20)),ISNUMBER(SEARCH("0,2L",B20)),ISNUMBER(SEARCH("0,5L",B20)),ISNUMBER(SEARCH("1,5L",B20)),ISNUMBER(SEARCH("1,8L",B20)),ISNUMBER(SEARCH("1.8L",B20)),ISNUMBER(SEARCH("1L",B20)),ISNUMBER(SEARCH("2L",B20)),ISNUMBER(SEARCH("3L",B20)),ISNUMBER(SEARCH("5L",B20)),ISNUMBER(SEARCH("10L",B20)),ISNUMBER(SEARCH("20L",B20)),ISNUMBER(SEARCH("25L",B20)),ISNUMBER(SEARCH("200L",B20)),ISNUMBER(SEARCH("1000L",B20)),ISNUMBER(SEARCH("LT",B20))),"L",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Produtos)'!$E$4:$E$848,IF(ISNUMBER(MATCH(A20,'4. Base Mestre (845 Produtos)'!$A$4:$A$848,0)),MATCH(A20,'4. Base Mestre (845 Produtos)'!$A$4:$A$848,0),IF(ISNUMBER(MATCH(B20,'4. Base Mestre (845 Produtos)'!$B$4:$B$848,0)),MATCH(B20,'4. Base Mestre (845 Produtos)'!$B$4:$B$848,0),0))),C20))))</f>
        <v>KG</v>
      </c>
      <c r="M20" s="20" t="str">
        <f aca="false">IF(B20="","",IF(C20=L20,"CONFORME — Unidade ("&amp;C20&amp;") compatível c/ Embalagem","DIVERGENTE — Embalagem em "&amp;L20&amp;", mas cadastrado em "&amp;C20))</f>
        <v>CONFORME — Unidade (KG) compatível c/ Embalagem</v>
      </c>
      <c r="N20" s="20" t="str">
        <f aca="false">IF(B20="","",IF(K20=0,"Granel / Produto Técnico (Sem Embalagem Comercial)",IF(K20&lt;=0.3001,"Faixa 1 TIPI: Até 300g/mL (3808.61.00 / 3105.10.00)",IF(K20&lt;=7.5001,"Faixa 2 TIPI: De 300g a 7,5kg/L (3808.62.90 / 3105.10.00)",IF(K20&lt;=10.0001,"Faixa 3 TIPI: De 7,5kg a 10kg/L (3808.69.90 / 3105.10.00)","Faixa 4 TIPI: Acima de 10kg/L (3808.69.90 / Cap. 31 Geral)")))))</f>
        <v>Faixa 1 TIPI: Até 300g/mL (3808.61.00 / 3105.10.00)</v>
      </c>
      <c r="O20" s="23" t="str">
        <f aca="false">IF(B20="","",IF(IF(ISNUMBER(MATCH(A20,'4.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Produtos)'!$H$4:$H$848,IF(ISNUMBER(MATCH(A20,'4. Base Mestre (845 Produtos)'!$A$4:$A$848,0)),MATCH(A20,'4. Base Mestre (845 Produtos)'!$A$4:$A$848,0),IF(ISNUMBER(MATCH(B20,'4. Base Mestre (845 Produtos)'!$B$4:$B$848,0)),MATCH(B20,'4. Base Mestre (845 Produtos)'!$B$4:$B$848,0),0))),IF(ISNUMBER(MATCH(D20,'3. Dicionario Principios Ativos'!$A$4:$A$245,0)),INDEX('3. Dicionario Principios Ativos'!$A$4:$A$245,MATCH(D20,'3. Dicionario Principios Ativos'!$A$4:$A$245,0)),D20)))</f>
        <v>ACETAMIPRIDO 250 +  BIFENTRINA 250</v>
      </c>
      <c r="P20" s="20" t="str">
        <f aca="false">IF(B20="","",IF(D20=O20,"CONFORME — Princípio Ativo Validado","DIVERGENTE — Substituir por: "&amp;O20))</f>
        <v>CONFORME — Princípio Ativo Validado</v>
      </c>
      <c r="Q20" s="24" t="str">
        <f aca="false">IF(B20="","",IF(IF(IF(ISNUMBER(MATCH(A20,'4.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Produtos)'!$J$4:$J$848,IF(ISNUMBER(MATCH(A20,'4. Base Mestre (845 Produtos)'!$A$4:$A$848,0)),MATCH(A20,'4. Base Mestre (845 Produtos)'!$A$4:$A$848,0),IF(ISNUMBER(MATCH(B20,'4. Base Mestre (845 Produtos)'!$B$4:$B$848,0)),MATCH(B20,'4. Base Mestre (845 Produtos)'!$B$4:$B$848,0),0)))="SIM",IF(ISNUMBER(MATCH(D20,'3. Dicionario Principios Ativos'!$A$4:$A$245,0)),INDEX('3. Dicionario Principios Ativos'!$C$4:$C$245,MATCH(D20,'3. Dicionario Principios Ativos'!$A$4:$A$245,0))="SIM",FALSE())),IF(AND(K20&gt;0,K20&lt;=0.3001),"3808.61.00",IF(AND(K20&gt;0.3001,K20&lt;=7.5001),"3808.62.90","3808.69.90")),IF(AND(LEFT(IF(IF(ISNUMBER(MATCH(A20,'4.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Produtos)'!$L$4:$L$848,IF(ISNUMBER(MATCH(A20,'4. Base Mestre (845 Produtos)'!$A$4:$A$848,0)),MATCH(A20,'4. Base Mestre (845 Produtos)'!$A$4:$A$848,0),IF(ISNUMBER(MATCH(B20,'4. Base Mestre (845 Produtos)'!$B$4:$B$848,0)),MATCH(B20,'4. Base Mestre (845 Produtos)'!$B$4:$B$848,0),0))),IF(ISNUMBER(MATCH(D20,'3. Dicionario Principios Ativos'!$A$4:$A$245,0)),INDEX('3. Dicionario Principios Ativos'!$D$4:$D$245,MATCH(D20,'3. Dicionario Principios Ativos'!$A$4:$A$245,0)),E20)),2)="31",E20="3105.10.00",K20&gt;0,K20&lt;=10.0001),"3105.10.00",IF(AND(IF(IF(ISNUMBER(MATCH(A20,'4.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Produtos)'!$L$4:$L$848,IF(ISNUMBER(MATCH(A20,'4. Base Mestre (845 Produtos)'!$A$4:$A$848,0)),MATCH(A20,'4. Base Mestre (845 Produtos)'!$A$4:$A$848,0),IF(ISNUMBER(MATCH(B20,'4. Base Mestre (845 Produtos)'!$B$4:$B$848,0)),MATCH(B20,'4. Base Mestre (845 Produtos)'!$B$4:$B$848,0),0))),IF(ISNUMBER(MATCH(D20,'3. Dicionario Principios Ativos'!$A$4:$A$245,0)),INDEX('3. Dicionario Principios Ativos'!$D$4:$D$245,MATCH(D20,'3. Dicionario Principios Ativos'!$A$4:$A$245,0)),E20))="3105.10.00",K20&gt;10.0001),"3105.90.90",IF(IF(ISNUMBER(MATCH(A20,'4.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Produtos)'!$L$4:$L$848,IF(ISNUMBER(MATCH(A20,'4. Base Mestre (845 Produtos)'!$A$4:$A$848,0)),MATCH(A20,'4. Base Mestre (845 Produtos)'!$A$4:$A$848,0),IF(ISNUMBER(MATCH(B20,'4. Base Mestre (845 Produtos)'!$B$4:$B$848,0)),MATCH(B20,'4. Base Mestre (845 Produtos)'!$B$4:$B$848,0),0))),IF(ISNUMBER(MATCH(D20,'3. Dicionario Principios Ativos'!$A$4:$A$245,0)),INDEX('3. Dicionario Principios Ativos'!$D$4:$D$245,MATCH(D20,'3. Dicionario Principios Ativos'!$A$4:$A$245,0)),E20))))))</f>
        <v>3808.61.00</v>
      </c>
      <c r="R20" s="20" t="str">
        <f aca="false">IF(B20="","",IF(OR(E20=Q20,AND(Q20="3002.49.99",E20="3002.90.00")),"CONFORME — NCM "&amp;E20&amp;" Correta na TIPI","DIVERGENTE — Substituir "&amp;E20&amp;" por "&amp;Q20))</f>
        <v>DIVERGENTE — Substituir 3808.69.90 por 3808.61.00</v>
      </c>
      <c r="S20" s="20" t="str">
        <f aca="false">IF(B20="","",IF(AND(E20="3808.61.00",OR(K20&gt;0.3001,K20=0)),"INCOMPATÍVEL — NCM 3808.61.00 exige emb. &lt;= 0,3kg/L (Emb. atual: "&amp;K20&amp;" "&amp;L20&amp;" -&gt; usar "&amp;Q20&amp;")",IF(AND(LEFT(E20,7)="3808.62",OR(K20&lt;=0.3001,K20&gt;7.5001)),"INCOMPATÍVEL — NCM 3808.62 exige emb. de 0,3 a 7,5kg/L (Emb. atual: "&amp;K20&amp;" "&amp;L20&amp;" -&gt; usar "&amp;Q20&amp;")",IF(AND(LEFT(E20,7)="3808.69",K20&gt;0,K20&lt;=7.5001),"INCOMPATÍVEL — NCM 3808.69 exige emb. &gt; 7,5kg/L (Emb. atual: "&amp;K20&amp;" "&amp;L20&amp;" -&gt; usar "&amp;Q20&amp;")",IF(AND(LEFT(Q20,6)="3808.6",LEFT(E20,6)&lt;&gt;"3808.6"),"INCOMPATÍVEL — Molécula Nota Subpos. 2 c/ emb. "&amp;K20&amp;" "&amp;L20&amp;" exige NCM "&amp;Q20,IF(AND(OR(E20="3808.91.19",E20="3808.92.19",E20="3808.93.19",E20="3808.99.19"),K20&gt;=1),"INCOMPATÍVEL — Subitem .19 (Domissanitário) vedado p/ emb. agrícola de "&amp;K20&amp;" "&amp;L20,IF(AND(E20="3105.10.00",K20&gt;10.0001),"INCOMPATÍVEL — NCM 3105.10.00 exige peso bruto &lt;= 10kg (Emb. atual: "&amp;K20&amp;" "&amp;L20&amp;" -&gt; usar 3105.90.90)",IF(AND(LEFT(E20,2)="29",LEFT(Q20,4)="3808",K20&gt;0),"INCOMPATÍVEL — Produto formulado em emb. comercial ("&amp;K20&amp;" "&amp;L20&amp;") vedado no Cap. 29 -&gt; usar "&amp;Q20,"CONFORME — Embalagem ("&amp;K20&amp;" "&amp;L20&amp;") compatível c/ a NCM"))))))))</f>
        <v>INCOMPATÍVEL — NCM 3808.69 exige emb. &gt; 7,5kg/L (Emb. atual: 0.1 KG -&gt; usar 3808.61.00)</v>
      </c>
      <c r="T20" s="24" t="n">
        <f aca="false">IF(B20="","",IF(IF(ISNUMBER(MATCH(A20,'4.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Produtos)'!$P$4:$P$848,IF(ISNUMBER(MATCH(A20,'4. Base Mestre (845 Produtos)'!$A$4:$A$848,0)),MATCH(A20,'4. Base Mestre (845 Produtos)'!$A$4:$A$848,0),IF(ISNUMBER(MATCH(B20,'4. Base Mestre (845 Produtos)'!$B$4:$B$848,0)),MATCH(B20,'4. Base Mestre (845 Produtos)'!$B$4:$B$848,0),0))),IF(ISNUMBER(MATCH(D20,'3. Dicionario Principios Ativos'!$A$4:$A$245,0)),INDEX('3. Dicionario Principios Ativos'!$K$4:$K$245,MATCH(D20,'3. Dicionario Principios Ativos'!$A$4:$A$245,0)),"VERIFICAR BULA")))</f>
        <v>52425</v>
      </c>
      <c r="U20" s="20" t="str">
        <f aca="false">IF(B20="","",IF(ISNUMBER(SEARCH("ISENTO",T20)),IF(OR(F20=0,F20="0",F20="ISENTO",F20=""),"CONFORME (DISPENSADO) — Isento pelo Ato SDA/MAPA nº 104/2017","INCORRETO — Produto isento de registro MAPA (usar 0 ou ISENTO)"),IF(ISNUMBER(SEARCH("SIPEAGRO",T20)),IF(ISNUMBER(SEARCH("-",F20)),"CONFORME — Registro SIPEAGRO ("&amp;F20&amp;") Preenchido","ADEQUAR P/ SIPEAGRO — Substituir 0 pelo Registro (UF-XXXXX-XXXXX.X)"),IF(ISNUMBER(SEARCH("VINCULAR",T20)),IF(AND(F20&lt;&gt;0,F20&lt;&gt;"0",F20&lt;&gt;""),"INCORRETO / TROCADO — Código "&amp;F20&amp;" pertence a outro produto (Vincular bula da marca)","VINCULAR MARCA — Cadastro de P.A. s/ marca fixa (Vincular registro na NF-e)"),IF(OR(F20=0,F20="0",F20=""),"AUSENTE (ZERO) — Preencher Registro Oficial MAPA nº "&amp;T20,IF(TEXT(F20,"0")=TEXT(T20,"0"),"CONFORME — Registro MAPA nº "&amp;T20&amp;" Validado na Bula","INCORRETO / TROCADO — Substituir "&amp;F20&amp;" pelo Registro Oficial nº "&amp;T20))))))</f>
        <v>CONFORME — Registro MAPA nº 52425 Validado na Bula</v>
      </c>
      <c r="V20" s="20" t="str">
        <f aca="false">IF(B20="","",IF(IF(ISNUMBER(MATCH(A20,'4.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Produtos)'!$S$4:$S$848,IF(ISNUMBER(MATCH(A20,'4. Base Mestre (845 Produtos)'!$A$4:$A$848,0)),MATCH(A20,'4. Base Mestre (845 Produtos)'!$A$4:$A$848,0),IF(ISNUMBER(MATCH(B20,'4. Base Mestre (845 Produtos)'!$B$4:$B$848,0)),MATCH(B20,'4. Base Mestre (845 Produtos)'!$B$4:$B$848,0),0))),IF(ISNUMBER(MATCH(D20,'3. Dicionario Principios Ativos'!$A$4:$A$245,0)),INDEX('3. Dicionario Principios Ativos'!$L$4:$L$245,MATCH(D20,'3. Dicionario Principios Ativos'!$A$4:$A$245,0)),"Verificar NCM")))</f>
        <v>Beneficiado (Lei 10.925/04): 0% até Mar/26 | 0,925% Real / 0,365% Pres. pós-Abr/26 (LC 224/25)</v>
      </c>
      <c r="W20" s="20" t="str">
        <f aca="false">IF(B20="","",IF(IF(ISNUMBER(MATCH(A20,'4. Base Mestre (845 Produtos)'!$A$4:$A$848,0)),MATCH(A20,'4. Base Mestre (845 Produtos)'!$A$4:$A$848,0),IF(ISNUMBER(MATCH(B20,'4. Base Mestre (845 Produtos)'!$B$4:$B$848,0)),MATCH(B20,'4. Base Mestre (845 Produtos)'!$B$4:$B$848,0),0))&gt;0,INDEX('4. Base Mestre (845 Produtos)'!$T$4:$T$848,IF(ISNUMBER(MATCH(A20,'4. Base Mestre (845 Produtos)'!$A$4:$A$848,0)),MATCH(A20,'4. Base Mestre (845 Produtos)'!$A$4:$A$848,0),IF(ISNUMBER(MATCH(B20,'4. Base Mestre (845 Produtos)'!$B$4:$B$848,0)),MATCH(B20,'4. Base Mestre (845 Produtos)'!$B$4:$B$848,0),0))),IF(ISNUMBER(MATCH(D20,'3. Dicionario Principios Ativos'!$A$4:$A$245,0)),INDEX('3. Dicionario Principios Ativos'!$M$4:$M$245,MATCH(D20,'3. Dicionario Principios Ativos'!$A$4:$A$245,0)),"Verificar CST")))</f>
        <v>Saída: CST 06 (c/ Ajuste M220/M620 pós-Abr/26) | Entrada Revenda: CST 73</v>
      </c>
      <c r="X20" s="23" t="str">
        <f aca="false">IF(B20="","",IF(AND(LEFT(M20,8)="CONFORME",LEFT(P20,8)="CONFORME",LEFT(R20,8)="CONFORME",LEFT(S20,8)="CONFORME",LEFT(U20,8)="CONFORME"),"CADASTRO 100% CONFORME — LIBERADO P/ ERP",IF(AND(LEFT(M20,8)="CONFORME",LEFT(P20,8)="CONFORME",LEFT(R20,8)="CONFORME",LEFT(S20,8)="CONFORME",OR(LEFT(U20,7)="ADEQUAR",LEFT(U20,8)="VINCULAR")),"FISCAL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21" customFormat="false" ht="21.75" hidden="false" customHeight="true" outlineLevel="0" collapsed="false">
      <c r="A21" s="10" t="n">
        <v>18</v>
      </c>
      <c r="B21" s="11" t="s">
        <v>80</v>
      </c>
      <c r="C21" s="12" t="s">
        <v>39</v>
      </c>
      <c r="D21" s="13" t="s">
        <v>81</v>
      </c>
      <c r="E21" s="12" t="s">
        <v>82</v>
      </c>
      <c r="F21" s="12" t="n">
        <v>23121</v>
      </c>
      <c r="G21" s="14"/>
      <c r="H21" s="13" t="s">
        <v>83</v>
      </c>
      <c r="I21" s="15" t="str">
        <f aca="false">IF(B21="","",IF(ISNUMBER(MATCH(A21,'4. Base Mestre (845 Produtos)'!$A$4:$A$848,0)),"Localizado por Código ("&amp;A21&amp;") na Base Mestre",IF(ISNUMBER(MATCH(B21,'4. Base Mestre (845 Produtos)'!$B$4:$B$848,0)),"Localizado por Descrição na Base Mestre",IF(ISNUMBER(MATCH(D21,'3. Dicionario Principios Ativos'!$A$4:$A$245,0)),"Produto Novo — Validado pelo Dicionário de P.A.","Não Localizado — Revisar Código/P.A."))))</f>
        <v>Localizado por Código (18) na Base Mestre</v>
      </c>
      <c r="J21" s="15" t="str">
        <f aca="false">IF(B21="","",IF(IF(ISNUMBER(MATCH(A21,'4.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Produtos)'!$I$4:$I$848,IF(ISNUMBER(MATCH(A21,'4. Base Mestre (845 Produtos)'!$A$4:$A$848,0)),MATCH(A21,'4. Base Mestre (845 Produtos)'!$A$4:$A$848,0),IF(ISNUMBER(MATCH(B21,'4. Base Mestre (845 Produtos)'!$B$4:$B$848,0)),MATCH(B21,'4. Base Mestre (845 Produtos)'!$B$4:$B$848,0),0))),IF(ISNUMBER(MATCH(D21,'3. Dicionario Principios Ativos'!$A$4:$A$245,0)),INDEX('3. Dicionario Principios Ativos'!$B$4:$B$245,MATCH(D21,'3. Dicionario Principios Ativos'!$A$4:$A$245,0)),"Revisar Classificação")))</f>
        <v>Defensivos — Inseticida</v>
      </c>
      <c r="K21" s="16" t="n">
        <f aca="false">IF(B21="","",IF(G21&lt;&gt;"",G21,IF(OR(ISNUMBER(SEARCH("PRINCIPIO ATIVO",B21)),ISNUMBER(SEARCH("PRINC. ATIVO",B21)),ISNUMBER(SEARCH("PR. ATIVO",B21)),ISNUMBER(SEARCH("PR.AT.",B21)),ISNUMBER(SEARCH("(P.A",B21)),ISNUMBER(SEARCH("(P. A",B21))),0,IF(OR(ISNUMBER(SEARCH("0,100KG",B21)),ISNUMBER(SEARCH("0,1KG",B21)),ISNUMBER(SEARCH("0,100L",B21))),0.1,IF(OR(ISNUMBER(SEARCH("0,200L",B21)),ISNUMBER(SEARCH("0,2L",B21)),ISNUMBER(SEARCH("0,200KG",B21)),ISNUMBER(SEARCH("0,2KG",B21))),0.2,IF(OR(ISNUMBER(SEARCH("0,240KG",B21)),ISNUMBER(SEARCH("0,250L",B21))),0.24,IF(OR(ISNUMBER(SEARCH("0,300KG",B21)),ISNUMBER(SEARCH("0,3KG",B21))),0.3,IF(OR(ISNUMBER(SEARCH("0,500L",B21)),ISNUMBER(SEARCH("0,5L",B21)),ISNUMBER(SEARCH("0,5KG",B21))),0.5,IF(ISNUMBER(SEARCH("0,8KG",B21)),0.8,IF(OR(ISNUMBER(SEARCH("1,5L",B21)),ISNUMBER(SEARCH("1,5KG",B21))),1.5,IF(OR(ISNUMBER(SEARCH("1,75L",B21)),ISNUMBER(SEARCH("1,8L",B21)),ISNUMBER(SEARCH("1.8L",B21))),1.8,IF(ISNUMBER(SEARCH("4,5KG",B21)),4.5,IF(ISNUMBER(SEARCH("7,5KG",B21)),7.5,IF(OR(ISNUMBER(SEARCH("1000L",B21)),ISNUMBER(SEARCH("1000KG",B21)),ISNUMBER(SEARCH("1.000KG",B21)),ISNUMBER(SEARCH("1.000L",B21)),ISNUMBER(SEARCH("1000 KG",B21)),ISNUMBER(SEARCH("GRANEL",B21)),ISNUMBER(SEARCH("(TON)",B21))),1000,IF(ISNUMBER(SEARCH("200L",B21)),200,IF(OR(ISNUMBER(SEARCH("25KG",B21)),ISNUMBER(SEARCH("25L",B21))),25,IF(OR(ISNUMBER(SEARCH("20L",B21)),ISNUMBER(SEARCH("20KG",B21))),20,IF(ISNUMBER(SEARCH("15KG",B21)),15,IF(OR(ISNUMBER(SEARCH("10L",B21)),ISNUMBER(SEARCH("10KG",B21))),10,IF(OR(ISNUMBER(SEARCH("5L",B21)),ISNUMBER(SEARCH("5KG",B21)),ISNUMBER(SEARCH("5LT",B21))),5,IF(OR(ISNUMBER(SEARCH("3KG",B21)),ISNUMBER(SEARCH("3L",B21))),3,IF(OR(ISNUMBER(SEARCH("2L",B21)),ISNUMBER(SEARCH("2KG",B21))),2,IF(OR(ISNUMBER(SEARCH("1L",B21)),ISNUMBER(SEARCH("1KG",B21)),ISNUMBER(SEARCH("1LT",B21))),1,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Produtos)'!$D$4:$D$848,IF(ISNUMBER(MATCH(A21,'4. Base Mestre (845 Produtos)'!$A$4:$A$848,0)),MATCH(A21,'4. Base Mestre (845 Produtos)'!$A$4:$A$848,0),IF(ISNUMBER(MATCH(B21,'4. Base Mestre (845 Produtos)'!$B$4:$B$848,0)),MATCH(B21,'4. Base Mestre (845 Produtos)'!$B$4:$B$848,0),0))),1))))))))))))))))))))))))</f>
        <v>5</v>
      </c>
      <c r="L21" s="17" t="str">
        <f aca="false">IF(B21="","",IF(OR(ISNUMBER(SEARCH("KG",B21)),ISNUMBER(SEARCH("GR",B21))),"KG",IF(OR(ISNUMBER(SEARCH("0,200L",B21)),ISNUMBER(SEARCH("0,2L",B21)),ISNUMBER(SEARCH("0,5L",B21)),ISNUMBER(SEARCH("1,5L",B21)),ISNUMBER(SEARCH("1,8L",B21)),ISNUMBER(SEARCH("1.8L",B21)),ISNUMBER(SEARCH("1L",B21)),ISNUMBER(SEARCH("2L",B21)),ISNUMBER(SEARCH("3L",B21)),ISNUMBER(SEARCH("5L",B21)),ISNUMBER(SEARCH("10L",B21)),ISNUMBER(SEARCH("20L",B21)),ISNUMBER(SEARCH("25L",B21)),ISNUMBER(SEARCH("200L",B21)),ISNUMBER(SEARCH("1000L",B21)),ISNUMBER(SEARCH("LT",B21))),"L",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Produtos)'!$E$4:$E$848,IF(ISNUMBER(MATCH(A21,'4. Base Mestre (845 Produtos)'!$A$4:$A$848,0)),MATCH(A21,'4. Base Mestre (845 Produtos)'!$A$4:$A$848,0),IF(ISNUMBER(MATCH(B21,'4. Base Mestre (845 Produtos)'!$B$4:$B$848,0)),MATCH(B21,'4. Base Mestre (845 Produtos)'!$B$4:$B$848,0),0))),C21))))</f>
        <v>L</v>
      </c>
      <c r="M21" s="15" t="str">
        <f aca="false">IF(B21="","",IF(C21=L21,"CONFORME — Unidade ("&amp;C21&amp;") compatível c/ Embalagem","DIVERGENTE — Embalagem em "&amp;L21&amp;", mas cadastrado em "&amp;C21))</f>
        <v>CONFORME — Unidade (L) compatível c/ Embalagem</v>
      </c>
      <c r="N21" s="15" t="str">
        <f aca="false">IF(B21="","",IF(K21=0,"Granel / Produto Técnico (Sem Embalagem Comercial)",IF(K21&lt;=0.3001,"Faixa 1 TIPI: Até 300g/mL (3808.61.00 / 3105.10.00)",IF(K21&lt;=7.5001,"Faixa 2 TIPI: De 300g a 7,5kg/L (3808.62.90 / 3105.10.00)",IF(K21&lt;=10.0001,"Faixa 3 TIPI: De 7,5kg a 10kg/L (3808.69.90 / 3105.10.00)","Faixa 4 TIPI: Acima de 10kg/L (3808.69.90 / Cap. 31 Geral)")))))</f>
        <v>Faixa 2 TIPI: De 300g a 7,5kg/L (3808.62.90 / 3105.10.00)</v>
      </c>
      <c r="O21" s="18" t="str">
        <f aca="false">IF(B21="","",IF(IF(ISNUMBER(MATCH(A21,'4.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Produtos)'!$H$4:$H$848,IF(ISNUMBER(MATCH(A21,'4. Base Mestre (845 Produtos)'!$A$4:$A$848,0)),MATCH(A21,'4. Base Mestre (845 Produtos)'!$A$4:$A$848,0),IF(ISNUMBER(MATCH(B21,'4. Base Mestre (845 Produtos)'!$B$4:$B$848,0)),MATCH(B21,'4. Base Mestre (845 Produtos)'!$B$4:$B$848,0),0))),IF(ISNUMBER(MATCH(D21,'3. Dicionario Principios Ativos'!$A$4:$A$245,0)),INDEX('3. Dicionario Principios Ativos'!$A$4:$A$245,MATCH(D21,'3. Dicionario Principios Ativos'!$A$4:$A$245,0)),D21)))</f>
        <v>ACETAMIPRIDO 100 + BIFENTRINA 67</v>
      </c>
      <c r="P21" s="15" t="str">
        <f aca="false">IF(B21="","",IF(D21=O21,"CONFORME — Princípio Ativo Validado","DIVERGENTE — Substituir por: "&amp;O21))</f>
        <v>CONFORME — Princípio Ativo Validado</v>
      </c>
      <c r="Q21" s="19" t="str">
        <f aca="false">IF(B21="","",IF(IF(IF(ISNUMBER(MATCH(A21,'4.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Produtos)'!$J$4:$J$848,IF(ISNUMBER(MATCH(A21,'4. Base Mestre (845 Produtos)'!$A$4:$A$848,0)),MATCH(A21,'4. Base Mestre (845 Produtos)'!$A$4:$A$848,0),IF(ISNUMBER(MATCH(B21,'4. Base Mestre (845 Produtos)'!$B$4:$B$848,0)),MATCH(B21,'4. Base Mestre (845 Produtos)'!$B$4:$B$848,0),0)))="SIM",IF(ISNUMBER(MATCH(D21,'3. Dicionario Principios Ativos'!$A$4:$A$245,0)),INDEX('3. Dicionario Principios Ativos'!$C$4:$C$245,MATCH(D21,'3. Dicionario Principios Ativos'!$A$4:$A$245,0))="SIM",FALSE())),IF(AND(K21&gt;0,K21&lt;=0.3001),"3808.61.00",IF(AND(K21&gt;0.3001,K21&lt;=7.5001),"3808.62.90","3808.69.90")),IF(AND(LEFT(IF(IF(ISNUMBER(MATCH(A21,'4.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Produtos)'!$L$4:$L$848,IF(ISNUMBER(MATCH(A21,'4. Base Mestre (845 Produtos)'!$A$4:$A$848,0)),MATCH(A21,'4. Base Mestre (845 Produtos)'!$A$4:$A$848,0),IF(ISNUMBER(MATCH(B21,'4. Base Mestre (845 Produtos)'!$B$4:$B$848,0)),MATCH(B21,'4. Base Mestre (845 Produtos)'!$B$4:$B$848,0),0))),IF(ISNUMBER(MATCH(D21,'3. Dicionario Principios Ativos'!$A$4:$A$245,0)),INDEX('3. Dicionario Principios Ativos'!$D$4:$D$245,MATCH(D21,'3. Dicionario Principios Ativos'!$A$4:$A$245,0)),E21)),2)="31",E21="3105.10.00",K21&gt;0,K21&lt;=10.0001),"3105.10.00",IF(AND(IF(IF(ISNUMBER(MATCH(A21,'4.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Produtos)'!$L$4:$L$848,IF(ISNUMBER(MATCH(A21,'4. Base Mestre (845 Produtos)'!$A$4:$A$848,0)),MATCH(A21,'4. Base Mestre (845 Produtos)'!$A$4:$A$848,0),IF(ISNUMBER(MATCH(B21,'4. Base Mestre (845 Produtos)'!$B$4:$B$848,0)),MATCH(B21,'4. Base Mestre (845 Produtos)'!$B$4:$B$848,0),0))),IF(ISNUMBER(MATCH(D21,'3. Dicionario Principios Ativos'!$A$4:$A$245,0)),INDEX('3. Dicionario Principios Ativos'!$D$4:$D$245,MATCH(D21,'3. Dicionario Principios Ativos'!$A$4:$A$245,0)),E21))="3105.10.00",K21&gt;10.0001),"3105.90.90",IF(IF(ISNUMBER(MATCH(A21,'4.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Produtos)'!$L$4:$L$848,IF(ISNUMBER(MATCH(A21,'4. Base Mestre (845 Produtos)'!$A$4:$A$848,0)),MATCH(A21,'4. Base Mestre (845 Produtos)'!$A$4:$A$848,0),IF(ISNUMBER(MATCH(B21,'4. Base Mestre (845 Produtos)'!$B$4:$B$848,0)),MATCH(B21,'4. Base Mestre (845 Produtos)'!$B$4:$B$848,0),0))),IF(ISNUMBER(MATCH(D21,'3. Dicionario Principios Ativos'!$A$4:$A$245,0)),INDEX('3. Dicionario Principios Ativos'!$D$4:$D$245,MATCH(D21,'3. Dicionario Principios Ativos'!$A$4:$A$245,0)),E21))))))</f>
        <v>3808.62.90</v>
      </c>
      <c r="R21" s="15" t="str">
        <f aca="false">IF(B21="","",IF(OR(E21=Q21,AND(Q21="3002.49.99",E21="3002.90.00")),"CONFORME — NCM "&amp;E21&amp;" Correta na TIPI","DIVERGENTE — Substituir "&amp;E21&amp;" por "&amp;Q21))</f>
        <v>DIVERGENTE — Substituir 3808.91.99 por 3808.62.90</v>
      </c>
      <c r="S21" s="15" t="str">
        <f aca="false">IF(B21="","",IF(AND(E21="3808.61.00",OR(K21&gt;0.3001,K21=0)),"INCOMPATÍVEL — NCM 3808.61.00 exige emb. &lt;= 0,3kg/L (Emb. atual: "&amp;K21&amp;" "&amp;L21&amp;" -&gt; usar "&amp;Q21&amp;")",IF(AND(LEFT(E21,7)="3808.62",OR(K21&lt;=0.3001,K21&gt;7.5001)),"INCOMPATÍVEL — NCM 3808.62 exige emb. de 0,3 a 7,5kg/L (Emb. atual: "&amp;K21&amp;" "&amp;L21&amp;" -&gt; usar "&amp;Q21&amp;")",IF(AND(LEFT(E21,7)="3808.69",K21&gt;0,K21&lt;=7.5001),"INCOMPATÍVEL — NCM 3808.69 exige emb. &gt; 7,5kg/L (Emb. atual: "&amp;K21&amp;" "&amp;L21&amp;" -&gt; usar "&amp;Q21&amp;")",IF(AND(LEFT(Q21,6)="3808.6",LEFT(E21,6)&lt;&gt;"3808.6"),"INCOMPATÍVEL — Molécula Nota Subpos. 2 c/ emb. "&amp;K21&amp;" "&amp;L21&amp;" exige NCM "&amp;Q21,IF(AND(OR(E21="3808.91.19",E21="3808.92.19",E21="3808.93.19",E21="3808.99.19"),K21&gt;=1),"INCOMPATÍVEL — Subitem .19 (Domissanitário) vedado p/ emb. agrícola de "&amp;K21&amp;" "&amp;L21,IF(AND(E21="3105.10.00",K21&gt;10.0001),"INCOMPATÍVEL — NCM 3105.10.00 exige peso bruto &lt;= 10kg (Emb. atual: "&amp;K21&amp;" "&amp;L21&amp;" -&gt; usar 3105.90.90)",IF(AND(LEFT(E21,2)="29",LEFT(Q21,4)="3808",K21&gt;0),"INCOMPATÍVEL — Produto formulado em emb. comercial ("&amp;K21&amp;" "&amp;L21&amp;") vedado no Cap. 29 -&gt; usar "&amp;Q21,"CONFORME — Embalagem ("&amp;K21&amp;" "&amp;L21&amp;") compatível c/ a NCM"))))))))</f>
        <v>INCOMPATÍVEL — Molécula Nota Subpos. 2 c/ emb. 5 L exige NCM 3808.62.90</v>
      </c>
      <c r="T21" s="19" t="n">
        <f aca="false">IF(B21="","",IF(IF(ISNUMBER(MATCH(A21,'4.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Produtos)'!$P$4:$P$848,IF(ISNUMBER(MATCH(A21,'4. Base Mestre (845 Produtos)'!$A$4:$A$848,0)),MATCH(A21,'4. Base Mestre (845 Produtos)'!$A$4:$A$848,0),IF(ISNUMBER(MATCH(B21,'4. Base Mestre (845 Produtos)'!$B$4:$B$848,0)),MATCH(B21,'4. Base Mestre (845 Produtos)'!$B$4:$B$848,0),0))),IF(ISNUMBER(MATCH(D21,'3. Dicionario Principios Ativos'!$A$4:$A$245,0)),INDEX('3. Dicionario Principios Ativos'!$K$4:$K$245,MATCH(D21,'3. Dicionario Principios Ativos'!$A$4:$A$245,0)),"VERIFICAR BULA")))</f>
        <v>23121</v>
      </c>
      <c r="U21" s="15" t="str">
        <f aca="false">IF(B21="","",IF(ISNUMBER(SEARCH("ISENTO",T21)),IF(OR(F21=0,F21="0",F21="ISENTO",F21=""),"CONFORME (DISPENSADO) — Isento pelo Ato SDA/MAPA nº 104/2017","INCORRETO — Produto isento de registro MAPA (usar 0 ou ISENTO)"),IF(ISNUMBER(SEARCH("SIPEAGRO",T21)),IF(ISNUMBER(SEARCH("-",F21)),"CONFORME — Registro SIPEAGRO ("&amp;F21&amp;") Preenchido","ADEQUAR P/ SIPEAGRO — Substituir 0 pelo Registro (UF-XXXXX-XXXXX.X)"),IF(ISNUMBER(SEARCH("VINCULAR",T21)),IF(AND(F21&lt;&gt;0,F21&lt;&gt;"0",F21&lt;&gt;""),"INCORRETO / TROCADO — Código "&amp;F21&amp;" pertence a outro produto (Vincular bula da marca)","VINCULAR MARCA — Cadastro de P.A. s/ marca fixa (Vincular registro na NF-e)"),IF(OR(F21=0,F21="0",F21=""),"AUSENTE (ZERO) — Preencher Registro Oficial MAPA nº "&amp;T21,IF(TEXT(F21,"0")=TEXT(T21,"0"),"CONFORME — Registro MAPA nº "&amp;T21&amp;" Validado na Bula","INCORRETO / TROCADO — Substituir "&amp;F21&amp;" pelo Registro Oficial nº "&amp;T21))))))</f>
        <v>CONFORME — Registro MAPA nº 23121 Validado na Bula</v>
      </c>
      <c r="V21" s="15" t="str">
        <f aca="false">IF(B21="","",IF(IF(ISNUMBER(MATCH(A21,'4.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Produtos)'!$S$4:$S$848,IF(ISNUMBER(MATCH(A21,'4. Base Mestre (845 Produtos)'!$A$4:$A$848,0)),MATCH(A21,'4. Base Mestre (845 Produtos)'!$A$4:$A$848,0),IF(ISNUMBER(MATCH(B21,'4. Base Mestre (845 Produtos)'!$B$4:$B$848,0)),MATCH(B21,'4. Base Mestre (845 Produtos)'!$B$4:$B$848,0),0))),IF(ISNUMBER(MATCH(D21,'3. Dicionario Principios Ativos'!$A$4:$A$245,0)),INDEX('3. Dicionario Principios Ativos'!$L$4:$L$245,MATCH(D21,'3. Dicionario Principios Ativos'!$A$4:$A$245,0)),"Verificar NCM")))</f>
        <v>Beneficiado (Lei 10.925/04): 0% até Mar/26 | 0,925% Real / 0,365% Pres. pós-Abr/26 (LC 224/25)</v>
      </c>
      <c r="W21" s="15" t="str">
        <f aca="false">IF(B21="","",IF(IF(ISNUMBER(MATCH(A21,'4. Base Mestre (845 Produtos)'!$A$4:$A$848,0)),MATCH(A21,'4. Base Mestre (845 Produtos)'!$A$4:$A$848,0),IF(ISNUMBER(MATCH(B21,'4. Base Mestre (845 Produtos)'!$B$4:$B$848,0)),MATCH(B21,'4. Base Mestre (845 Produtos)'!$B$4:$B$848,0),0))&gt;0,INDEX('4. Base Mestre (845 Produtos)'!$T$4:$T$848,IF(ISNUMBER(MATCH(A21,'4. Base Mestre (845 Produtos)'!$A$4:$A$848,0)),MATCH(A21,'4. Base Mestre (845 Produtos)'!$A$4:$A$848,0),IF(ISNUMBER(MATCH(B21,'4. Base Mestre (845 Produtos)'!$B$4:$B$848,0)),MATCH(B21,'4. Base Mestre (845 Produtos)'!$B$4:$B$848,0),0))),IF(ISNUMBER(MATCH(D21,'3. Dicionario Principios Ativos'!$A$4:$A$245,0)),INDEX('3. Dicionario Principios Ativos'!$M$4:$M$245,MATCH(D21,'3. Dicionario Principios Ativos'!$A$4:$A$245,0)),"Verificar CST")))</f>
        <v>Saída: CST 06 (c/ Ajuste M220/M620 pós-Abr/26) | Entrada Revenda: CST 73</v>
      </c>
      <c r="X21" s="18" t="str">
        <f aca="false">IF(B21="","",IF(AND(LEFT(M21,8)="CONFORME",LEFT(P21,8)="CONFORME",LEFT(R21,8)="CONFORME",LEFT(S21,8)="CONFORME",LEFT(U21,8)="CONFORME"),"CADASTRO 100% CONFORME — LIBERADO P/ ERP",IF(AND(LEFT(M21,8)="CONFORME",LEFT(P21,8)="CONFORME",LEFT(R21,8)="CONFORME",LEFT(S21,8)="CONFORME",OR(LEFT(U21,7)="ADEQUAR",LEFT(U21,8)="VINCULAR")),"FISCAL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22" customFormat="false" ht="21.75" hidden="false" customHeight="true" outlineLevel="0" collapsed="false">
      <c r="A22" s="10" t="n">
        <v>429</v>
      </c>
      <c r="B22" s="11" t="s">
        <v>84</v>
      </c>
      <c r="C22" s="12" t="s">
        <v>39</v>
      </c>
      <c r="D22" s="13" t="s">
        <v>70</v>
      </c>
      <c r="E22" s="12" t="s">
        <v>82</v>
      </c>
      <c r="F22" s="12" t="n">
        <v>6922</v>
      </c>
      <c r="G22" s="14"/>
      <c r="H22" s="13" t="s">
        <v>85</v>
      </c>
      <c r="I22" s="20" t="str">
        <f aca="false">IF(B22="","",IF(ISNUMBER(MATCH(A22,'4. Base Mestre (845 Produtos)'!$A$4:$A$848,0)),"Localizado por Código ("&amp;A22&amp;") na Base Mestre",IF(ISNUMBER(MATCH(B22,'4. Base Mestre (845 Produtos)'!$B$4:$B$848,0)),"Localizado por Descrição na Base Mestre",IF(ISNUMBER(MATCH(D22,'3. Dicionario Principios Ativos'!$A$4:$A$245,0)),"Produto Novo — Validado pelo Dicionário de P.A.","Não Localizado — Revisar Código/P.A."))))</f>
        <v>Localizado por Código (429) na Base Mestre</v>
      </c>
      <c r="J22" s="20" t="str">
        <f aca="false">IF(B22="","",IF(IF(ISNUMBER(MATCH(A22,'4.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Produtos)'!$I$4:$I$848,IF(ISNUMBER(MATCH(A22,'4. Base Mestre (845 Produtos)'!$A$4:$A$848,0)),MATCH(A22,'4. Base Mestre (845 Produtos)'!$A$4:$A$848,0),IF(ISNUMBER(MATCH(B22,'4. Base Mestre (845 Produtos)'!$B$4:$B$848,0)),MATCH(B22,'4. Base Mestre (845 Produtos)'!$B$4:$B$848,0),0))),IF(ISNUMBER(MATCH(D22,'3. Dicionario Principios Ativos'!$A$4:$A$245,0)),INDEX('3. Dicionario Principios Ativos'!$B$4:$B$245,MATCH(D22,'3. Dicionario Principios Ativos'!$A$4:$A$245,0)),"Revisar Classificação")))</f>
        <v>Defensivos — Inseticida e Acaricida</v>
      </c>
      <c r="K22" s="21" t="n">
        <f aca="false">IF(B22="","",IF(G22&lt;&gt;"",G22,IF(OR(ISNUMBER(SEARCH("PRINCIPIO ATIVO",B22)),ISNUMBER(SEARCH("PRINC. ATIVO",B22)),ISNUMBER(SEARCH("PR. ATIVO",B22)),ISNUMBER(SEARCH("PR.AT.",B22)),ISNUMBER(SEARCH("(P.A",B22)),ISNUMBER(SEARCH("(P. A",B22))),0,IF(OR(ISNUMBER(SEARCH("0,100KG",B22)),ISNUMBER(SEARCH("0,1KG",B22)),ISNUMBER(SEARCH("0,100L",B22))),0.1,IF(OR(ISNUMBER(SEARCH("0,200L",B22)),ISNUMBER(SEARCH("0,2L",B22)),ISNUMBER(SEARCH("0,200KG",B22)),ISNUMBER(SEARCH("0,2KG",B22))),0.2,IF(OR(ISNUMBER(SEARCH("0,240KG",B22)),ISNUMBER(SEARCH("0,250L",B22))),0.24,IF(OR(ISNUMBER(SEARCH("0,300KG",B22)),ISNUMBER(SEARCH("0,3KG",B22))),0.3,IF(OR(ISNUMBER(SEARCH("0,500L",B22)),ISNUMBER(SEARCH("0,5L",B22)),ISNUMBER(SEARCH("0,5KG",B22))),0.5,IF(ISNUMBER(SEARCH("0,8KG",B22)),0.8,IF(OR(ISNUMBER(SEARCH("1,5L",B22)),ISNUMBER(SEARCH("1,5KG",B22))),1.5,IF(OR(ISNUMBER(SEARCH("1,75L",B22)),ISNUMBER(SEARCH("1,8L",B22)),ISNUMBER(SEARCH("1.8L",B22))),1.8,IF(ISNUMBER(SEARCH("4,5KG",B22)),4.5,IF(ISNUMBER(SEARCH("7,5KG",B22)),7.5,IF(OR(ISNUMBER(SEARCH("1000L",B22)),ISNUMBER(SEARCH("1000KG",B22)),ISNUMBER(SEARCH("1.000KG",B22)),ISNUMBER(SEARCH("1.000L",B22)),ISNUMBER(SEARCH("1000 KG",B22)),ISNUMBER(SEARCH("GRANEL",B22)),ISNUMBER(SEARCH("(TON)",B22))),1000,IF(ISNUMBER(SEARCH("200L",B22)),200,IF(OR(ISNUMBER(SEARCH("25KG",B22)),ISNUMBER(SEARCH("25L",B22))),25,IF(OR(ISNUMBER(SEARCH("20L",B22)),ISNUMBER(SEARCH("20KG",B22))),20,IF(ISNUMBER(SEARCH("15KG",B22)),15,IF(OR(ISNUMBER(SEARCH("10L",B22)),ISNUMBER(SEARCH("10KG",B22))),10,IF(OR(ISNUMBER(SEARCH("5L",B22)),ISNUMBER(SEARCH("5KG",B22)),ISNUMBER(SEARCH("5LT",B22))),5,IF(OR(ISNUMBER(SEARCH("3KG",B22)),ISNUMBER(SEARCH("3L",B22))),3,IF(OR(ISNUMBER(SEARCH("2L",B22)),ISNUMBER(SEARCH("2KG",B22))),2,IF(OR(ISNUMBER(SEARCH("1L",B22)),ISNUMBER(SEARCH("1KG",B22)),ISNUMBER(SEARCH("1LT",B22))),1,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Produtos)'!$D$4:$D$848,IF(ISNUMBER(MATCH(A22,'4. Base Mestre (845 Produtos)'!$A$4:$A$848,0)),MATCH(A22,'4. Base Mestre (845 Produtos)'!$A$4:$A$848,0),IF(ISNUMBER(MATCH(B22,'4. Base Mestre (845 Produtos)'!$B$4:$B$848,0)),MATCH(B22,'4. Base Mestre (845 Produtos)'!$B$4:$B$848,0),0))),1))))))))))))))))))))))))</f>
        <v>20</v>
      </c>
      <c r="L22" s="22" t="str">
        <f aca="false">IF(B22="","",IF(OR(ISNUMBER(SEARCH("KG",B22)),ISNUMBER(SEARCH("GR",B22))),"KG",IF(OR(ISNUMBER(SEARCH("0,200L",B22)),ISNUMBER(SEARCH("0,2L",B22)),ISNUMBER(SEARCH("0,5L",B22)),ISNUMBER(SEARCH("1,5L",B22)),ISNUMBER(SEARCH("1,8L",B22)),ISNUMBER(SEARCH("1.8L",B22)),ISNUMBER(SEARCH("1L",B22)),ISNUMBER(SEARCH("2L",B22)),ISNUMBER(SEARCH("3L",B22)),ISNUMBER(SEARCH("5L",B22)),ISNUMBER(SEARCH("10L",B22)),ISNUMBER(SEARCH("20L",B22)),ISNUMBER(SEARCH("25L",B22)),ISNUMBER(SEARCH("200L",B22)),ISNUMBER(SEARCH("1000L",B22)),ISNUMBER(SEARCH("LT",B22))),"L",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Produtos)'!$E$4:$E$848,IF(ISNUMBER(MATCH(A22,'4. Base Mestre (845 Produtos)'!$A$4:$A$848,0)),MATCH(A22,'4. Base Mestre (845 Produtos)'!$A$4:$A$848,0),IF(ISNUMBER(MATCH(B22,'4. Base Mestre (845 Produtos)'!$B$4:$B$848,0)),MATCH(B22,'4. Base Mestre (845 Produtos)'!$B$4:$B$848,0),0))),C22))))</f>
        <v>L</v>
      </c>
      <c r="M22" s="20" t="str">
        <f aca="false">IF(B22="","",IF(C22=L22,"CONFORME — Unidade ("&amp;C22&amp;") compatível c/ Embalagem","DIVERGENTE — Embalagem em "&amp;L22&amp;", mas cadastrado em "&amp;C22))</f>
        <v>CONFORME — Unidade (L) compatível c/ Embalagem</v>
      </c>
      <c r="N22" s="20" t="str">
        <f aca="false">IF(B22="","",IF(K22=0,"Granel / Produto Técnico (Sem Embalagem Comercial)",IF(K22&lt;=0.3001,"Faixa 1 TIPI: Até 300g/mL (3808.61.00 / 3105.10.00)",IF(K22&lt;=7.5001,"Faixa 2 TIPI: De 300g a 7,5kg/L (3808.62.90 / 3105.10.00)",IF(K22&lt;=10.0001,"Faixa 3 TIPI: De 7,5kg a 10kg/L (3808.69.90 / 3105.10.00)","Faixa 4 TIPI: Acima de 10kg/L (3808.69.90 / Cap. 31 Geral)")))))</f>
        <v>Faixa 4 TIPI: Acima de 10kg/L (3808.69.90 / Cap. 31 Geral)</v>
      </c>
      <c r="O22" s="23" t="str">
        <f aca="false">IF(B22="","",IF(IF(ISNUMBER(MATCH(A22,'4.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Produtos)'!$H$4:$H$848,IF(ISNUMBER(MATCH(A22,'4. Base Mestre (845 Produtos)'!$A$4:$A$848,0)),MATCH(A22,'4. Base Mestre (845 Produtos)'!$A$4:$A$848,0),IF(ISNUMBER(MATCH(B22,'4. Base Mestre (845 Produtos)'!$B$4:$B$848,0)),MATCH(B22,'4. Base Mestre (845 Produtos)'!$B$4:$B$848,0),0))),IF(ISNUMBER(MATCH(D22,'3. Dicionario Principios Ativos'!$A$4:$A$245,0)),INDEX('3. Dicionario Principios Ativos'!$A$4:$A$245,MATCH(D22,'3. Dicionario Principios Ativos'!$A$4:$A$245,0)),D22)))</f>
        <v>BIFENTRINA 400</v>
      </c>
      <c r="P22" s="20" t="str">
        <f aca="false">IF(B22="","",IF(D22=O22,"CONFORME — Princípio Ativo Validado","DIVERGENTE — Substituir por: "&amp;O22))</f>
        <v>CONFORME — Princípio Ativo Validado</v>
      </c>
      <c r="Q22" s="24" t="str">
        <f aca="false">IF(B22="","",IF(IF(IF(ISNUMBER(MATCH(A22,'4.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Produtos)'!$J$4:$J$848,IF(ISNUMBER(MATCH(A22,'4. Base Mestre (845 Produtos)'!$A$4:$A$848,0)),MATCH(A22,'4. Base Mestre (845 Produtos)'!$A$4:$A$848,0),IF(ISNUMBER(MATCH(B22,'4. Base Mestre (845 Produtos)'!$B$4:$B$848,0)),MATCH(B22,'4. Base Mestre (845 Produtos)'!$B$4:$B$848,0),0)))="SIM",IF(ISNUMBER(MATCH(D22,'3. Dicionario Principios Ativos'!$A$4:$A$245,0)),INDEX('3. Dicionario Principios Ativos'!$C$4:$C$245,MATCH(D22,'3. Dicionario Principios Ativos'!$A$4:$A$245,0))="SIM",FALSE())),IF(AND(K22&gt;0,K22&lt;=0.3001),"3808.61.00",IF(AND(K22&gt;0.3001,K22&lt;=7.5001),"3808.62.90","3808.69.90")),IF(AND(LEFT(IF(IF(ISNUMBER(MATCH(A22,'4.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Produtos)'!$L$4:$L$848,IF(ISNUMBER(MATCH(A22,'4. Base Mestre (845 Produtos)'!$A$4:$A$848,0)),MATCH(A22,'4. Base Mestre (845 Produtos)'!$A$4:$A$848,0),IF(ISNUMBER(MATCH(B22,'4. Base Mestre (845 Produtos)'!$B$4:$B$848,0)),MATCH(B22,'4. Base Mestre (845 Produtos)'!$B$4:$B$848,0),0))),IF(ISNUMBER(MATCH(D22,'3. Dicionario Principios Ativos'!$A$4:$A$245,0)),INDEX('3. Dicionario Principios Ativos'!$D$4:$D$245,MATCH(D22,'3. Dicionario Principios Ativos'!$A$4:$A$245,0)),E22)),2)="31",E22="3105.10.00",K22&gt;0,K22&lt;=10.0001),"3105.10.00",IF(AND(IF(IF(ISNUMBER(MATCH(A22,'4.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Produtos)'!$L$4:$L$848,IF(ISNUMBER(MATCH(A22,'4. Base Mestre (845 Produtos)'!$A$4:$A$848,0)),MATCH(A22,'4. Base Mestre (845 Produtos)'!$A$4:$A$848,0),IF(ISNUMBER(MATCH(B22,'4. Base Mestre (845 Produtos)'!$B$4:$B$848,0)),MATCH(B22,'4. Base Mestre (845 Produtos)'!$B$4:$B$848,0),0))),IF(ISNUMBER(MATCH(D22,'3. Dicionario Principios Ativos'!$A$4:$A$245,0)),INDEX('3. Dicionario Principios Ativos'!$D$4:$D$245,MATCH(D22,'3. Dicionario Principios Ativos'!$A$4:$A$245,0)),E22))="3105.10.00",K22&gt;10.0001),"3105.90.90",IF(IF(ISNUMBER(MATCH(A22,'4.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Produtos)'!$L$4:$L$848,IF(ISNUMBER(MATCH(A22,'4. Base Mestre (845 Produtos)'!$A$4:$A$848,0)),MATCH(A22,'4. Base Mestre (845 Produtos)'!$A$4:$A$848,0),IF(ISNUMBER(MATCH(B22,'4. Base Mestre (845 Produtos)'!$B$4:$B$848,0)),MATCH(B22,'4. Base Mestre (845 Produtos)'!$B$4:$B$848,0),0))),IF(ISNUMBER(MATCH(D22,'3. Dicionario Principios Ativos'!$A$4:$A$245,0)),INDEX('3. Dicionario Principios Ativos'!$D$4:$D$245,MATCH(D22,'3. Dicionario Principios Ativos'!$A$4:$A$245,0)),E22))))))</f>
        <v>3808.69.90</v>
      </c>
      <c r="R22" s="20" t="str">
        <f aca="false">IF(B22="","",IF(OR(E22=Q22,AND(Q22="3002.49.99",E22="3002.90.00")),"CONFORME — NCM "&amp;E22&amp;" Correta na TIPI","DIVERGENTE — Substituir "&amp;E22&amp;" por "&amp;Q22))</f>
        <v>DIVERGENTE — Substituir 3808.91.99 por 3808.69.90</v>
      </c>
      <c r="S22" s="20" t="str">
        <f aca="false">IF(B22="","",IF(AND(E22="3808.61.00",OR(K22&gt;0.3001,K22=0)),"INCOMPATÍVEL — NCM 3808.61.00 exige emb. &lt;= 0,3kg/L (Emb. atual: "&amp;K22&amp;" "&amp;L22&amp;" -&gt; usar "&amp;Q22&amp;")",IF(AND(LEFT(E22,7)="3808.62",OR(K22&lt;=0.3001,K22&gt;7.5001)),"INCOMPATÍVEL — NCM 3808.62 exige emb. de 0,3 a 7,5kg/L (Emb. atual: "&amp;K22&amp;" "&amp;L22&amp;" -&gt; usar "&amp;Q22&amp;")",IF(AND(LEFT(E22,7)="3808.69",K22&gt;0,K22&lt;=7.5001),"INCOMPATÍVEL — NCM 3808.69 exige emb. &gt; 7,5kg/L (Emb. atual: "&amp;K22&amp;" "&amp;L22&amp;" -&gt; usar "&amp;Q22&amp;")",IF(AND(LEFT(Q22,6)="3808.6",LEFT(E22,6)&lt;&gt;"3808.6"),"INCOMPATÍVEL — Molécula Nota Subpos. 2 c/ emb. "&amp;K22&amp;" "&amp;L22&amp;" exige NCM "&amp;Q22,IF(AND(OR(E22="3808.91.19",E22="3808.92.19",E22="3808.93.19",E22="3808.99.19"),K22&gt;=1),"INCOMPATÍVEL — Subitem .19 (Domissanitário) vedado p/ emb. agrícola de "&amp;K22&amp;" "&amp;L22,IF(AND(E22="3105.10.00",K22&gt;10.0001),"INCOMPATÍVEL — NCM 3105.10.00 exige peso bruto &lt;= 10kg (Emb. atual: "&amp;K22&amp;" "&amp;L22&amp;" -&gt; usar 3105.90.90)",IF(AND(LEFT(E22,2)="29",LEFT(Q22,4)="3808",K22&gt;0),"INCOMPATÍVEL — Produto formulado em emb. comercial ("&amp;K22&amp;" "&amp;L22&amp;") vedado no Cap. 29 -&gt; usar "&amp;Q22,"CONFORME — Embalagem ("&amp;K22&amp;" "&amp;L22&amp;") compatível c/ a NCM"))))))))</f>
        <v>INCOMPATÍVEL — Molécula Nota Subpos. 2 c/ emb. 20 L exige NCM 3808.69.90</v>
      </c>
      <c r="T22" s="24" t="n">
        <f aca="false">IF(B22="","",IF(IF(ISNUMBER(MATCH(A22,'4.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Produtos)'!$P$4:$P$848,IF(ISNUMBER(MATCH(A22,'4. Base Mestre (845 Produtos)'!$A$4:$A$848,0)),MATCH(A22,'4. Base Mestre (845 Produtos)'!$A$4:$A$848,0),IF(ISNUMBER(MATCH(B22,'4. Base Mestre (845 Produtos)'!$B$4:$B$848,0)),MATCH(B22,'4. Base Mestre (845 Produtos)'!$B$4:$B$848,0),0))),IF(ISNUMBER(MATCH(D22,'3. Dicionario Principios Ativos'!$A$4:$A$245,0)),INDEX('3. Dicionario Principios Ativos'!$K$4:$K$245,MATCH(D22,'3. Dicionario Principios Ativos'!$A$4:$A$245,0)),"VERIFICAR BULA")))</f>
        <v>6922</v>
      </c>
      <c r="U22" s="20" t="str">
        <f aca="false">IF(B22="","",IF(ISNUMBER(SEARCH("ISENTO",T22)),IF(OR(F22=0,F22="0",F22="ISENTO",F22=""),"CONFORME (DISPENSADO) — Isento pelo Ato SDA/MAPA nº 104/2017","INCORRETO — Produto isento de registro MAPA (usar 0 ou ISENTO)"),IF(ISNUMBER(SEARCH("SIPEAGRO",T22)),IF(ISNUMBER(SEARCH("-",F22)),"CONFORME — Registro SIPEAGRO ("&amp;F22&amp;") Preenchido","ADEQUAR P/ SIPEAGRO — Substituir 0 pelo Registro (UF-XXXXX-XXXXX.X)"),IF(ISNUMBER(SEARCH("VINCULAR",T22)),IF(AND(F22&lt;&gt;0,F22&lt;&gt;"0",F22&lt;&gt;""),"INCORRETO / TROCADO — Código "&amp;F22&amp;" pertence a outro produto (Vincular bula da marca)","VINCULAR MARCA — Cadastro de P.A. s/ marca fixa (Vincular registro na NF-e)"),IF(OR(F22=0,F22="0",F22=""),"AUSENTE (ZERO) — Preencher Registro Oficial MAPA nº "&amp;T22,IF(TEXT(F22,"0")=TEXT(T22,"0"),"CONFORME — Registro MAPA nº "&amp;T22&amp;" Validado na Bula","INCORRETO / TROCADO — Substituir "&amp;F22&amp;" pelo Registro Oficial nº "&amp;T22))))))</f>
        <v>CONFORME — Registro MAPA nº 6922 Validado na Bula</v>
      </c>
      <c r="V22" s="20" t="str">
        <f aca="false">IF(B22="","",IF(IF(ISNUMBER(MATCH(A22,'4.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Produtos)'!$S$4:$S$848,IF(ISNUMBER(MATCH(A22,'4. Base Mestre (845 Produtos)'!$A$4:$A$848,0)),MATCH(A22,'4. Base Mestre (845 Produtos)'!$A$4:$A$848,0),IF(ISNUMBER(MATCH(B22,'4. Base Mestre (845 Produtos)'!$B$4:$B$848,0)),MATCH(B22,'4. Base Mestre (845 Produtos)'!$B$4:$B$848,0),0))),IF(ISNUMBER(MATCH(D22,'3. Dicionario Principios Ativos'!$A$4:$A$245,0)),INDEX('3. Dicionario Principios Ativos'!$L$4:$L$245,MATCH(D22,'3. Dicionario Principios Ativos'!$A$4:$A$245,0)),"Verificar NCM")))</f>
        <v>Beneficiado (Lei 10.925/04): 0% até Mar/26 | 0,925% Real / 0,365% Pres. pós-Abr/26 (LC 224/25)</v>
      </c>
      <c r="W22" s="20" t="str">
        <f aca="false">IF(B22="","",IF(IF(ISNUMBER(MATCH(A22,'4. Base Mestre (845 Produtos)'!$A$4:$A$848,0)),MATCH(A22,'4. Base Mestre (845 Produtos)'!$A$4:$A$848,0),IF(ISNUMBER(MATCH(B22,'4. Base Mestre (845 Produtos)'!$B$4:$B$848,0)),MATCH(B22,'4. Base Mestre (845 Produtos)'!$B$4:$B$848,0),0))&gt;0,INDEX('4. Base Mestre (845 Produtos)'!$T$4:$T$848,IF(ISNUMBER(MATCH(A22,'4. Base Mestre (845 Produtos)'!$A$4:$A$848,0)),MATCH(A22,'4. Base Mestre (845 Produtos)'!$A$4:$A$848,0),IF(ISNUMBER(MATCH(B22,'4. Base Mestre (845 Produtos)'!$B$4:$B$848,0)),MATCH(B22,'4. Base Mestre (845 Produtos)'!$B$4:$B$848,0),0))),IF(ISNUMBER(MATCH(D22,'3. Dicionario Principios Ativos'!$A$4:$A$245,0)),INDEX('3. Dicionario Principios Ativos'!$M$4:$M$245,MATCH(D22,'3. Dicionario Principios Ativos'!$A$4:$A$245,0)),"Verificar CST")))</f>
        <v>Saída: CST 06 (c/ Ajuste M220/M620 pós-Abr/26) | Entrada Revenda: CST 73</v>
      </c>
      <c r="X22" s="23" t="str">
        <f aca="false">IF(B22="","",IF(AND(LEFT(M22,8)="CONFORME",LEFT(P22,8)="CONFORME",LEFT(R22,8)="CONFORME",LEFT(S22,8)="CONFORME",LEFT(U22,8)="CONFORME"),"CADASTRO 100% CONFORME — LIBERADO P/ ERP",IF(AND(LEFT(M22,8)="CONFORME",LEFT(P22,8)="CONFORME",LEFT(R22,8)="CONFORME",LEFT(S22,8)="CONFORME",OR(LEFT(U22,7)="ADEQUAR",LEFT(U22,8)="VINCULAR")),"FISCAL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23" customFormat="false" ht="21.75" hidden="false" customHeight="true" outlineLevel="0" collapsed="false">
      <c r="A23" s="10" t="n">
        <v>5710</v>
      </c>
      <c r="B23" s="11" t="s">
        <v>86</v>
      </c>
      <c r="C23" s="12" t="s">
        <v>39</v>
      </c>
      <c r="D23" s="13" t="s">
        <v>87</v>
      </c>
      <c r="E23" s="12" t="s">
        <v>88</v>
      </c>
      <c r="F23" s="12" t="n">
        <v>9407</v>
      </c>
      <c r="G23" s="14"/>
      <c r="H23" s="13" t="s">
        <v>89</v>
      </c>
      <c r="I23" s="15" t="str">
        <f aca="false">IF(B23="","",IF(ISNUMBER(MATCH(A23,'4. Base Mestre (845 Produtos)'!$A$4:$A$848,0)),"Localizado por Código ("&amp;A23&amp;") na Base Mestre",IF(ISNUMBER(MATCH(B23,'4. Base Mestre (845 Produtos)'!$B$4:$B$848,0)),"Localizado por Descrição na Base Mestre",IF(ISNUMBER(MATCH(D23,'3. Dicionario Principios Ativos'!$A$4:$A$245,0)),"Produto Novo — Validado pelo Dicionário de P.A.","Não Localizado — Revisar Código/P.A."))))</f>
        <v>Localizado por Código (5710) na Base Mestre</v>
      </c>
      <c r="J23" s="15" t="str">
        <f aca="false">IF(B23="","",IF(IF(ISNUMBER(MATCH(A23,'4.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Produtos)'!$I$4:$I$848,IF(ISNUMBER(MATCH(A23,'4. Base Mestre (845 Produtos)'!$A$4:$A$848,0)),MATCH(A23,'4. Base Mestre (845 Produtos)'!$A$4:$A$848,0),IF(ISNUMBER(MATCH(B23,'4. Base Mestre (845 Produtos)'!$B$4:$B$848,0)),MATCH(B23,'4. Base Mestre (845 Produtos)'!$B$4:$B$848,0),0))),IF(ISNUMBER(MATCH(D23,'3. Dicionario Principios Ativos'!$A$4:$A$245,0)),INDEX('3. Dicionario Principios Ativos'!$B$4:$B$245,MATCH(D23,'3. Dicionario Principios Ativos'!$A$4:$A$245,0)),"Revisar Classificação")))</f>
        <v>Defensivos — Inseticida e Acaricida</v>
      </c>
      <c r="K23" s="16" t="n">
        <f aca="false">IF(B23="","",IF(G23&lt;&gt;"",G23,IF(OR(ISNUMBER(SEARCH("PRINCIPIO ATIVO",B23)),ISNUMBER(SEARCH("PRINC. ATIVO",B23)),ISNUMBER(SEARCH("PR. ATIVO",B23)),ISNUMBER(SEARCH("PR.AT.",B23)),ISNUMBER(SEARCH("(P.A",B23)),ISNUMBER(SEARCH("(P. A",B23))),0,IF(OR(ISNUMBER(SEARCH("0,100KG",B23)),ISNUMBER(SEARCH("0,1KG",B23)),ISNUMBER(SEARCH("0,100L",B23))),0.1,IF(OR(ISNUMBER(SEARCH("0,200L",B23)),ISNUMBER(SEARCH("0,2L",B23)),ISNUMBER(SEARCH("0,200KG",B23)),ISNUMBER(SEARCH("0,2KG",B23))),0.2,IF(OR(ISNUMBER(SEARCH("0,240KG",B23)),ISNUMBER(SEARCH("0,250L",B23))),0.24,IF(OR(ISNUMBER(SEARCH("0,300KG",B23)),ISNUMBER(SEARCH("0,3KG",B23))),0.3,IF(OR(ISNUMBER(SEARCH("0,500L",B23)),ISNUMBER(SEARCH("0,5L",B23)),ISNUMBER(SEARCH("0,5KG",B23))),0.5,IF(ISNUMBER(SEARCH("0,8KG",B23)),0.8,IF(OR(ISNUMBER(SEARCH("1,5L",B23)),ISNUMBER(SEARCH("1,5KG",B23))),1.5,IF(OR(ISNUMBER(SEARCH("1,75L",B23)),ISNUMBER(SEARCH("1,8L",B23)),ISNUMBER(SEARCH("1.8L",B23))),1.8,IF(ISNUMBER(SEARCH("4,5KG",B23)),4.5,IF(ISNUMBER(SEARCH("7,5KG",B23)),7.5,IF(OR(ISNUMBER(SEARCH("1000L",B23)),ISNUMBER(SEARCH("1000KG",B23)),ISNUMBER(SEARCH("1.000KG",B23)),ISNUMBER(SEARCH("1.000L",B23)),ISNUMBER(SEARCH("1000 KG",B23)),ISNUMBER(SEARCH("GRANEL",B23)),ISNUMBER(SEARCH("(TON)",B23))),1000,IF(ISNUMBER(SEARCH("200L",B23)),200,IF(OR(ISNUMBER(SEARCH("25KG",B23)),ISNUMBER(SEARCH("25L",B23))),25,IF(OR(ISNUMBER(SEARCH("20L",B23)),ISNUMBER(SEARCH("20KG",B23))),20,IF(ISNUMBER(SEARCH("15KG",B23)),15,IF(OR(ISNUMBER(SEARCH("10L",B23)),ISNUMBER(SEARCH("10KG",B23))),10,IF(OR(ISNUMBER(SEARCH("5L",B23)),ISNUMBER(SEARCH("5KG",B23)),ISNUMBER(SEARCH("5LT",B23))),5,IF(OR(ISNUMBER(SEARCH("3KG",B23)),ISNUMBER(SEARCH("3L",B23))),3,IF(OR(ISNUMBER(SEARCH("2L",B23)),ISNUMBER(SEARCH("2KG",B23))),2,IF(OR(ISNUMBER(SEARCH("1L",B23)),ISNUMBER(SEARCH("1KG",B23)),ISNUMBER(SEARCH("1LT",B23))),1,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Produtos)'!$D$4:$D$848,IF(ISNUMBER(MATCH(A23,'4. Base Mestre (845 Produtos)'!$A$4:$A$848,0)),MATCH(A23,'4. Base Mestre (845 Produtos)'!$A$4:$A$848,0),IF(ISNUMBER(MATCH(B23,'4. Base Mestre (845 Produtos)'!$B$4:$B$848,0)),MATCH(B23,'4. Base Mestre (845 Produtos)'!$B$4:$B$848,0),0))),1))))))))))))))))))))))))</f>
        <v>5</v>
      </c>
      <c r="L23" s="17" t="str">
        <f aca="false">IF(B23="","",IF(OR(ISNUMBER(SEARCH("KG",B23)),ISNUMBER(SEARCH("GR",B23))),"KG",IF(OR(ISNUMBER(SEARCH("0,200L",B23)),ISNUMBER(SEARCH("0,2L",B23)),ISNUMBER(SEARCH("0,5L",B23)),ISNUMBER(SEARCH("1,5L",B23)),ISNUMBER(SEARCH("1,8L",B23)),ISNUMBER(SEARCH("1.8L",B23)),ISNUMBER(SEARCH("1L",B23)),ISNUMBER(SEARCH("2L",B23)),ISNUMBER(SEARCH("3L",B23)),ISNUMBER(SEARCH("5L",B23)),ISNUMBER(SEARCH("10L",B23)),ISNUMBER(SEARCH("20L",B23)),ISNUMBER(SEARCH("25L",B23)),ISNUMBER(SEARCH("200L",B23)),ISNUMBER(SEARCH("1000L",B23)),ISNUMBER(SEARCH("LT",B23))),"L",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Produtos)'!$E$4:$E$848,IF(ISNUMBER(MATCH(A23,'4. Base Mestre (845 Produtos)'!$A$4:$A$848,0)),MATCH(A23,'4. Base Mestre (845 Produtos)'!$A$4:$A$848,0),IF(ISNUMBER(MATCH(B23,'4. Base Mestre (845 Produtos)'!$B$4:$B$848,0)),MATCH(B23,'4. Base Mestre (845 Produtos)'!$B$4:$B$848,0),0))),C23))))</f>
        <v>L</v>
      </c>
      <c r="M23" s="15" t="str">
        <f aca="false">IF(B23="","",IF(C23=L23,"CONFORME — Unidade ("&amp;C23&amp;") compatível c/ Embalagem","DIVERGENTE — Embalagem em "&amp;L23&amp;", mas cadastrado em "&amp;C23))</f>
        <v>CONFORME — Unidade (L) compatível c/ Embalagem</v>
      </c>
      <c r="N23" s="15" t="str">
        <f aca="false">IF(B23="","",IF(K23=0,"Granel / Produto Técnico (Sem Embalagem Comercial)",IF(K23&lt;=0.3001,"Faixa 1 TIPI: Até 300g/mL (3808.61.00 / 3105.10.00)",IF(K23&lt;=7.5001,"Faixa 2 TIPI: De 300g a 7,5kg/L (3808.62.90 / 3105.10.00)",IF(K23&lt;=10.0001,"Faixa 3 TIPI: De 7,5kg a 10kg/L (3808.69.90 / 3105.10.00)","Faixa 4 TIPI: Acima de 10kg/L (3808.69.90 / Cap. 31 Geral)")))))</f>
        <v>Faixa 2 TIPI: De 300g a 7,5kg/L (3808.62.90 / 3105.10.00)</v>
      </c>
      <c r="O23" s="18" t="str">
        <f aca="false">IF(B23="","",IF(IF(ISNUMBER(MATCH(A23,'4.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Produtos)'!$H$4:$H$848,IF(ISNUMBER(MATCH(A23,'4. Base Mestre (845 Produtos)'!$A$4:$A$848,0)),MATCH(A23,'4. Base Mestre (845 Produtos)'!$A$4:$A$848,0),IF(ISNUMBER(MATCH(B23,'4. Base Mestre (845 Produtos)'!$B$4:$B$848,0)),MATCH(B23,'4. Base Mestre (845 Produtos)'!$B$4:$B$848,0),0))),IF(ISNUMBER(MATCH(D23,'3. Dicionario Principios Ativos'!$A$4:$A$245,0)),INDEX('3. Dicionario Principios Ativos'!$A$4:$A$245,MATCH(D23,'3. Dicionario Principios Ativos'!$A$4:$A$245,0)),D23)))</f>
        <v>BIFENTRINA 100</v>
      </c>
      <c r="P23" s="15" t="str">
        <f aca="false">IF(B23="","",IF(D23=O23,"CONFORME — Princípio Ativo Validado","DIVERGENTE — Substituir por: "&amp;O23))</f>
        <v>CONFORME — Princípio Ativo Validado</v>
      </c>
      <c r="Q23" s="19" t="str">
        <f aca="false">IF(B23="","",IF(IF(IF(ISNUMBER(MATCH(A23,'4.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Produtos)'!$J$4:$J$848,IF(ISNUMBER(MATCH(A23,'4. Base Mestre (845 Produtos)'!$A$4:$A$848,0)),MATCH(A23,'4. Base Mestre (845 Produtos)'!$A$4:$A$848,0),IF(ISNUMBER(MATCH(B23,'4. Base Mestre (845 Produtos)'!$B$4:$B$848,0)),MATCH(B23,'4. Base Mestre (845 Produtos)'!$B$4:$B$848,0),0)))="SIM",IF(ISNUMBER(MATCH(D23,'3. Dicionario Principios Ativos'!$A$4:$A$245,0)),INDEX('3. Dicionario Principios Ativos'!$C$4:$C$245,MATCH(D23,'3. Dicionario Principios Ativos'!$A$4:$A$245,0))="SIM",FALSE())),IF(AND(K23&gt;0,K23&lt;=0.3001),"3808.61.00",IF(AND(K23&gt;0.3001,K23&lt;=7.5001),"3808.62.90","3808.69.90")),IF(AND(LEFT(IF(IF(ISNUMBER(MATCH(A23,'4.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Produtos)'!$L$4:$L$848,IF(ISNUMBER(MATCH(A23,'4. Base Mestre (845 Produtos)'!$A$4:$A$848,0)),MATCH(A23,'4. Base Mestre (845 Produtos)'!$A$4:$A$848,0),IF(ISNUMBER(MATCH(B23,'4. Base Mestre (845 Produtos)'!$B$4:$B$848,0)),MATCH(B23,'4. Base Mestre (845 Produtos)'!$B$4:$B$848,0),0))),IF(ISNUMBER(MATCH(D23,'3. Dicionario Principios Ativos'!$A$4:$A$245,0)),INDEX('3. Dicionario Principios Ativos'!$D$4:$D$245,MATCH(D23,'3. Dicionario Principios Ativos'!$A$4:$A$245,0)),E23)),2)="31",E23="3105.10.00",K23&gt;0,K23&lt;=10.0001),"3105.10.00",IF(AND(IF(IF(ISNUMBER(MATCH(A23,'4.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Produtos)'!$L$4:$L$848,IF(ISNUMBER(MATCH(A23,'4. Base Mestre (845 Produtos)'!$A$4:$A$848,0)),MATCH(A23,'4. Base Mestre (845 Produtos)'!$A$4:$A$848,0),IF(ISNUMBER(MATCH(B23,'4. Base Mestre (845 Produtos)'!$B$4:$B$848,0)),MATCH(B23,'4. Base Mestre (845 Produtos)'!$B$4:$B$848,0),0))),IF(ISNUMBER(MATCH(D23,'3. Dicionario Principios Ativos'!$A$4:$A$245,0)),INDEX('3. Dicionario Principios Ativos'!$D$4:$D$245,MATCH(D23,'3. Dicionario Principios Ativos'!$A$4:$A$245,0)),E23))="3105.10.00",K23&gt;10.0001),"3105.90.90",IF(IF(ISNUMBER(MATCH(A23,'4.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Produtos)'!$L$4:$L$848,IF(ISNUMBER(MATCH(A23,'4. Base Mestre (845 Produtos)'!$A$4:$A$848,0)),MATCH(A23,'4. Base Mestre (845 Produtos)'!$A$4:$A$848,0),IF(ISNUMBER(MATCH(B23,'4. Base Mestre (845 Produtos)'!$B$4:$B$848,0)),MATCH(B23,'4. Base Mestre (845 Produtos)'!$B$4:$B$848,0),0))),IF(ISNUMBER(MATCH(D23,'3. Dicionario Principios Ativos'!$A$4:$A$245,0)),INDEX('3. Dicionario Principios Ativos'!$D$4:$D$245,MATCH(D23,'3. Dicionario Principios Ativos'!$A$4:$A$245,0)),E23))))))</f>
        <v>3808.62.90</v>
      </c>
      <c r="R23" s="15" t="str">
        <f aca="false">IF(B23="","",IF(OR(E23=Q23,AND(Q23="3002.49.99",E23="3002.90.00")),"CONFORME — NCM "&amp;E23&amp;" Correta na TIPI","DIVERGENTE — Substituir "&amp;E23&amp;" por "&amp;Q23))</f>
        <v>DIVERGENTE — Substituir 3808.91.19 por 3808.62.90</v>
      </c>
      <c r="S23" s="15" t="str">
        <f aca="false">IF(B23="","",IF(AND(E23="3808.61.00",OR(K23&gt;0.3001,K23=0)),"INCOMPATÍVEL — NCM 3808.61.00 exige emb. &lt;= 0,3kg/L (Emb. atual: "&amp;K23&amp;" "&amp;L23&amp;" -&gt; usar "&amp;Q23&amp;")",IF(AND(LEFT(E23,7)="3808.62",OR(K23&lt;=0.3001,K23&gt;7.5001)),"INCOMPATÍVEL — NCM 3808.62 exige emb. de 0,3 a 7,5kg/L (Emb. atual: "&amp;K23&amp;" "&amp;L23&amp;" -&gt; usar "&amp;Q23&amp;")",IF(AND(LEFT(E23,7)="3808.69",K23&gt;0,K23&lt;=7.5001),"INCOMPATÍVEL — NCM 3808.69 exige emb. &gt; 7,5kg/L (Emb. atual: "&amp;K23&amp;" "&amp;L23&amp;" -&gt; usar "&amp;Q23&amp;")",IF(AND(LEFT(Q23,6)="3808.6",LEFT(E23,6)&lt;&gt;"3808.6"),"INCOMPATÍVEL — Molécula Nota Subpos. 2 c/ emb. "&amp;K23&amp;" "&amp;L23&amp;" exige NCM "&amp;Q23,IF(AND(OR(E23="3808.91.19",E23="3808.92.19",E23="3808.93.19",E23="3808.99.19"),K23&gt;=1),"INCOMPATÍVEL — Subitem .19 (Domissanitário) vedado p/ emb. agrícola de "&amp;K23&amp;" "&amp;L23,IF(AND(E23="3105.10.00",K23&gt;10.0001),"INCOMPATÍVEL — NCM 3105.10.00 exige peso bruto &lt;= 10kg (Emb. atual: "&amp;K23&amp;" "&amp;L23&amp;" -&gt; usar 3105.90.90)",IF(AND(LEFT(E23,2)="29",LEFT(Q23,4)="3808",K23&gt;0),"INCOMPATÍVEL — Produto formulado em emb. comercial ("&amp;K23&amp;" "&amp;L23&amp;") vedado no Cap. 29 -&gt; usar "&amp;Q23,"CONFORME — Embalagem ("&amp;K23&amp;" "&amp;L23&amp;") compatível c/ a NCM"))))))))</f>
        <v>INCOMPATÍVEL — Molécula Nota Subpos. 2 c/ emb. 5 L exige NCM 3808.62.90</v>
      </c>
      <c r="T23" s="19" t="n">
        <f aca="false">IF(B23="","",IF(IF(ISNUMBER(MATCH(A23,'4.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Produtos)'!$P$4:$P$848,IF(ISNUMBER(MATCH(A23,'4. Base Mestre (845 Produtos)'!$A$4:$A$848,0)),MATCH(A23,'4. Base Mestre (845 Produtos)'!$A$4:$A$848,0),IF(ISNUMBER(MATCH(B23,'4. Base Mestre (845 Produtos)'!$B$4:$B$848,0)),MATCH(B23,'4. Base Mestre (845 Produtos)'!$B$4:$B$848,0),0))),IF(ISNUMBER(MATCH(D23,'3. Dicionario Principios Ativos'!$A$4:$A$245,0)),INDEX('3. Dicionario Principios Ativos'!$K$4:$K$245,MATCH(D23,'3. Dicionario Principios Ativos'!$A$4:$A$245,0)),"VERIFICAR BULA")))</f>
        <v>9407</v>
      </c>
      <c r="U23" s="15" t="str">
        <f aca="false">IF(B23="","",IF(ISNUMBER(SEARCH("ISENTO",T23)),IF(OR(F23=0,F23="0",F23="ISENTO",F23=""),"CONFORME (DISPENSADO) — Isento pelo Ato SDA/MAPA nº 104/2017","INCORRETO — Produto isento de registro MAPA (usar 0 ou ISENTO)"),IF(ISNUMBER(SEARCH("SIPEAGRO",T23)),IF(ISNUMBER(SEARCH("-",F23)),"CONFORME — Registro SIPEAGRO ("&amp;F23&amp;") Preenchido","ADEQUAR P/ SIPEAGRO — Substituir 0 pelo Registro (UF-XXXXX-XXXXX.X)"),IF(ISNUMBER(SEARCH("VINCULAR",T23)),IF(AND(F23&lt;&gt;0,F23&lt;&gt;"0",F23&lt;&gt;""),"INCORRETO / TROCADO — Código "&amp;F23&amp;" pertence a outro produto (Vincular bula da marca)","VINCULAR MARCA — Cadastro de P.A. s/ marca fixa (Vincular registro na NF-e)"),IF(OR(F23=0,F23="0",F23=""),"AUSENTE (ZERO) — Preencher Registro Oficial MAPA nº "&amp;T23,IF(TEXT(F23,"0")=TEXT(T23,"0"),"CONFORME — Registro MAPA nº "&amp;T23&amp;" Validado na Bula","INCORRETO / TROCADO — Substituir "&amp;F23&amp;" pelo Registro Oficial nº "&amp;T23))))))</f>
        <v>CONFORME — Registro MAPA nº 9407 Validado na Bula</v>
      </c>
      <c r="V23" s="15" t="str">
        <f aca="false">IF(B23="","",IF(IF(ISNUMBER(MATCH(A23,'4.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Produtos)'!$S$4:$S$848,IF(ISNUMBER(MATCH(A23,'4. Base Mestre (845 Produtos)'!$A$4:$A$848,0)),MATCH(A23,'4. Base Mestre (845 Produtos)'!$A$4:$A$848,0),IF(ISNUMBER(MATCH(B23,'4. Base Mestre (845 Produtos)'!$B$4:$B$848,0)),MATCH(B23,'4. Base Mestre (845 Produtos)'!$B$4:$B$848,0),0))),IF(ISNUMBER(MATCH(D23,'3. Dicionario Principios Ativos'!$A$4:$A$245,0)),INDEX('3. Dicionario Principios Ativos'!$L$4:$L$245,MATCH(D23,'3. Dicionario Principios Ativos'!$A$4:$A$245,0)),"Verificar NCM")))</f>
        <v>Beneficiado (Lei 10.925/04): 0% até Mar/26 | 0,925% Real / 0,365% Pres. pós-Abr/26 (LC 224/25)</v>
      </c>
      <c r="W23" s="15" t="str">
        <f aca="false">IF(B23="","",IF(IF(ISNUMBER(MATCH(A23,'4. Base Mestre (845 Produtos)'!$A$4:$A$848,0)),MATCH(A23,'4. Base Mestre (845 Produtos)'!$A$4:$A$848,0),IF(ISNUMBER(MATCH(B23,'4. Base Mestre (845 Produtos)'!$B$4:$B$848,0)),MATCH(B23,'4. Base Mestre (845 Produtos)'!$B$4:$B$848,0),0))&gt;0,INDEX('4. Base Mestre (845 Produtos)'!$T$4:$T$848,IF(ISNUMBER(MATCH(A23,'4. Base Mestre (845 Produtos)'!$A$4:$A$848,0)),MATCH(A23,'4. Base Mestre (845 Produtos)'!$A$4:$A$848,0),IF(ISNUMBER(MATCH(B23,'4. Base Mestre (845 Produtos)'!$B$4:$B$848,0)),MATCH(B23,'4. Base Mestre (845 Produtos)'!$B$4:$B$848,0),0))),IF(ISNUMBER(MATCH(D23,'3. Dicionario Principios Ativos'!$A$4:$A$245,0)),INDEX('3. Dicionario Principios Ativos'!$M$4:$M$245,MATCH(D23,'3. Dicionario Principios Ativos'!$A$4:$A$245,0)),"Verificar CST")))</f>
        <v>Saída: CST 06 (c/ Ajuste M220/M620 pós-Abr/26) | Entrada Revenda: CST 73</v>
      </c>
      <c r="X23" s="18" t="str">
        <f aca="false">IF(B23="","",IF(AND(LEFT(M23,8)="CONFORME",LEFT(P23,8)="CONFORME",LEFT(R23,8)="CONFORME",LEFT(S23,8)="CONFORME",LEFT(U23,8)="CONFORME"),"CADASTRO 100% CONFORME — LIBERADO P/ ERP",IF(AND(LEFT(M23,8)="CONFORME",LEFT(P23,8)="CONFORME",LEFT(R23,8)="CONFORME",LEFT(S23,8)="CONFORME",OR(LEFT(U23,7)="ADEQUAR",LEFT(U23,8)="VINCULAR")),"FISCAL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24" customFormat="false" ht="21.75" hidden="false" customHeight="true" outlineLevel="0" collapsed="false">
      <c r="A24" s="10" t="n">
        <v>1520</v>
      </c>
      <c r="B24" s="11" t="s">
        <v>90</v>
      </c>
      <c r="C24" s="12" t="s">
        <v>39</v>
      </c>
      <c r="D24" s="13" t="s">
        <v>91</v>
      </c>
      <c r="E24" s="12" t="s">
        <v>92</v>
      </c>
      <c r="F24" s="12" t="n">
        <v>30520</v>
      </c>
      <c r="G24" s="14"/>
      <c r="H24" s="13" t="s">
        <v>93</v>
      </c>
      <c r="I24" s="20" t="str">
        <f aca="false">IF(B24="","",IF(ISNUMBER(MATCH(A24,'4. Base Mestre (845 Produtos)'!$A$4:$A$848,0)),"Localizado por Código ("&amp;A24&amp;") na Base Mestre",IF(ISNUMBER(MATCH(B24,'4. Base Mestre (845 Produtos)'!$B$4:$B$848,0)),"Localizado por Descrição na Base Mestre",IF(ISNUMBER(MATCH(D24,'3. Dicionario Principios Ativos'!$A$4:$A$245,0)),"Produto Novo — Validado pelo Dicionário de P.A.","Não Localizado — Revisar Código/P.A."))))</f>
        <v>Localizado por Código (1520) na Base Mestre</v>
      </c>
      <c r="J24" s="20" t="str">
        <f aca="false">IF(B24="","",IF(IF(ISNUMBER(MATCH(A24,'4.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Produtos)'!$I$4:$I$848,IF(ISNUMBER(MATCH(A24,'4. Base Mestre (845 Produtos)'!$A$4:$A$848,0)),MATCH(A24,'4. Base Mestre (845 Produtos)'!$A$4:$A$848,0),IF(ISNUMBER(MATCH(B24,'4. Base Mestre (845 Produtos)'!$B$4:$B$848,0)),MATCH(B24,'4. Base Mestre (845 Produtos)'!$B$4:$B$848,0),0))),IF(ISNUMBER(MATCH(D24,'3. Dicionario Principios Ativos'!$A$4:$A$245,0)),INDEX('3. Dicionario Principios Ativos'!$B$4:$B$245,MATCH(D24,'3. Dicionario Principios Ativos'!$A$4:$A$245,0)),"Revisar Classificação")))</f>
        <v>Defensivos — Regulador de Crescimento</v>
      </c>
      <c r="K24" s="21" t="n">
        <f aca="false">IF(B24="","",IF(G24&lt;&gt;"",G24,IF(OR(ISNUMBER(SEARCH("PRINCIPIO ATIVO",B24)),ISNUMBER(SEARCH("PRINC. ATIVO",B24)),ISNUMBER(SEARCH("PR. ATIVO",B24)),ISNUMBER(SEARCH("PR.AT.",B24)),ISNUMBER(SEARCH("(P.A",B24)),ISNUMBER(SEARCH("(P. A",B24))),0,IF(OR(ISNUMBER(SEARCH("0,100KG",B24)),ISNUMBER(SEARCH("0,1KG",B24)),ISNUMBER(SEARCH("0,100L",B24))),0.1,IF(OR(ISNUMBER(SEARCH("0,200L",B24)),ISNUMBER(SEARCH("0,2L",B24)),ISNUMBER(SEARCH("0,200KG",B24)),ISNUMBER(SEARCH("0,2KG",B24))),0.2,IF(OR(ISNUMBER(SEARCH("0,240KG",B24)),ISNUMBER(SEARCH("0,250L",B24))),0.24,IF(OR(ISNUMBER(SEARCH("0,300KG",B24)),ISNUMBER(SEARCH("0,3KG",B24))),0.3,IF(OR(ISNUMBER(SEARCH("0,500L",B24)),ISNUMBER(SEARCH("0,5L",B24)),ISNUMBER(SEARCH("0,5KG",B24))),0.5,IF(ISNUMBER(SEARCH("0,8KG",B24)),0.8,IF(OR(ISNUMBER(SEARCH("1,5L",B24)),ISNUMBER(SEARCH("1,5KG",B24))),1.5,IF(OR(ISNUMBER(SEARCH("1,75L",B24)),ISNUMBER(SEARCH("1,8L",B24)),ISNUMBER(SEARCH("1.8L",B24))),1.8,IF(ISNUMBER(SEARCH("4,5KG",B24)),4.5,IF(ISNUMBER(SEARCH("7,5KG",B24)),7.5,IF(OR(ISNUMBER(SEARCH("1000L",B24)),ISNUMBER(SEARCH("1000KG",B24)),ISNUMBER(SEARCH("1.000KG",B24)),ISNUMBER(SEARCH("1.000L",B24)),ISNUMBER(SEARCH("1000 KG",B24)),ISNUMBER(SEARCH("GRANEL",B24)),ISNUMBER(SEARCH("(TON)",B24))),1000,IF(ISNUMBER(SEARCH("200L",B24)),200,IF(OR(ISNUMBER(SEARCH("25KG",B24)),ISNUMBER(SEARCH("25L",B24))),25,IF(OR(ISNUMBER(SEARCH("20L",B24)),ISNUMBER(SEARCH("20KG",B24))),20,IF(ISNUMBER(SEARCH("15KG",B24)),15,IF(OR(ISNUMBER(SEARCH("10L",B24)),ISNUMBER(SEARCH("10KG",B24))),10,IF(OR(ISNUMBER(SEARCH("5L",B24)),ISNUMBER(SEARCH("5KG",B24)),ISNUMBER(SEARCH("5LT",B24))),5,IF(OR(ISNUMBER(SEARCH("3KG",B24)),ISNUMBER(SEARCH("3L",B24))),3,IF(OR(ISNUMBER(SEARCH("2L",B24)),ISNUMBER(SEARCH("2KG",B24))),2,IF(OR(ISNUMBER(SEARCH("1L",B24)),ISNUMBER(SEARCH("1KG",B24)),ISNUMBER(SEARCH("1LT",B24))),1,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Produtos)'!$D$4:$D$848,IF(ISNUMBER(MATCH(A24,'4. Base Mestre (845 Produtos)'!$A$4:$A$848,0)),MATCH(A24,'4. Base Mestre (845 Produtos)'!$A$4:$A$848,0),IF(ISNUMBER(MATCH(B24,'4. Base Mestre (845 Produtos)'!$B$4:$B$848,0)),MATCH(B24,'4. Base Mestre (845 Produtos)'!$B$4:$B$848,0),0))),1))))))))))))))))))))))))</f>
        <v>5</v>
      </c>
      <c r="L24" s="22" t="str">
        <f aca="false">IF(B24="","",IF(OR(ISNUMBER(SEARCH("KG",B24)),ISNUMBER(SEARCH("GR",B24))),"KG",IF(OR(ISNUMBER(SEARCH("0,200L",B24)),ISNUMBER(SEARCH("0,2L",B24)),ISNUMBER(SEARCH("0,5L",B24)),ISNUMBER(SEARCH("1,5L",B24)),ISNUMBER(SEARCH("1,8L",B24)),ISNUMBER(SEARCH("1.8L",B24)),ISNUMBER(SEARCH("1L",B24)),ISNUMBER(SEARCH("2L",B24)),ISNUMBER(SEARCH("3L",B24)),ISNUMBER(SEARCH("5L",B24)),ISNUMBER(SEARCH("10L",B24)),ISNUMBER(SEARCH("20L",B24)),ISNUMBER(SEARCH("25L",B24)),ISNUMBER(SEARCH("200L",B24)),ISNUMBER(SEARCH("1000L",B24)),ISNUMBER(SEARCH("LT",B24))),"L",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Produtos)'!$E$4:$E$848,IF(ISNUMBER(MATCH(A24,'4. Base Mestre (845 Produtos)'!$A$4:$A$848,0)),MATCH(A24,'4. Base Mestre (845 Produtos)'!$A$4:$A$848,0),IF(ISNUMBER(MATCH(B24,'4. Base Mestre (845 Produtos)'!$B$4:$B$848,0)),MATCH(B24,'4. Base Mestre (845 Produtos)'!$B$4:$B$848,0),0))),C24))))</f>
        <v>L</v>
      </c>
      <c r="M24" s="20" t="str">
        <f aca="false">IF(B24="","",IF(C24=L24,"CONFORME — Unidade ("&amp;C24&amp;") compatível c/ Embalagem","DIVERGENTE — Embalagem em "&amp;L24&amp;", mas cadastrado em "&amp;C24))</f>
        <v>CONFORME — Unidade (L) compatível c/ Embalagem</v>
      </c>
      <c r="N24" s="20" t="str">
        <f aca="false">IF(B24="","",IF(K24=0,"Granel / Produto Técnico (Sem Embalagem Comercial)",IF(K24&lt;=0.3001,"Faixa 1 TIPI: Até 300g/mL (3808.61.00 / 3105.10.00)",IF(K24&lt;=7.5001,"Faixa 2 TIPI: De 300g a 7,5kg/L (3808.62.90 / 3105.10.00)",IF(K24&lt;=10.0001,"Faixa 3 TIPI: De 7,5kg a 10kg/L (3808.69.90 / 3105.10.00)","Faixa 4 TIPI: Acima de 10kg/L (3808.69.90 / Cap. 31 Geral)")))))</f>
        <v>Faixa 2 TIPI: De 300g a 7,5kg/L (3808.62.90 / 3105.10.00)</v>
      </c>
      <c r="O24" s="23" t="str">
        <f aca="false">IF(B24="","",IF(IF(ISNUMBER(MATCH(A24,'4.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Produtos)'!$H$4:$H$848,IF(ISNUMBER(MATCH(A24,'4. Base Mestre (845 Produtos)'!$A$4:$A$848,0)),MATCH(A24,'4. Base Mestre (845 Produtos)'!$A$4:$A$848,0),IF(ISNUMBER(MATCH(B24,'4. Base Mestre (845 Produtos)'!$B$4:$B$848,0)),MATCH(B24,'4. Base Mestre (845 Produtos)'!$B$4:$B$848,0),0))),IF(ISNUMBER(MATCH(D24,'3. Dicionario Principios Ativos'!$A$4:$A$245,0)),INDEX('3. Dicionario Principios Ativos'!$A$4:$A$245,MATCH(D24,'3. Dicionario Principios Ativos'!$A$4:$A$245,0)),D24)))</f>
        <v>TRINEXAPAQUE-ETILICO 250</v>
      </c>
      <c r="P24" s="20" t="str">
        <f aca="false">IF(B24="","",IF(D24=O24,"CONFORME — Princípio Ativo Validado","DIVERGENTE — Substituir por: "&amp;O24))</f>
        <v>CONFORME — Princípio Ativo Validado</v>
      </c>
      <c r="Q24" s="24" t="str">
        <f aca="false">IF(B24="","",IF(IF(IF(ISNUMBER(MATCH(A24,'4.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Produtos)'!$J$4:$J$848,IF(ISNUMBER(MATCH(A24,'4. Base Mestre (845 Produtos)'!$A$4:$A$848,0)),MATCH(A24,'4. Base Mestre (845 Produtos)'!$A$4:$A$848,0),IF(ISNUMBER(MATCH(B24,'4. Base Mestre (845 Produtos)'!$B$4:$B$848,0)),MATCH(B24,'4. Base Mestre (845 Produtos)'!$B$4:$B$848,0),0)))="SIM",IF(ISNUMBER(MATCH(D24,'3. Dicionario Principios Ativos'!$A$4:$A$245,0)),INDEX('3. Dicionario Principios Ativos'!$C$4:$C$245,MATCH(D24,'3. Dicionario Principios Ativos'!$A$4:$A$245,0))="SIM",FALSE())),IF(AND(K24&gt;0,K24&lt;=0.3001),"3808.61.00",IF(AND(K24&gt;0.3001,K24&lt;=7.5001),"3808.62.90","3808.69.90")),IF(AND(LEFT(IF(IF(ISNUMBER(MATCH(A24,'4.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Produtos)'!$L$4:$L$848,IF(ISNUMBER(MATCH(A24,'4. Base Mestre (845 Produtos)'!$A$4:$A$848,0)),MATCH(A24,'4. Base Mestre (845 Produtos)'!$A$4:$A$848,0),IF(ISNUMBER(MATCH(B24,'4. Base Mestre (845 Produtos)'!$B$4:$B$848,0)),MATCH(B24,'4. Base Mestre (845 Produtos)'!$B$4:$B$848,0),0))),IF(ISNUMBER(MATCH(D24,'3. Dicionario Principios Ativos'!$A$4:$A$245,0)),INDEX('3. Dicionario Principios Ativos'!$D$4:$D$245,MATCH(D24,'3. Dicionario Principios Ativos'!$A$4:$A$245,0)),E24)),2)="31",E24="3105.10.00",K24&gt;0,K24&lt;=10.0001),"3105.10.00",IF(AND(IF(IF(ISNUMBER(MATCH(A24,'4.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Produtos)'!$L$4:$L$848,IF(ISNUMBER(MATCH(A24,'4. Base Mestre (845 Produtos)'!$A$4:$A$848,0)),MATCH(A24,'4. Base Mestre (845 Produtos)'!$A$4:$A$848,0),IF(ISNUMBER(MATCH(B24,'4. Base Mestre (845 Produtos)'!$B$4:$B$848,0)),MATCH(B24,'4. Base Mestre (845 Produtos)'!$B$4:$B$848,0),0))),IF(ISNUMBER(MATCH(D24,'3. Dicionario Principios Ativos'!$A$4:$A$245,0)),INDEX('3. Dicionario Principios Ativos'!$D$4:$D$245,MATCH(D24,'3. Dicionario Principios Ativos'!$A$4:$A$245,0)),E24))="3105.10.00",K24&gt;10.0001),"3105.90.90",IF(IF(ISNUMBER(MATCH(A24,'4.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Produtos)'!$L$4:$L$848,IF(ISNUMBER(MATCH(A24,'4. Base Mestre (845 Produtos)'!$A$4:$A$848,0)),MATCH(A24,'4. Base Mestre (845 Produtos)'!$A$4:$A$848,0),IF(ISNUMBER(MATCH(B24,'4. Base Mestre (845 Produtos)'!$B$4:$B$848,0)),MATCH(B24,'4. Base Mestre (845 Produtos)'!$B$4:$B$848,0),0))),IF(ISNUMBER(MATCH(D24,'3. Dicionario Principios Ativos'!$A$4:$A$245,0)),INDEX('3. Dicionario Principios Ativos'!$D$4:$D$245,MATCH(D24,'3. Dicionario Principios Ativos'!$A$4:$A$245,0)),E24))))))</f>
        <v>3808.93.59</v>
      </c>
      <c r="R24" s="20" t="str">
        <f aca="false">IF(B24="","",IF(OR(E24=Q24,AND(Q24="3002.49.99",E24="3002.90.00")),"CONFORME — NCM "&amp;E24&amp;" Correta na TIPI","DIVERGENTE — Substituir "&amp;E24&amp;" por "&amp;Q24))</f>
        <v>DIVERGENTE — Substituir 2918.99.99 por 3808.93.59</v>
      </c>
      <c r="S24" s="20" t="str">
        <f aca="false">IF(B24="","",IF(AND(E24="3808.61.00",OR(K24&gt;0.3001,K24=0)),"INCOMPATÍVEL — NCM 3808.61.00 exige emb. &lt;= 0,3kg/L (Emb. atual: "&amp;K24&amp;" "&amp;L24&amp;" -&gt; usar "&amp;Q24&amp;")",IF(AND(LEFT(E24,7)="3808.62",OR(K24&lt;=0.3001,K24&gt;7.5001)),"INCOMPATÍVEL — NCM 3808.62 exige emb. de 0,3 a 7,5kg/L (Emb. atual: "&amp;K24&amp;" "&amp;L24&amp;" -&gt; usar "&amp;Q24&amp;")",IF(AND(LEFT(E24,7)="3808.69",K24&gt;0,K24&lt;=7.5001),"INCOMPATÍVEL — NCM 3808.69 exige emb. &gt; 7,5kg/L (Emb. atual: "&amp;K24&amp;" "&amp;L24&amp;" -&gt; usar "&amp;Q24&amp;")",IF(AND(LEFT(Q24,6)="3808.6",LEFT(E24,6)&lt;&gt;"3808.6"),"INCOMPATÍVEL — Molécula Nota Subpos. 2 c/ emb. "&amp;K24&amp;" "&amp;L24&amp;" exige NCM "&amp;Q24,IF(AND(OR(E24="3808.91.19",E24="3808.92.19",E24="3808.93.19",E24="3808.99.19"),K24&gt;=1),"INCOMPATÍVEL — Subitem .19 (Domissanitário) vedado p/ emb. agrícola de "&amp;K24&amp;" "&amp;L24,IF(AND(E24="3105.10.00",K24&gt;10.0001),"INCOMPATÍVEL — NCM 3105.10.00 exige peso bruto &lt;= 10kg (Emb. atual: "&amp;K24&amp;" "&amp;L24&amp;" -&gt; usar 3105.90.90)",IF(AND(LEFT(E24,2)="29",LEFT(Q24,4)="3808",K24&gt;0),"INCOMPATÍVEL — Produto formulado em emb. comercial ("&amp;K24&amp;" "&amp;L24&amp;") vedado no Cap. 29 -&gt; usar "&amp;Q24,"CONFORME — Embalagem ("&amp;K24&amp;" "&amp;L24&amp;") compatível c/ a NCM"))))))))</f>
        <v>INCOMPATÍVEL — Produto formulado em emb. comercial (5 L) vedado no Cap. 29 -&gt; usar 3808.93.59</v>
      </c>
      <c r="T24" s="24" t="n">
        <f aca="false">IF(B24="","",IF(IF(ISNUMBER(MATCH(A24,'4.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Produtos)'!$P$4:$P$848,IF(ISNUMBER(MATCH(A24,'4. Base Mestre (845 Produtos)'!$A$4:$A$848,0)),MATCH(A24,'4. Base Mestre (845 Produtos)'!$A$4:$A$848,0),IF(ISNUMBER(MATCH(B24,'4. Base Mestre (845 Produtos)'!$B$4:$B$848,0)),MATCH(B24,'4. Base Mestre (845 Produtos)'!$B$4:$B$848,0),0))),IF(ISNUMBER(MATCH(D24,'3. Dicionario Principios Ativos'!$A$4:$A$245,0)),INDEX('3. Dicionario Principios Ativos'!$K$4:$K$245,MATCH(D24,'3. Dicionario Principios Ativos'!$A$4:$A$245,0)),"VERIFICAR BULA")))</f>
        <v>30520</v>
      </c>
      <c r="U24" s="20" t="str">
        <f aca="false">IF(B24="","",IF(ISNUMBER(SEARCH("ISENTO",T24)),IF(OR(F24=0,F24="0",F24="ISENTO",F24=""),"CONFORME (DISPENSADO) — Isento pelo Ato SDA/MAPA nº 104/2017","INCORRETO — Produto isento de registro MAPA (usar 0 ou ISENTO)"),IF(ISNUMBER(SEARCH("SIPEAGRO",T24)),IF(ISNUMBER(SEARCH("-",F24)),"CONFORME — Registro SIPEAGRO ("&amp;F24&amp;") Preenchido","ADEQUAR P/ SIPEAGRO — Substituir 0 pelo Registro (UF-XXXXX-XXXXX.X)"),IF(ISNUMBER(SEARCH("VINCULAR",T24)),IF(AND(F24&lt;&gt;0,F24&lt;&gt;"0",F24&lt;&gt;""),"INCORRETO / TROCADO — Código "&amp;F24&amp;" pertence a outro produto (Vincular bula da marca)","VINCULAR MARCA — Cadastro de P.A. s/ marca fixa (Vincular registro na NF-e)"),IF(OR(F24=0,F24="0",F24=""),"AUSENTE (ZERO) — Preencher Registro Oficial MAPA nº "&amp;T24,IF(TEXT(F24,"0")=TEXT(T24,"0"),"CONFORME — Registro MAPA nº "&amp;T24&amp;" Validado na Bula","INCORRETO / TROCADO — Substituir "&amp;F24&amp;" pelo Registro Oficial nº "&amp;T24))))))</f>
        <v>CONFORME — Registro MAPA nº 30520 Validado na Bula</v>
      </c>
      <c r="V24" s="20" t="str">
        <f aca="false">IF(B24="","",IF(IF(ISNUMBER(MATCH(A24,'4.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Produtos)'!$S$4:$S$848,IF(ISNUMBER(MATCH(A24,'4. Base Mestre (845 Produtos)'!$A$4:$A$848,0)),MATCH(A24,'4. Base Mestre (845 Produtos)'!$A$4:$A$848,0),IF(ISNUMBER(MATCH(B24,'4. Base Mestre (845 Produtos)'!$B$4:$B$848,0)),MATCH(B24,'4. Base Mestre (845 Produtos)'!$B$4:$B$848,0),0))),IF(ISNUMBER(MATCH(D24,'3. Dicionario Principios Ativos'!$A$4:$A$245,0)),INDEX('3. Dicionario Principios Ativos'!$L$4:$L$245,MATCH(D24,'3. Dicionario Principios Ativos'!$A$4:$A$245,0)),"Verificar NCM")))</f>
        <v>Beneficiado (Lei 10.925/04): 0% até Mar/26 | 0,925% Real / 0,365% Pres. pós-Abr/26 (LC 224/25)</v>
      </c>
      <c r="W24" s="20" t="str">
        <f aca="false">IF(B24="","",IF(IF(ISNUMBER(MATCH(A24,'4. Base Mestre (845 Produtos)'!$A$4:$A$848,0)),MATCH(A24,'4. Base Mestre (845 Produtos)'!$A$4:$A$848,0),IF(ISNUMBER(MATCH(B24,'4. Base Mestre (845 Produtos)'!$B$4:$B$848,0)),MATCH(B24,'4. Base Mestre (845 Produtos)'!$B$4:$B$848,0),0))&gt;0,INDEX('4. Base Mestre (845 Produtos)'!$T$4:$T$848,IF(ISNUMBER(MATCH(A24,'4. Base Mestre (845 Produtos)'!$A$4:$A$848,0)),MATCH(A24,'4. Base Mestre (845 Produtos)'!$A$4:$A$848,0),IF(ISNUMBER(MATCH(B24,'4. Base Mestre (845 Produtos)'!$B$4:$B$848,0)),MATCH(B24,'4. Base Mestre (845 Produtos)'!$B$4:$B$848,0),0))),IF(ISNUMBER(MATCH(D24,'3. Dicionario Principios Ativos'!$A$4:$A$245,0)),INDEX('3. Dicionario Principios Ativos'!$M$4:$M$245,MATCH(D24,'3. Dicionario Principios Ativos'!$A$4:$A$245,0)),"Verificar CST")))</f>
        <v>Saída: CST 06 (c/ Ajuste M220/M620 pós-Abr/26) | Entrada Revenda: CST 73</v>
      </c>
      <c r="X24" s="23" t="str">
        <f aca="false">IF(B24="","",IF(AND(LEFT(M24,8)="CONFORME",LEFT(P24,8)="CONFORME",LEFT(R24,8)="CONFORME",LEFT(S24,8)="CONFORME",LEFT(U24,8)="CONFORME"),"CADASTRO 100% CONFORME — LIBERADO P/ ERP",IF(AND(LEFT(M24,8)="CONFORME",LEFT(P24,8)="CONFORME",LEFT(R24,8)="CONFORME",LEFT(S24,8)="CONFORME",OR(LEFT(U24,7)="ADEQUAR",LEFT(U24,8)="VINCULAR")),"FISCAL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25" customFormat="false" ht="21.75" hidden="false" customHeight="true" outlineLevel="0" collapsed="false">
      <c r="A25" s="10" t="n">
        <v>55</v>
      </c>
      <c r="B25" s="11" t="s">
        <v>94</v>
      </c>
      <c r="C25" s="12" t="s">
        <v>39</v>
      </c>
      <c r="D25" s="13" t="s">
        <v>95</v>
      </c>
      <c r="E25" s="12" t="s">
        <v>55</v>
      </c>
      <c r="F25" s="12" t="s">
        <v>96</v>
      </c>
      <c r="G25" s="14"/>
      <c r="H25" s="13" t="s">
        <v>97</v>
      </c>
      <c r="I25" s="15" t="str">
        <f aca="false">IF(B25="","",IF(ISNUMBER(MATCH(A25,'4. Base Mestre (845 Produtos)'!$A$4:$A$848,0)),"Localizado por Código ("&amp;A25&amp;") na Base Mestre",IF(ISNUMBER(MATCH(B25,'4. Base Mestre (845 Produtos)'!$B$4:$B$848,0)),"Localizado por Descrição na Base Mestre",IF(ISNUMBER(MATCH(D25,'3. Dicionario Principios Ativos'!$A$4:$A$245,0)),"Produto Novo — Validado pelo Dicionário de P.A.","Não Localizado — Revisar Código/P.A."))))</f>
        <v>Localizado por Código (55) na Base Mestre</v>
      </c>
      <c r="J25" s="15" t="str">
        <f aca="false">IF(B25="","",IF(IF(ISNUMBER(MATCH(A25,'4.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Produtos)'!$I$4:$I$848,IF(ISNUMBER(MATCH(A25,'4. Base Mestre (845 Produtos)'!$A$4:$A$848,0)),MATCH(A25,'4. Base Mestre (845 Produtos)'!$A$4:$A$848,0),IF(ISNUMBER(MATCH(B25,'4. Base Mestre (845 Produtos)'!$B$4:$B$848,0)),MATCH(B25,'4. Base Mestre (845 Produtos)'!$B$4:$B$848,0),0))),IF(ISNUMBER(MATCH(D25,'3. Dicionario Principios Ativos'!$A$4:$A$245,0)),INDEX('3. Dicionario Principios Ativos'!$B$4:$B$245,MATCH(D25,'3. Dicionario Principios Ativos'!$A$4:$A$245,0)),"Revisar Classificação")))</f>
        <v>Fertilizantes — Fertilizante Foliar / Micronutrientes</v>
      </c>
      <c r="K25" s="16" t="n">
        <f aca="false">IF(B25="","",IF(G25&lt;&gt;"",G25,IF(OR(ISNUMBER(SEARCH("PRINCIPIO ATIVO",B25)),ISNUMBER(SEARCH("PRINC. ATIVO",B25)),ISNUMBER(SEARCH("PR. ATIVO",B25)),ISNUMBER(SEARCH("PR.AT.",B25)),ISNUMBER(SEARCH("(P.A",B25)),ISNUMBER(SEARCH("(P. A",B25))),0,IF(OR(ISNUMBER(SEARCH("0,100KG",B25)),ISNUMBER(SEARCH("0,1KG",B25)),ISNUMBER(SEARCH("0,100L",B25))),0.1,IF(OR(ISNUMBER(SEARCH("0,200L",B25)),ISNUMBER(SEARCH("0,2L",B25)),ISNUMBER(SEARCH("0,200KG",B25)),ISNUMBER(SEARCH("0,2KG",B25))),0.2,IF(OR(ISNUMBER(SEARCH("0,240KG",B25)),ISNUMBER(SEARCH("0,250L",B25))),0.24,IF(OR(ISNUMBER(SEARCH("0,300KG",B25)),ISNUMBER(SEARCH("0,3KG",B25))),0.3,IF(OR(ISNUMBER(SEARCH("0,500L",B25)),ISNUMBER(SEARCH("0,5L",B25)),ISNUMBER(SEARCH("0,5KG",B25))),0.5,IF(ISNUMBER(SEARCH("0,8KG",B25)),0.8,IF(OR(ISNUMBER(SEARCH("1,5L",B25)),ISNUMBER(SEARCH("1,5KG",B25))),1.5,IF(OR(ISNUMBER(SEARCH("1,75L",B25)),ISNUMBER(SEARCH("1,8L",B25)),ISNUMBER(SEARCH("1.8L",B25))),1.8,IF(ISNUMBER(SEARCH("4,5KG",B25)),4.5,IF(ISNUMBER(SEARCH("7,5KG",B25)),7.5,IF(OR(ISNUMBER(SEARCH("1000L",B25)),ISNUMBER(SEARCH("1000KG",B25)),ISNUMBER(SEARCH("1.000KG",B25)),ISNUMBER(SEARCH("1.000L",B25)),ISNUMBER(SEARCH("1000 KG",B25)),ISNUMBER(SEARCH("GRANEL",B25)),ISNUMBER(SEARCH("(TON)",B25))),1000,IF(ISNUMBER(SEARCH("200L",B25)),200,IF(OR(ISNUMBER(SEARCH("25KG",B25)),ISNUMBER(SEARCH("25L",B25))),25,IF(OR(ISNUMBER(SEARCH("20L",B25)),ISNUMBER(SEARCH("20KG",B25))),20,IF(ISNUMBER(SEARCH("15KG",B25)),15,IF(OR(ISNUMBER(SEARCH("10L",B25)),ISNUMBER(SEARCH("10KG",B25))),10,IF(OR(ISNUMBER(SEARCH("5L",B25)),ISNUMBER(SEARCH("5KG",B25)),ISNUMBER(SEARCH("5LT",B25))),5,IF(OR(ISNUMBER(SEARCH("3KG",B25)),ISNUMBER(SEARCH("3L",B25))),3,IF(OR(ISNUMBER(SEARCH("2L",B25)),ISNUMBER(SEARCH("2KG",B25))),2,IF(OR(ISNUMBER(SEARCH("1L",B25)),ISNUMBER(SEARCH("1KG",B25)),ISNUMBER(SEARCH("1LT",B25))),1,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Produtos)'!$D$4:$D$848,IF(ISNUMBER(MATCH(A25,'4. Base Mestre (845 Produtos)'!$A$4:$A$848,0)),MATCH(A25,'4. Base Mestre (845 Produtos)'!$A$4:$A$848,0),IF(ISNUMBER(MATCH(B25,'4. Base Mestre (845 Produtos)'!$B$4:$B$848,0)),MATCH(B25,'4. Base Mestre (845 Produtos)'!$B$4:$B$848,0),0))),1))))))))))))))))))))))))</f>
        <v>20</v>
      </c>
      <c r="L25" s="17" t="str">
        <f aca="false">IF(B25="","",IF(OR(ISNUMBER(SEARCH("KG",B25)),ISNUMBER(SEARCH("GR",B25))),"KG",IF(OR(ISNUMBER(SEARCH("0,200L",B25)),ISNUMBER(SEARCH("0,2L",B25)),ISNUMBER(SEARCH("0,5L",B25)),ISNUMBER(SEARCH("1,5L",B25)),ISNUMBER(SEARCH("1,8L",B25)),ISNUMBER(SEARCH("1.8L",B25)),ISNUMBER(SEARCH("1L",B25)),ISNUMBER(SEARCH("2L",B25)),ISNUMBER(SEARCH("3L",B25)),ISNUMBER(SEARCH("5L",B25)),ISNUMBER(SEARCH("10L",B25)),ISNUMBER(SEARCH("20L",B25)),ISNUMBER(SEARCH("25L",B25)),ISNUMBER(SEARCH("200L",B25)),ISNUMBER(SEARCH("1000L",B25)),ISNUMBER(SEARCH("LT",B25))),"L",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Produtos)'!$E$4:$E$848,IF(ISNUMBER(MATCH(A25,'4. Base Mestre (845 Produtos)'!$A$4:$A$848,0)),MATCH(A25,'4. Base Mestre (845 Produtos)'!$A$4:$A$848,0),IF(ISNUMBER(MATCH(B25,'4. Base Mestre (845 Produtos)'!$B$4:$B$848,0)),MATCH(B25,'4. Base Mestre (845 Produtos)'!$B$4:$B$848,0),0))),C25))))</f>
        <v>L</v>
      </c>
      <c r="M25" s="15" t="str">
        <f aca="false">IF(B25="","",IF(C25=L25,"CONFORME — Unidade ("&amp;C25&amp;") compatível c/ Embalagem","DIVERGENTE — Embalagem em "&amp;L25&amp;", mas cadastrado em "&amp;C25))</f>
        <v>CONFORME — Unidade (L) compatível c/ Embalagem</v>
      </c>
      <c r="N25" s="15" t="str">
        <f aca="false">IF(B25="","",IF(K25=0,"Granel / Produto Técnico (Sem Embalagem Comercial)",IF(K25&lt;=0.3001,"Faixa 1 TIPI: Até 300g/mL (3808.61.00 / 3105.10.00)",IF(K25&lt;=7.5001,"Faixa 2 TIPI: De 300g a 7,5kg/L (3808.62.90 / 3105.10.00)",IF(K25&lt;=10.0001,"Faixa 3 TIPI: De 7,5kg a 10kg/L (3808.69.90 / 3105.10.00)","Faixa 4 TIPI: Acima de 10kg/L (3808.69.90 / Cap. 31 Geral)")))))</f>
        <v>Faixa 4 TIPI: Acima de 10kg/L (3808.69.90 / Cap. 31 Geral)</v>
      </c>
      <c r="O25" s="18" t="str">
        <f aca="false">IF(B25="","",IF(IF(ISNUMBER(MATCH(A25,'4.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Produtos)'!$H$4:$H$848,IF(ISNUMBER(MATCH(A25,'4. Base Mestre (845 Produtos)'!$A$4:$A$848,0)),MATCH(A25,'4. Base Mestre (845 Produtos)'!$A$4:$A$848,0),IF(ISNUMBER(MATCH(B25,'4. Base Mestre (845 Produtos)'!$B$4:$B$848,0)),MATCH(B25,'4. Base Mestre (845 Produtos)'!$B$4:$B$848,0),0))),IF(ISNUMBER(MATCH(D25,'3. Dicionario Principios Ativos'!$A$4:$A$245,0)),INDEX('3. Dicionario Principios Ativos'!$A$4:$A$245,MATCH(D25,'3. Dicionario Principios Ativos'!$A$4:$A$245,0)),D25)))</f>
        <v>B 8%, N 5%, CU 0,3%, MO 0,03% + AA</v>
      </c>
      <c r="P25" s="15" t="str">
        <f aca="false">IF(B25="","",IF(D25=O25,"CONFORME — Princípio Ativo Validado","DIVERGENTE — Substituir por: "&amp;O25))</f>
        <v>CONFORME — Princípio Ativo Validado</v>
      </c>
      <c r="Q25" s="19" t="str">
        <f aca="false">IF(B25="","",IF(IF(IF(ISNUMBER(MATCH(A25,'4.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Produtos)'!$J$4:$J$848,IF(ISNUMBER(MATCH(A25,'4. Base Mestre (845 Produtos)'!$A$4:$A$848,0)),MATCH(A25,'4. Base Mestre (845 Produtos)'!$A$4:$A$848,0),IF(ISNUMBER(MATCH(B25,'4. Base Mestre (845 Produtos)'!$B$4:$B$848,0)),MATCH(B25,'4. Base Mestre (845 Produtos)'!$B$4:$B$848,0),0)))="SIM",IF(ISNUMBER(MATCH(D25,'3. Dicionario Principios Ativos'!$A$4:$A$245,0)),INDEX('3. Dicionario Principios Ativos'!$C$4:$C$245,MATCH(D25,'3. Dicionario Principios Ativos'!$A$4:$A$245,0))="SIM",FALSE())),IF(AND(K25&gt;0,K25&lt;=0.3001),"3808.61.00",IF(AND(K25&gt;0.3001,K25&lt;=7.5001),"3808.62.90","3808.69.90")),IF(AND(LEFT(IF(IF(ISNUMBER(MATCH(A25,'4.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Produtos)'!$L$4:$L$848,IF(ISNUMBER(MATCH(A25,'4. Base Mestre (845 Produtos)'!$A$4:$A$848,0)),MATCH(A25,'4. Base Mestre (845 Produtos)'!$A$4:$A$848,0),IF(ISNUMBER(MATCH(B25,'4. Base Mestre (845 Produtos)'!$B$4:$B$848,0)),MATCH(B25,'4. Base Mestre (845 Produtos)'!$B$4:$B$848,0),0))),IF(ISNUMBER(MATCH(D25,'3. Dicionario Principios Ativos'!$A$4:$A$245,0)),INDEX('3. Dicionario Principios Ativos'!$D$4:$D$245,MATCH(D25,'3. Dicionario Principios Ativos'!$A$4:$A$245,0)),E25)),2)="31",E25="3105.10.00",K25&gt;0,K25&lt;=10.0001),"3105.10.00",IF(AND(IF(IF(ISNUMBER(MATCH(A25,'4.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Produtos)'!$L$4:$L$848,IF(ISNUMBER(MATCH(A25,'4. Base Mestre (845 Produtos)'!$A$4:$A$848,0)),MATCH(A25,'4. Base Mestre (845 Produtos)'!$A$4:$A$848,0),IF(ISNUMBER(MATCH(B25,'4. Base Mestre (845 Produtos)'!$B$4:$B$848,0)),MATCH(B25,'4. Base Mestre (845 Produtos)'!$B$4:$B$848,0),0))),IF(ISNUMBER(MATCH(D25,'3. Dicionario Principios Ativos'!$A$4:$A$245,0)),INDEX('3. Dicionario Principios Ativos'!$D$4:$D$245,MATCH(D25,'3. Dicionario Principios Ativos'!$A$4:$A$245,0)),E25))="3105.10.00",K25&gt;10.0001),"3105.90.90",IF(IF(ISNUMBER(MATCH(A25,'4.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Produtos)'!$L$4:$L$848,IF(ISNUMBER(MATCH(A25,'4. Base Mestre (845 Produtos)'!$A$4:$A$848,0)),MATCH(A25,'4. Base Mestre (845 Produtos)'!$A$4:$A$848,0),IF(ISNUMBER(MATCH(B25,'4. Base Mestre (845 Produtos)'!$B$4:$B$848,0)),MATCH(B25,'4. Base Mestre (845 Produtos)'!$B$4:$B$848,0),0))),IF(ISNUMBER(MATCH(D25,'3. Dicionario Principios Ativos'!$A$4:$A$245,0)),INDEX('3. Dicionario Principios Ativos'!$D$4:$D$245,MATCH(D25,'3. Dicionario Principios Ativos'!$A$4:$A$245,0)),E25))))))</f>
        <v>3105.90.90</v>
      </c>
      <c r="R25" s="15" t="str">
        <f aca="false">IF(B25="","",IF(OR(E25=Q25,AND(Q25="3002.49.99",E25="3002.90.00")),"CONFORME — NCM "&amp;E25&amp;" Correta na TIPI","DIVERGENTE — Substituir "&amp;E25&amp;" por "&amp;Q25))</f>
        <v>DIVERGENTE — Substituir 3105.10.00 por 3105.90.90</v>
      </c>
      <c r="S25" s="15" t="str">
        <f aca="false">IF(B25="","",IF(AND(E25="3808.61.00",OR(K25&gt;0.3001,K25=0)),"INCOMPATÍVEL — NCM 3808.61.00 exige emb. &lt;= 0,3kg/L (Emb. atual: "&amp;K25&amp;" "&amp;L25&amp;" -&gt; usar "&amp;Q25&amp;")",IF(AND(LEFT(E25,7)="3808.62",OR(K25&lt;=0.3001,K25&gt;7.5001)),"INCOMPATÍVEL — NCM 3808.62 exige emb. de 0,3 a 7,5kg/L (Emb. atual: "&amp;K25&amp;" "&amp;L25&amp;" -&gt; usar "&amp;Q25&amp;")",IF(AND(LEFT(E25,7)="3808.69",K25&gt;0,K25&lt;=7.5001),"INCOMPATÍVEL — NCM 3808.69 exige emb. &gt; 7,5kg/L (Emb. atual: "&amp;K25&amp;" "&amp;L25&amp;" -&gt; usar "&amp;Q25&amp;")",IF(AND(LEFT(Q25,6)="3808.6",LEFT(E25,6)&lt;&gt;"3808.6"),"INCOMPATÍVEL — Molécula Nota Subpos. 2 c/ emb. "&amp;K25&amp;" "&amp;L25&amp;" exige NCM "&amp;Q25,IF(AND(OR(E25="3808.91.19",E25="3808.92.19",E25="3808.93.19",E25="3808.99.19"),K25&gt;=1),"INCOMPATÍVEL — Subitem .19 (Domissanitário) vedado p/ emb. agrícola de "&amp;K25&amp;" "&amp;L25,IF(AND(E25="3105.10.00",K25&gt;10.0001),"INCOMPATÍVEL — NCM 3105.10.00 exige peso bruto &lt;= 10kg (Emb. atual: "&amp;K25&amp;" "&amp;L25&amp;" -&gt; usar 3105.90.90)",IF(AND(LEFT(E25,2)="29",LEFT(Q25,4)="3808",K25&gt;0),"INCOMPATÍVEL — Produto formulado em emb. comercial ("&amp;K25&amp;" "&amp;L25&amp;") vedado no Cap. 29 -&gt; usar "&amp;Q25,"CONFORME — Embalagem ("&amp;K25&amp;" "&amp;L25&amp;") compatível c/ a NCM"))))))))</f>
        <v>INCOMPATÍVEL — NCM 3105.10.00 exige peso bruto &lt;= 10kg (Emb. atual: 20 L -&gt; usar 3105.90.90)</v>
      </c>
      <c r="T25" s="19" t="str">
        <f aca="false">IF(B25="","",IF(IF(ISNUMBER(MATCH(A25,'4.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Produtos)'!$P$4:$P$848,IF(ISNUMBER(MATCH(A25,'4. Base Mestre (845 Produtos)'!$A$4:$A$848,0)),MATCH(A25,'4. Base Mestre (845 Produtos)'!$A$4:$A$848,0),IF(ISNUMBER(MATCH(B25,'4. Base Mestre (845 Produtos)'!$B$4:$B$848,0)),MATCH(B25,'4. Base Mestre (845 Produtos)'!$B$4:$B$848,0),0))),IF(ISNUMBER(MATCH(D25,'3. Dicionario Principios Ativos'!$A$4:$A$245,0)),INDEX('3. Dicionario Principios Ativos'!$K$4:$K$245,MATCH(D25,'3. Dicionario Principios Ativos'!$A$4:$A$245,0)),"VERIFICAR BULA")))</f>
        <v>SIPEAGRO (UF-XXXXX)</v>
      </c>
      <c r="U25" s="15" t="str">
        <f aca="false">IF(B25="","",IF(ISNUMBER(SEARCH("ISENTO",T25)),IF(OR(F25=0,F25="0",F25="ISENTO",F25=""),"CONFORME (DISPENSADO) — Isento pelo Ato SDA/MAPA nº 104/2017","INCORRETO — Produto isento de registro MAPA (usar 0 ou ISENTO)"),IF(ISNUMBER(SEARCH("SIPEAGRO",T25)),IF(ISNUMBER(SEARCH("-",F25)),"CONFORME — Registro SIPEAGRO ("&amp;F25&amp;") Preenchido","ADEQUAR P/ SIPEAGRO — Substituir 0 pelo Registro (UF-XXXXX-XXXXX.X)"),IF(ISNUMBER(SEARCH("VINCULAR",T25)),IF(AND(F25&lt;&gt;0,F25&lt;&gt;"0",F25&lt;&gt;""),"INCORRETO / TROCADO — Código "&amp;F25&amp;" pertence a outro produto (Vincular bula da marca)","VINCULAR MARCA — Cadastro de P.A. s/ marca fixa (Vincular registro na NF-e)"),IF(OR(F25=0,F25="0",F25=""),"AUSENTE (ZERO) — Preencher Registro Oficial MAPA nº "&amp;T25,IF(TEXT(F25,"0")=TEXT(T25,"0"),"CONFORME — Registro MAPA nº "&amp;T25&amp;" Validado na Bula","INCORRETO / TROCADO — Substituir "&amp;F25&amp;" pelo Registro Oficial nº "&amp;T25))))))</f>
        <v>CONFORME — Registro SIPEAGRO (MT-00412-10009.1) Preenchido</v>
      </c>
      <c r="V25" s="15" t="str">
        <f aca="false">IF(B25="","",IF(IF(ISNUMBER(MATCH(A25,'4.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Produtos)'!$S$4:$S$848,IF(ISNUMBER(MATCH(A25,'4. Base Mestre (845 Produtos)'!$A$4:$A$848,0)),MATCH(A25,'4. Base Mestre (845 Produtos)'!$A$4:$A$848,0),IF(ISNUMBER(MATCH(B25,'4. Base Mestre (845 Produtos)'!$B$4:$B$848,0)),MATCH(B25,'4. Base Mestre (845 Produtos)'!$B$4:$B$848,0),0))),IF(ISNUMBER(MATCH(D25,'3. Dicionario Principios Ativos'!$A$4:$A$245,0)),INDEX('3. Dicionario Principios Ativos'!$L$4:$L$245,MATCH(D25,'3. Dicionario Principios Ativos'!$A$4:$A$245,0)),"Verificar NCM")))</f>
        <v>Beneficiado (Lei 10.925/04): 0% até Mar/26 | 0,925% Real / 0,365% Pres. pós-Abr/26 (LC 224/25)</v>
      </c>
      <c r="W25" s="15" t="str">
        <f aca="false">IF(B25="","",IF(IF(ISNUMBER(MATCH(A25,'4. Base Mestre (845 Produtos)'!$A$4:$A$848,0)),MATCH(A25,'4. Base Mestre (845 Produtos)'!$A$4:$A$848,0),IF(ISNUMBER(MATCH(B25,'4. Base Mestre (845 Produtos)'!$B$4:$B$848,0)),MATCH(B25,'4. Base Mestre (845 Produtos)'!$B$4:$B$848,0),0))&gt;0,INDEX('4. Base Mestre (845 Produtos)'!$T$4:$T$848,IF(ISNUMBER(MATCH(A25,'4. Base Mestre (845 Produtos)'!$A$4:$A$848,0)),MATCH(A25,'4. Base Mestre (845 Produtos)'!$A$4:$A$848,0),IF(ISNUMBER(MATCH(B25,'4. Base Mestre (845 Produtos)'!$B$4:$B$848,0)),MATCH(B25,'4. Base Mestre (845 Produtos)'!$B$4:$B$848,0),0))),IF(ISNUMBER(MATCH(D25,'3. Dicionario Principios Ativos'!$A$4:$A$245,0)),INDEX('3. Dicionario Principios Ativos'!$M$4:$M$245,MATCH(D25,'3. Dicionario Principios Ativos'!$A$4:$A$245,0)),"Verificar CST")))</f>
        <v>Saída: CST 06 (c/ Ajuste M220/M620 pós-Abr/26) | Entrada Revenda: CST 73</v>
      </c>
      <c r="X25" s="18" t="str">
        <f aca="false">IF(B25="","",IF(AND(LEFT(M25,8)="CONFORME",LEFT(P25,8)="CONFORME",LEFT(R25,8)="CONFORME",LEFT(S25,8)="CONFORME",LEFT(U25,8)="CONFORME"),"CADASTRO 100% CONFORME — LIBERADO P/ ERP",IF(AND(LEFT(M25,8)="CONFORME",LEFT(P25,8)="CONFORME",LEFT(R25,8)="CONFORME",LEFT(S25,8)="CONFORME",OR(LEFT(U25,7)="ADEQUAR",LEFT(U25,8)="VINCULAR")),"FISCAL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26" customFormat="false" ht="21.75" hidden="false" customHeight="true" outlineLevel="0" collapsed="false">
      <c r="A26" s="10" t="n">
        <v>3075</v>
      </c>
      <c r="B26" s="11" t="s">
        <v>98</v>
      </c>
      <c r="C26" s="12" t="s">
        <v>63</v>
      </c>
      <c r="D26" s="13" t="s">
        <v>99</v>
      </c>
      <c r="E26" s="12" t="s">
        <v>82</v>
      </c>
      <c r="F26" s="12" t="n">
        <v>33424</v>
      </c>
      <c r="G26" s="14"/>
      <c r="H26" s="13" t="s">
        <v>100</v>
      </c>
      <c r="I26" s="20" t="str">
        <f aca="false">IF(B26="","",IF(ISNUMBER(MATCH(A26,'4. Base Mestre (845 Produtos)'!$A$4:$A$848,0)),"Localizado por Código ("&amp;A26&amp;") na Base Mestre",IF(ISNUMBER(MATCH(B26,'4. Base Mestre (845 Produtos)'!$B$4:$B$848,0)),"Localizado por Descrição na Base Mestre",IF(ISNUMBER(MATCH(D26,'3. Dicionario Principios Ativos'!$A$4:$A$245,0)),"Produto Novo — Validado pelo Dicionário de P.A.","Não Localizado — Revisar Código/P.A."))))</f>
        <v>Localizado por Código (3075) na Base Mestre</v>
      </c>
      <c r="J26" s="20" t="str">
        <f aca="false">IF(B26="","",IF(IF(ISNUMBER(MATCH(A26,'4.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Produtos)'!$I$4:$I$848,IF(ISNUMBER(MATCH(A26,'4. Base Mestre (845 Produtos)'!$A$4:$A$848,0)),MATCH(A26,'4. Base Mestre (845 Produtos)'!$A$4:$A$848,0),IF(ISNUMBER(MATCH(B26,'4. Base Mestre (845 Produtos)'!$B$4:$B$848,0)),MATCH(B26,'4. Base Mestre (845 Produtos)'!$B$4:$B$848,0),0))),IF(ISNUMBER(MATCH(D26,'3. Dicionario Principios Ativos'!$A$4:$A$245,0)),INDEX('3. Dicionario Principios Ativos'!$B$4:$B$245,MATCH(D26,'3. Dicionario Principios Ativos'!$A$4:$A$245,0)),"Revisar Classificação")))</f>
        <v>Defensivos — Inseticida e Acaricida</v>
      </c>
      <c r="K26" s="21" t="n">
        <f aca="false">IF(B26="","",IF(G26&lt;&gt;"",G26,IF(OR(ISNUMBER(SEARCH("PRINCIPIO ATIVO",B26)),ISNUMBER(SEARCH("PRINC. ATIVO",B26)),ISNUMBER(SEARCH("PR. ATIVO",B26)),ISNUMBER(SEARCH("PR.AT.",B26)),ISNUMBER(SEARCH("(P.A",B26)),ISNUMBER(SEARCH("(P. A",B26))),0,IF(OR(ISNUMBER(SEARCH("0,100KG",B26)),ISNUMBER(SEARCH("0,1KG",B26)),ISNUMBER(SEARCH("0,100L",B26))),0.1,IF(OR(ISNUMBER(SEARCH("0,200L",B26)),ISNUMBER(SEARCH("0,2L",B26)),ISNUMBER(SEARCH("0,200KG",B26)),ISNUMBER(SEARCH("0,2KG",B26))),0.2,IF(OR(ISNUMBER(SEARCH("0,240KG",B26)),ISNUMBER(SEARCH("0,250L",B26))),0.24,IF(OR(ISNUMBER(SEARCH("0,300KG",B26)),ISNUMBER(SEARCH("0,3KG",B26))),0.3,IF(OR(ISNUMBER(SEARCH("0,500L",B26)),ISNUMBER(SEARCH("0,5L",B26)),ISNUMBER(SEARCH("0,5KG",B26))),0.5,IF(ISNUMBER(SEARCH("0,8KG",B26)),0.8,IF(OR(ISNUMBER(SEARCH("1,5L",B26)),ISNUMBER(SEARCH("1,5KG",B26))),1.5,IF(OR(ISNUMBER(SEARCH("1,75L",B26)),ISNUMBER(SEARCH("1,8L",B26)),ISNUMBER(SEARCH("1.8L",B26))),1.8,IF(ISNUMBER(SEARCH("4,5KG",B26)),4.5,IF(ISNUMBER(SEARCH("7,5KG",B26)),7.5,IF(OR(ISNUMBER(SEARCH("1000L",B26)),ISNUMBER(SEARCH("1000KG",B26)),ISNUMBER(SEARCH("1.000KG",B26)),ISNUMBER(SEARCH("1.000L",B26)),ISNUMBER(SEARCH("1000 KG",B26)),ISNUMBER(SEARCH("GRANEL",B26)),ISNUMBER(SEARCH("(TON)",B26))),1000,IF(ISNUMBER(SEARCH("200L",B26)),200,IF(OR(ISNUMBER(SEARCH("25KG",B26)),ISNUMBER(SEARCH("25L",B26))),25,IF(OR(ISNUMBER(SEARCH("20L",B26)),ISNUMBER(SEARCH("20KG",B26))),20,IF(ISNUMBER(SEARCH("15KG",B26)),15,IF(OR(ISNUMBER(SEARCH("10L",B26)),ISNUMBER(SEARCH("10KG",B26))),10,IF(OR(ISNUMBER(SEARCH("5L",B26)),ISNUMBER(SEARCH("5KG",B26)),ISNUMBER(SEARCH("5LT",B26))),5,IF(OR(ISNUMBER(SEARCH("3KG",B26)),ISNUMBER(SEARCH("3L",B26))),3,IF(OR(ISNUMBER(SEARCH("2L",B26)),ISNUMBER(SEARCH("2KG",B26))),2,IF(OR(ISNUMBER(SEARCH("1L",B26)),ISNUMBER(SEARCH("1KG",B26)),ISNUMBER(SEARCH("1LT",B26))),1,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Produtos)'!$D$4:$D$848,IF(ISNUMBER(MATCH(A26,'4. Base Mestre (845 Produtos)'!$A$4:$A$848,0)),MATCH(A26,'4. Base Mestre (845 Produtos)'!$A$4:$A$848,0),IF(ISNUMBER(MATCH(B26,'4. Base Mestre (845 Produtos)'!$B$4:$B$848,0)),MATCH(B26,'4. Base Mestre (845 Produtos)'!$B$4:$B$848,0),0))),1))))))))))))))))))))))))</f>
        <v>5</v>
      </c>
      <c r="L26" s="22" t="str">
        <f aca="false">IF(B26="","",IF(OR(ISNUMBER(SEARCH("KG",B26)),ISNUMBER(SEARCH("GR",B26))),"KG",IF(OR(ISNUMBER(SEARCH("0,200L",B26)),ISNUMBER(SEARCH("0,2L",B26)),ISNUMBER(SEARCH("0,5L",B26)),ISNUMBER(SEARCH("1,5L",B26)),ISNUMBER(SEARCH("1,8L",B26)),ISNUMBER(SEARCH("1.8L",B26)),ISNUMBER(SEARCH("1L",B26)),ISNUMBER(SEARCH("2L",B26)),ISNUMBER(SEARCH("3L",B26)),ISNUMBER(SEARCH("5L",B26)),ISNUMBER(SEARCH("10L",B26)),ISNUMBER(SEARCH("20L",B26)),ISNUMBER(SEARCH("25L",B26)),ISNUMBER(SEARCH("200L",B26)),ISNUMBER(SEARCH("1000L",B26)),ISNUMBER(SEARCH("LT",B26))),"L",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Produtos)'!$E$4:$E$848,IF(ISNUMBER(MATCH(A26,'4. Base Mestre (845 Produtos)'!$A$4:$A$848,0)),MATCH(A26,'4. Base Mestre (845 Produtos)'!$A$4:$A$848,0),IF(ISNUMBER(MATCH(B26,'4. Base Mestre (845 Produtos)'!$B$4:$B$848,0)),MATCH(B26,'4. Base Mestre (845 Produtos)'!$B$4:$B$848,0),0))),C26))))</f>
        <v>L</v>
      </c>
      <c r="M26" s="20" t="str">
        <f aca="false">IF(B26="","",IF(C26=L26,"CONFORME — Unidade ("&amp;C26&amp;") compatível c/ Embalagem","DIVERGENTE — Embalagem em "&amp;L26&amp;", mas cadastrado em "&amp;C26))</f>
        <v>DIVERGENTE — Embalagem em L, mas cadastrado em KG</v>
      </c>
      <c r="N26" s="20" t="str">
        <f aca="false">IF(B26="","",IF(K26=0,"Granel / Produto Técnico (Sem Embalagem Comercial)",IF(K26&lt;=0.3001,"Faixa 1 TIPI: Até 300g/mL (3808.61.00 / 3105.10.00)",IF(K26&lt;=7.5001,"Faixa 2 TIPI: De 300g a 7,5kg/L (3808.62.90 / 3105.10.00)",IF(K26&lt;=10.0001,"Faixa 3 TIPI: De 7,5kg a 10kg/L (3808.69.90 / 3105.10.00)","Faixa 4 TIPI: Acima de 10kg/L (3808.69.90 / Cap. 31 Geral)")))))</f>
        <v>Faixa 2 TIPI: De 300g a 7,5kg/L (3808.62.90 / 3105.10.00)</v>
      </c>
      <c r="O26" s="23" t="str">
        <f aca="false">IF(B26="","",IF(IF(ISNUMBER(MATCH(A26,'4.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Produtos)'!$H$4:$H$848,IF(ISNUMBER(MATCH(A26,'4. Base Mestre (845 Produtos)'!$A$4:$A$848,0)),MATCH(A26,'4. Base Mestre (845 Produtos)'!$A$4:$A$848,0),IF(ISNUMBER(MATCH(B26,'4. Base Mestre (845 Produtos)'!$B$4:$B$848,0)),MATCH(B26,'4. Base Mestre (845 Produtos)'!$B$4:$B$848,0),0))),IF(ISNUMBER(MATCH(D26,'3. Dicionario Principios Ativos'!$A$4:$A$245,0)),INDEX('3. Dicionario Principios Ativos'!$A$4:$A$245,MATCH(D26,'3. Dicionario Principios Ativos'!$A$4:$A$245,0)),D26)))</f>
        <v>ACIDO NONANOICO</v>
      </c>
      <c r="P26" s="20" t="str">
        <f aca="false">IF(B26="","",IF(D26=O26,"CONFORME — Princípio Ativo Validado","DIVERGENTE — Substituir por: "&amp;O26))</f>
        <v>CONFORME — Princípio Ativo Validado</v>
      </c>
      <c r="Q26" s="24" t="str">
        <f aca="false">IF(B26="","",IF(IF(IF(ISNUMBER(MATCH(A26,'4.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Produtos)'!$J$4:$J$848,IF(ISNUMBER(MATCH(A26,'4. Base Mestre (845 Produtos)'!$A$4:$A$848,0)),MATCH(A26,'4. Base Mestre (845 Produtos)'!$A$4:$A$848,0),IF(ISNUMBER(MATCH(B26,'4. Base Mestre (845 Produtos)'!$B$4:$B$848,0)),MATCH(B26,'4. Base Mestre (845 Produtos)'!$B$4:$B$848,0),0)))="SIM",IF(ISNUMBER(MATCH(D26,'3. Dicionario Principios Ativos'!$A$4:$A$245,0)),INDEX('3. Dicionario Principios Ativos'!$C$4:$C$245,MATCH(D26,'3. Dicionario Principios Ativos'!$A$4:$A$245,0))="SIM",FALSE())),IF(AND(K26&gt;0,K26&lt;=0.3001),"3808.61.00",IF(AND(K26&gt;0.3001,K26&lt;=7.5001),"3808.62.90","3808.69.90")),IF(AND(LEFT(IF(IF(ISNUMBER(MATCH(A26,'4.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Produtos)'!$L$4:$L$848,IF(ISNUMBER(MATCH(A26,'4. Base Mestre (845 Produtos)'!$A$4:$A$848,0)),MATCH(A26,'4. Base Mestre (845 Produtos)'!$A$4:$A$848,0),IF(ISNUMBER(MATCH(B26,'4. Base Mestre (845 Produtos)'!$B$4:$B$848,0)),MATCH(B26,'4. Base Mestre (845 Produtos)'!$B$4:$B$848,0),0))),IF(ISNUMBER(MATCH(D26,'3. Dicionario Principios Ativos'!$A$4:$A$245,0)),INDEX('3. Dicionario Principios Ativos'!$D$4:$D$245,MATCH(D26,'3. Dicionario Principios Ativos'!$A$4:$A$245,0)),E26)),2)="31",E26="3105.10.00",K26&gt;0,K26&lt;=10.0001),"3105.10.00",IF(AND(IF(IF(ISNUMBER(MATCH(A26,'4.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Produtos)'!$L$4:$L$848,IF(ISNUMBER(MATCH(A26,'4. Base Mestre (845 Produtos)'!$A$4:$A$848,0)),MATCH(A26,'4. Base Mestre (845 Produtos)'!$A$4:$A$848,0),IF(ISNUMBER(MATCH(B26,'4. Base Mestre (845 Produtos)'!$B$4:$B$848,0)),MATCH(B26,'4. Base Mestre (845 Produtos)'!$B$4:$B$848,0),0))),IF(ISNUMBER(MATCH(D26,'3. Dicionario Principios Ativos'!$A$4:$A$245,0)),INDEX('3. Dicionario Principios Ativos'!$D$4:$D$245,MATCH(D26,'3. Dicionario Principios Ativos'!$A$4:$A$245,0)),E26))="3105.10.00",K26&gt;10.0001),"3105.90.90",IF(IF(ISNUMBER(MATCH(A26,'4.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Produtos)'!$L$4:$L$848,IF(ISNUMBER(MATCH(A26,'4. Base Mestre (845 Produtos)'!$A$4:$A$848,0)),MATCH(A26,'4. Base Mestre (845 Produtos)'!$A$4:$A$848,0),IF(ISNUMBER(MATCH(B26,'4. Base Mestre (845 Produtos)'!$B$4:$B$848,0)),MATCH(B26,'4. Base Mestre (845 Produtos)'!$B$4:$B$848,0),0))),IF(ISNUMBER(MATCH(D26,'3. Dicionario Principios Ativos'!$A$4:$A$245,0)),INDEX('3. Dicionario Principios Ativos'!$D$4:$D$245,MATCH(D26,'3. Dicionario Principios Ativos'!$A$4:$A$245,0)),E26))))))</f>
        <v>3808.91.99</v>
      </c>
      <c r="R26" s="20" t="str">
        <f aca="false">IF(B26="","",IF(OR(E26=Q26,AND(Q26="3002.49.99",E26="3002.90.00")),"CONFORME — NCM "&amp;E26&amp;" Correta na TIPI","DIVERGENTE — Substituir "&amp;E26&amp;" por "&amp;Q26))</f>
        <v>CONFORME — NCM 3808.91.99 Correta na TIPI</v>
      </c>
      <c r="S26" s="20" t="str">
        <f aca="false">IF(B26="","",IF(AND(E26="3808.61.00",OR(K26&gt;0.3001,K26=0)),"INCOMPATÍVEL — NCM 3808.61.00 exige emb. &lt;= 0,3kg/L (Emb. atual: "&amp;K26&amp;" "&amp;L26&amp;" -&gt; usar "&amp;Q26&amp;")",IF(AND(LEFT(E26,7)="3808.62",OR(K26&lt;=0.3001,K26&gt;7.5001)),"INCOMPATÍVEL — NCM 3808.62 exige emb. de 0,3 a 7,5kg/L (Emb. atual: "&amp;K26&amp;" "&amp;L26&amp;" -&gt; usar "&amp;Q26&amp;")",IF(AND(LEFT(E26,7)="3808.69",K26&gt;0,K26&lt;=7.5001),"INCOMPATÍVEL — NCM 3808.69 exige emb. &gt; 7,5kg/L (Emb. atual: "&amp;K26&amp;" "&amp;L26&amp;" -&gt; usar "&amp;Q26&amp;")",IF(AND(LEFT(Q26,6)="3808.6",LEFT(E26,6)&lt;&gt;"3808.6"),"INCOMPATÍVEL — Molécula Nota Subpos. 2 c/ emb. "&amp;K26&amp;" "&amp;L26&amp;" exige NCM "&amp;Q26,IF(AND(OR(E26="3808.91.19",E26="3808.92.19",E26="3808.93.19",E26="3808.99.19"),K26&gt;=1),"INCOMPATÍVEL — Subitem .19 (Domissanitário) vedado p/ emb. agrícola de "&amp;K26&amp;" "&amp;L26,IF(AND(E26="3105.10.00",K26&gt;10.0001),"INCOMPATÍVEL — NCM 3105.10.00 exige peso bruto &lt;= 10kg (Emb. atual: "&amp;K26&amp;" "&amp;L26&amp;" -&gt; usar 3105.90.90)",IF(AND(LEFT(E26,2)="29",LEFT(Q26,4)="3808",K26&gt;0),"INCOMPATÍVEL — Produto formulado em emb. comercial ("&amp;K26&amp;" "&amp;L26&amp;") vedado no Cap. 29 -&gt; usar "&amp;Q26,"CONFORME — Embalagem ("&amp;K26&amp;" "&amp;L26&amp;") compatível c/ a NCM"))))))))</f>
        <v>CONFORME — Embalagem (5 L) compatível c/ a NCM</v>
      </c>
      <c r="T26" s="24" t="n">
        <f aca="false">IF(B26="","",IF(IF(ISNUMBER(MATCH(A26,'4.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Produtos)'!$P$4:$P$848,IF(ISNUMBER(MATCH(A26,'4. Base Mestre (845 Produtos)'!$A$4:$A$848,0)),MATCH(A26,'4. Base Mestre (845 Produtos)'!$A$4:$A$848,0),IF(ISNUMBER(MATCH(B26,'4. Base Mestre (845 Produtos)'!$B$4:$B$848,0)),MATCH(B26,'4. Base Mestre (845 Produtos)'!$B$4:$B$848,0),0))),IF(ISNUMBER(MATCH(D26,'3. Dicionario Principios Ativos'!$A$4:$A$245,0)),INDEX('3. Dicionario Principios Ativos'!$K$4:$K$245,MATCH(D26,'3. Dicionario Principios Ativos'!$A$4:$A$245,0)),"VERIFICAR BULA")))</f>
        <v>33424</v>
      </c>
      <c r="U26" s="20" t="str">
        <f aca="false">IF(B26="","",IF(ISNUMBER(SEARCH("ISENTO",T26)),IF(OR(F26=0,F26="0",F26="ISENTO",F26=""),"CONFORME (DISPENSADO) — Isento pelo Ato SDA/MAPA nº 104/2017","INCORRETO — Produto isento de registro MAPA (usar 0 ou ISENTO)"),IF(ISNUMBER(SEARCH("SIPEAGRO",T26)),IF(ISNUMBER(SEARCH("-",F26)),"CONFORME — Registro SIPEAGRO ("&amp;F26&amp;") Preenchido","ADEQUAR P/ SIPEAGRO — Substituir 0 pelo Registro (UF-XXXXX-XXXXX.X)"),IF(ISNUMBER(SEARCH("VINCULAR",T26)),IF(AND(F26&lt;&gt;0,F26&lt;&gt;"0",F26&lt;&gt;""),"INCORRETO / TROCADO — Código "&amp;F26&amp;" pertence a outro produto (Vincular bula da marca)","VINCULAR MARCA — Cadastro de P.A. s/ marca fixa (Vincular registro na NF-e)"),IF(OR(F26=0,F26="0",F26=""),"AUSENTE (ZERO) — Preencher Registro Oficial MAPA nº "&amp;T26,IF(TEXT(F26,"0")=TEXT(T26,"0"),"CONFORME — Registro MAPA nº "&amp;T26&amp;" Validado na Bula","INCORRETO / TROCADO — Substituir "&amp;F26&amp;" pelo Registro Oficial nº "&amp;T26))))))</f>
        <v>CONFORME — Registro MAPA nº 33424 Validado na Bula</v>
      </c>
      <c r="V26" s="20" t="str">
        <f aca="false">IF(B26="","",IF(IF(ISNUMBER(MATCH(A26,'4.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Produtos)'!$S$4:$S$848,IF(ISNUMBER(MATCH(A26,'4. Base Mestre (845 Produtos)'!$A$4:$A$848,0)),MATCH(A26,'4. Base Mestre (845 Produtos)'!$A$4:$A$848,0),IF(ISNUMBER(MATCH(B26,'4. Base Mestre (845 Produtos)'!$B$4:$B$848,0)),MATCH(B26,'4. Base Mestre (845 Produtos)'!$B$4:$B$848,0),0))),IF(ISNUMBER(MATCH(D26,'3. Dicionario Principios Ativos'!$A$4:$A$245,0)),INDEX('3. Dicionario Principios Ativos'!$L$4:$L$245,MATCH(D26,'3. Dicionario Principios Ativos'!$A$4:$A$245,0)),"Verificar NCM")))</f>
        <v>Beneficiado (Lei 10.925/04): 0% até Mar/26 | 0,925% Real / 0,365% Pres. pós-Abr/26 (LC 224/25)</v>
      </c>
      <c r="W26" s="20" t="str">
        <f aca="false">IF(B26="","",IF(IF(ISNUMBER(MATCH(A26,'4. Base Mestre (845 Produtos)'!$A$4:$A$848,0)),MATCH(A26,'4. Base Mestre (845 Produtos)'!$A$4:$A$848,0),IF(ISNUMBER(MATCH(B26,'4. Base Mestre (845 Produtos)'!$B$4:$B$848,0)),MATCH(B26,'4. Base Mestre (845 Produtos)'!$B$4:$B$848,0),0))&gt;0,INDEX('4. Base Mestre (845 Produtos)'!$T$4:$T$848,IF(ISNUMBER(MATCH(A26,'4. Base Mestre (845 Produtos)'!$A$4:$A$848,0)),MATCH(A26,'4. Base Mestre (845 Produtos)'!$A$4:$A$848,0),IF(ISNUMBER(MATCH(B26,'4. Base Mestre (845 Produtos)'!$B$4:$B$848,0)),MATCH(B26,'4. Base Mestre (845 Produtos)'!$B$4:$B$848,0),0))),IF(ISNUMBER(MATCH(D26,'3. Dicionario Principios Ativos'!$A$4:$A$245,0)),INDEX('3. Dicionario Principios Ativos'!$M$4:$M$245,MATCH(D26,'3. Dicionario Principios Ativos'!$A$4:$A$245,0)),"Verificar CST")))</f>
        <v>Saída: CST 06 (c/ Ajuste M220/M620 pós-Abr/26) | Entrada Revenda: CST 73</v>
      </c>
      <c r="X26" s="23" t="str">
        <f aca="false">IF(B26="","",IF(AND(LEFT(M26,8)="CONFORME",LEFT(P26,8)="CONFORME",LEFT(R26,8)="CONFORME",LEFT(S26,8)="CONFORME",LEFT(U26,8)="CONFORME"),"CADASTRO 100% CONFORME — LIBERADO P/ ERP",IF(AND(LEFT(M26,8)="CONFORME",LEFT(P26,8)="CONFORME",LEFT(R26,8)="CONFORME",LEFT(S26,8)="CONFORME",OR(LEFT(U26,7)="ADEQUAR",LEFT(U26,8)="VINCULAR")),"FISCAL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27" customFormat="false" ht="21.75" hidden="false" customHeight="true" outlineLevel="0" collapsed="false">
      <c r="A27" s="10" t="n">
        <v>3974</v>
      </c>
      <c r="B27" s="11" t="s">
        <v>101</v>
      </c>
      <c r="C27" s="12" t="s">
        <v>63</v>
      </c>
      <c r="D27" s="13" t="s">
        <v>102</v>
      </c>
      <c r="E27" s="12" t="s">
        <v>82</v>
      </c>
      <c r="F27" s="12" t="n">
        <v>31522</v>
      </c>
      <c r="G27" s="14"/>
      <c r="H27" s="13" t="s">
        <v>103</v>
      </c>
      <c r="I27" s="15" t="str">
        <f aca="false">IF(B27="","",IF(ISNUMBER(MATCH(A27,'4. Base Mestre (845 Produtos)'!$A$4:$A$848,0)),"Localizado por Código ("&amp;A27&amp;") na Base Mestre",IF(ISNUMBER(MATCH(B27,'4. Base Mestre (845 Produtos)'!$B$4:$B$848,0)),"Localizado por Descrição na Base Mestre",IF(ISNUMBER(MATCH(D27,'3. Dicionario Principios Ativos'!$A$4:$A$245,0)),"Produto Novo — Validado pelo Dicionário de P.A.","Não Localizado — Revisar Código/P.A."))))</f>
        <v>Localizado por Código (3974) na Base Mestre</v>
      </c>
      <c r="J27" s="15" t="str">
        <f aca="false">IF(B27="","",IF(IF(ISNUMBER(MATCH(A27,'4.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Produtos)'!$I$4:$I$848,IF(ISNUMBER(MATCH(A27,'4. Base Mestre (845 Produtos)'!$A$4:$A$848,0)),MATCH(A27,'4. Base Mestre (845 Produtos)'!$A$4:$A$848,0),IF(ISNUMBER(MATCH(B27,'4. Base Mestre (845 Produtos)'!$B$4:$B$848,0)),MATCH(B27,'4. Base Mestre (845 Produtos)'!$B$4:$B$848,0),0))),IF(ISNUMBER(MATCH(D27,'3. Dicionario Principios Ativos'!$A$4:$A$245,0)),INDEX('3. Dicionario Principios Ativos'!$B$4:$B$245,MATCH(D27,'3. Dicionario Principios Ativos'!$A$4:$A$245,0)),"Revisar Classificação")))</f>
        <v>Defensivos — Inseticida</v>
      </c>
      <c r="K27" s="16" t="n">
        <f aca="false">IF(B27="","",IF(G27&lt;&gt;"",G27,IF(OR(ISNUMBER(SEARCH("PRINCIPIO ATIVO",B27)),ISNUMBER(SEARCH("PRINC. ATIVO",B27)),ISNUMBER(SEARCH("PR. ATIVO",B27)),ISNUMBER(SEARCH("PR.AT.",B27)),ISNUMBER(SEARCH("(P.A",B27)),ISNUMBER(SEARCH("(P. A",B27))),0,IF(OR(ISNUMBER(SEARCH("0,100KG",B27)),ISNUMBER(SEARCH("0,1KG",B27)),ISNUMBER(SEARCH("0,100L",B27))),0.1,IF(OR(ISNUMBER(SEARCH("0,200L",B27)),ISNUMBER(SEARCH("0,2L",B27)),ISNUMBER(SEARCH("0,200KG",B27)),ISNUMBER(SEARCH("0,2KG",B27))),0.2,IF(OR(ISNUMBER(SEARCH("0,240KG",B27)),ISNUMBER(SEARCH("0,250L",B27))),0.24,IF(OR(ISNUMBER(SEARCH("0,300KG",B27)),ISNUMBER(SEARCH("0,3KG",B27))),0.3,IF(OR(ISNUMBER(SEARCH("0,500L",B27)),ISNUMBER(SEARCH("0,5L",B27)),ISNUMBER(SEARCH("0,5KG",B27))),0.5,IF(ISNUMBER(SEARCH("0,8KG",B27)),0.8,IF(OR(ISNUMBER(SEARCH("1,5L",B27)),ISNUMBER(SEARCH("1,5KG",B27))),1.5,IF(OR(ISNUMBER(SEARCH("1,75L",B27)),ISNUMBER(SEARCH("1,8L",B27)),ISNUMBER(SEARCH("1.8L",B27))),1.8,IF(ISNUMBER(SEARCH("4,5KG",B27)),4.5,IF(ISNUMBER(SEARCH("7,5KG",B27)),7.5,IF(OR(ISNUMBER(SEARCH("1000L",B27)),ISNUMBER(SEARCH("1000KG",B27)),ISNUMBER(SEARCH("1.000KG",B27)),ISNUMBER(SEARCH("1.000L",B27)),ISNUMBER(SEARCH("1000 KG",B27)),ISNUMBER(SEARCH("GRANEL",B27)),ISNUMBER(SEARCH("(TON)",B27))),1000,IF(ISNUMBER(SEARCH("200L",B27)),200,IF(OR(ISNUMBER(SEARCH("25KG",B27)),ISNUMBER(SEARCH("25L",B27))),25,IF(OR(ISNUMBER(SEARCH("20L",B27)),ISNUMBER(SEARCH("20KG",B27))),20,IF(ISNUMBER(SEARCH("15KG",B27)),15,IF(OR(ISNUMBER(SEARCH("10L",B27)),ISNUMBER(SEARCH("10KG",B27))),10,IF(OR(ISNUMBER(SEARCH("5L",B27)),ISNUMBER(SEARCH("5KG",B27)),ISNUMBER(SEARCH("5LT",B27))),5,IF(OR(ISNUMBER(SEARCH("3KG",B27)),ISNUMBER(SEARCH("3L",B27))),3,IF(OR(ISNUMBER(SEARCH("2L",B27)),ISNUMBER(SEARCH("2KG",B27))),2,IF(OR(ISNUMBER(SEARCH("1L",B27)),ISNUMBER(SEARCH("1KG",B27)),ISNUMBER(SEARCH("1LT",B27))),1,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Produtos)'!$D$4:$D$848,IF(ISNUMBER(MATCH(A27,'4. Base Mestre (845 Produtos)'!$A$4:$A$848,0)),MATCH(A27,'4. Base Mestre (845 Produtos)'!$A$4:$A$848,0),IF(ISNUMBER(MATCH(B27,'4. Base Mestre (845 Produtos)'!$B$4:$B$848,0)),MATCH(B27,'4. Base Mestre (845 Produtos)'!$B$4:$B$848,0),0))),1))))))))))))))))))))))))</f>
        <v>0.2</v>
      </c>
      <c r="L27" s="17" t="str">
        <f aca="false">IF(B27="","",IF(OR(ISNUMBER(SEARCH("KG",B27)),ISNUMBER(SEARCH("GR",B27))),"KG",IF(OR(ISNUMBER(SEARCH("0,200L",B27)),ISNUMBER(SEARCH("0,2L",B27)),ISNUMBER(SEARCH("0,5L",B27)),ISNUMBER(SEARCH("1,5L",B27)),ISNUMBER(SEARCH("1,8L",B27)),ISNUMBER(SEARCH("1.8L",B27)),ISNUMBER(SEARCH("1L",B27)),ISNUMBER(SEARCH("2L",B27)),ISNUMBER(SEARCH("3L",B27)),ISNUMBER(SEARCH("5L",B27)),ISNUMBER(SEARCH("10L",B27)),ISNUMBER(SEARCH("20L",B27)),ISNUMBER(SEARCH("25L",B27)),ISNUMBER(SEARCH("200L",B27)),ISNUMBER(SEARCH("1000L",B27)),ISNUMBER(SEARCH("LT",B27))),"L",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Produtos)'!$E$4:$E$848,IF(ISNUMBER(MATCH(A27,'4. Base Mestre (845 Produtos)'!$A$4:$A$848,0)),MATCH(A27,'4. Base Mestre (845 Produtos)'!$A$4:$A$848,0),IF(ISNUMBER(MATCH(B27,'4. Base Mestre (845 Produtos)'!$B$4:$B$848,0)),MATCH(B27,'4. Base Mestre (845 Produtos)'!$B$4:$B$848,0),0))),C27))))</f>
        <v>L</v>
      </c>
      <c r="M27" s="15" t="str">
        <f aca="false">IF(B27="","",IF(C27=L27,"CONFORME — Unidade ("&amp;C27&amp;") compatível c/ Embalagem","DIVERGENTE — Embalagem em "&amp;L27&amp;", mas cadastrado em "&amp;C27))</f>
        <v>DIVERGENTE — Embalagem em L, mas cadastrado em KG</v>
      </c>
      <c r="N27" s="15" t="str">
        <f aca="false">IF(B27="","",IF(K27=0,"Granel / Produto Técnico (Sem Embalagem Comercial)",IF(K27&lt;=0.3001,"Faixa 1 TIPI: Até 300g/mL (3808.61.00 / 3105.10.00)",IF(K27&lt;=7.5001,"Faixa 2 TIPI: De 300g a 7,5kg/L (3808.62.90 / 3105.10.00)",IF(K27&lt;=10.0001,"Faixa 3 TIPI: De 7,5kg a 10kg/L (3808.69.90 / 3105.10.00)","Faixa 4 TIPI: Acima de 10kg/L (3808.69.90 / Cap. 31 Geral)")))))</f>
        <v>Faixa 1 TIPI: Até 300g/mL (3808.61.00 / 3105.10.00)</v>
      </c>
      <c r="O27" s="18" t="str">
        <f aca="false">IF(B27="","",IF(IF(ISNUMBER(MATCH(A27,'4.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Produtos)'!$H$4:$H$848,IF(ISNUMBER(MATCH(A27,'4. Base Mestre (845 Produtos)'!$A$4:$A$848,0)),MATCH(A27,'4. Base Mestre (845 Produtos)'!$A$4:$A$848,0),IF(ISNUMBER(MATCH(B27,'4. Base Mestre (845 Produtos)'!$B$4:$B$848,0)),MATCH(B27,'4. Base Mestre (845 Produtos)'!$B$4:$B$848,0),0))),IF(ISNUMBER(MATCH(D27,'3. Dicionario Principios Ativos'!$A$4:$A$245,0)),INDEX('3. Dicionario Principios Ativos'!$A$4:$A$245,MATCH(D27,'3. Dicionario Principios Ativos'!$A$4:$A$245,0)),D27)))</f>
        <v>METOMIL 900</v>
      </c>
      <c r="P27" s="15" t="str">
        <f aca="false">IF(B27="","",IF(D27=O27,"CONFORME — Princípio Ativo Validado","DIVERGENTE — Substituir por: "&amp;O27))</f>
        <v>CONFORME — Princípio Ativo Validado</v>
      </c>
      <c r="Q27" s="19" t="str">
        <f aca="false">IF(B27="","",IF(IF(IF(ISNUMBER(MATCH(A27,'4.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Produtos)'!$J$4:$J$848,IF(ISNUMBER(MATCH(A27,'4. Base Mestre (845 Produtos)'!$A$4:$A$848,0)),MATCH(A27,'4. Base Mestre (845 Produtos)'!$A$4:$A$848,0),IF(ISNUMBER(MATCH(B27,'4. Base Mestre (845 Produtos)'!$B$4:$B$848,0)),MATCH(B27,'4. Base Mestre (845 Produtos)'!$B$4:$B$848,0),0)))="SIM",IF(ISNUMBER(MATCH(D27,'3. Dicionario Principios Ativos'!$A$4:$A$245,0)),INDEX('3. Dicionario Principios Ativos'!$C$4:$C$245,MATCH(D27,'3. Dicionario Principios Ativos'!$A$4:$A$245,0))="SIM",FALSE())),IF(AND(K27&gt;0,K27&lt;=0.3001),"3808.61.00",IF(AND(K27&gt;0.3001,K27&lt;=7.5001),"3808.62.90","3808.69.90")),IF(AND(LEFT(IF(IF(ISNUMBER(MATCH(A27,'4.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Produtos)'!$L$4:$L$848,IF(ISNUMBER(MATCH(A27,'4. Base Mestre (845 Produtos)'!$A$4:$A$848,0)),MATCH(A27,'4. Base Mestre (845 Produtos)'!$A$4:$A$848,0),IF(ISNUMBER(MATCH(B27,'4. Base Mestre (845 Produtos)'!$B$4:$B$848,0)),MATCH(B27,'4. Base Mestre (845 Produtos)'!$B$4:$B$848,0),0))),IF(ISNUMBER(MATCH(D27,'3. Dicionario Principios Ativos'!$A$4:$A$245,0)),INDEX('3. Dicionario Principios Ativos'!$D$4:$D$245,MATCH(D27,'3. Dicionario Principios Ativos'!$A$4:$A$245,0)),E27)),2)="31",E27="3105.10.00",K27&gt;0,K27&lt;=10.0001),"3105.10.00",IF(AND(IF(IF(ISNUMBER(MATCH(A27,'4.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Produtos)'!$L$4:$L$848,IF(ISNUMBER(MATCH(A27,'4. Base Mestre (845 Produtos)'!$A$4:$A$848,0)),MATCH(A27,'4. Base Mestre (845 Produtos)'!$A$4:$A$848,0),IF(ISNUMBER(MATCH(B27,'4. Base Mestre (845 Produtos)'!$B$4:$B$848,0)),MATCH(B27,'4. Base Mestre (845 Produtos)'!$B$4:$B$848,0),0))),IF(ISNUMBER(MATCH(D27,'3. Dicionario Principios Ativos'!$A$4:$A$245,0)),INDEX('3. Dicionario Principios Ativos'!$D$4:$D$245,MATCH(D27,'3. Dicionario Principios Ativos'!$A$4:$A$245,0)),E27))="3105.10.00",K27&gt;10.0001),"3105.90.90",IF(IF(ISNUMBER(MATCH(A27,'4.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Produtos)'!$L$4:$L$848,IF(ISNUMBER(MATCH(A27,'4. Base Mestre (845 Produtos)'!$A$4:$A$848,0)),MATCH(A27,'4. Base Mestre (845 Produtos)'!$A$4:$A$848,0),IF(ISNUMBER(MATCH(B27,'4. Base Mestre (845 Produtos)'!$B$4:$B$848,0)),MATCH(B27,'4. Base Mestre (845 Produtos)'!$B$4:$B$848,0),0))),IF(ISNUMBER(MATCH(D27,'3. Dicionario Principios Ativos'!$A$4:$A$245,0)),INDEX('3. Dicionario Principios Ativos'!$D$4:$D$245,MATCH(D27,'3. Dicionario Principios Ativos'!$A$4:$A$245,0)),E27))))))</f>
        <v>3808.91.99</v>
      </c>
      <c r="R27" s="15" t="str">
        <f aca="false">IF(B27="","",IF(OR(E27=Q27,AND(Q27="3002.49.99",E27="3002.90.00")),"CONFORME — NCM "&amp;E27&amp;" Correta na TIPI","DIVERGENTE — Substituir "&amp;E27&amp;" por "&amp;Q27))</f>
        <v>CONFORME — NCM 3808.91.99 Correta na TIPI</v>
      </c>
      <c r="S27" s="15" t="str">
        <f aca="false">IF(B27="","",IF(AND(E27="3808.61.00",OR(K27&gt;0.3001,K27=0)),"INCOMPATÍVEL — NCM 3808.61.00 exige emb. &lt;= 0,3kg/L (Emb. atual: "&amp;K27&amp;" "&amp;L27&amp;" -&gt; usar "&amp;Q27&amp;")",IF(AND(LEFT(E27,7)="3808.62",OR(K27&lt;=0.3001,K27&gt;7.5001)),"INCOMPATÍVEL — NCM 3808.62 exige emb. de 0,3 a 7,5kg/L (Emb. atual: "&amp;K27&amp;" "&amp;L27&amp;" -&gt; usar "&amp;Q27&amp;")",IF(AND(LEFT(E27,7)="3808.69",K27&gt;0,K27&lt;=7.5001),"INCOMPATÍVEL — NCM 3808.69 exige emb. &gt; 7,5kg/L (Emb. atual: "&amp;K27&amp;" "&amp;L27&amp;" -&gt; usar "&amp;Q27&amp;")",IF(AND(LEFT(Q27,6)="3808.6",LEFT(E27,6)&lt;&gt;"3808.6"),"INCOMPATÍVEL — Molécula Nota Subpos. 2 c/ emb. "&amp;K27&amp;" "&amp;L27&amp;" exige NCM "&amp;Q27,IF(AND(OR(E27="3808.91.19",E27="3808.92.19",E27="3808.93.19",E27="3808.99.19"),K27&gt;=1),"INCOMPATÍVEL — Subitem .19 (Domissanitário) vedado p/ emb. agrícola de "&amp;K27&amp;" "&amp;L27,IF(AND(E27="3105.10.00",K27&gt;10.0001),"INCOMPATÍVEL — NCM 3105.10.00 exige peso bruto &lt;= 10kg (Emb. atual: "&amp;K27&amp;" "&amp;L27&amp;" -&gt; usar 3105.90.90)",IF(AND(LEFT(E27,2)="29",LEFT(Q27,4)="3808",K27&gt;0),"INCOMPATÍVEL — Produto formulado em emb. comercial ("&amp;K27&amp;" "&amp;L27&amp;") vedado no Cap. 29 -&gt; usar "&amp;Q27,"CONFORME — Embalagem ("&amp;K27&amp;" "&amp;L27&amp;") compatível c/ a NCM"))))))))</f>
        <v>CONFORME — Embalagem (0.2 L) compatível c/ a NCM</v>
      </c>
      <c r="T27" s="19" t="n">
        <f aca="false">IF(B27="","",IF(IF(ISNUMBER(MATCH(A27,'4.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Produtos)'!$P$4:$P$848,IF(ISNUMBER(MATCH(A27,'4. Base Mestre (845 Produtos)'!$A$4:$A$848,0)),MATCH(A27,'4. Base Mestre (845 Produtos)'!$A$4:$A$848,0),IF(ISNUMBER(MATCH(B27,'4. Base Mestre (845 Produtos)'!$B$4:$B$848,0)),MATCH(B27,'4. Base Mestre (845 Produtos)'!$B$4:$B$848,0),0))),IF(ISNUMBER(MATCH(D27,'3. Dicionario Principios Ativos'!$A$4:$A$245,0)),INDEX('3. Dicionario Principios Ativos'!$K$4:$K$245,MATCH(D27,'3. Dicionario Principios Ativos'!$A$4:$A$245,0)),"VERIFICAR BULA")))</f>
        <v>31522</v>
      </c>
      <c r="U27" s="15" t="str">
        <f aca="false">IF(B27="","",IF(ISNUMBER(SEARCH("ISENTO",T27)),IF(OR(F27=0,F27="0",F27="ISENTO",F27=""),"CONFORME (DISPENSADO) — Isento pelo Ato SDA/MAPA nº 104/2017","INCORRETO — Produto isento de registro MAPA (usar 0 ou ISENTO)"),IF(ISNUMBER(SEARCH("SIPEAGRO",T27)),IF(ISNUMBER(SEARCH("-",F27)),"CONFORME — Registro SIPEAGRO ("&amp;F27&amp;") Preenchido","ADEQUAR P/ SIPEAGRO — Substituir 0 pelo Registro (UF-XXXXX-XXXXX.X)"),IF(ISNUMBER(SEARCH("VINCULAR",T27)),IF(AND(F27&lt;&gt;0,F27&lt;&gt;"0",F27&lt;&gt;""),"INCORRETO / TROCADO — Código "&amp;F27&amp;" pertence a outro produto (Vincular bula da marca)","VINCULAR MARCA — Cadastro de P.A. s/ marca fixa (Vincular registro na NF-e)"),IF(OR(F27=0,F27="0",F27=""),"AUSENTE (ZERO) — Preencher Registro Oficial MAPA nº "&amp;T27,IF(TEXT(F27,"0")=TEXT(T27,"0"),"CONFORME — Registro MAPA nº "&amp;T27&amp;" Validado na Bula","INCORRETO / TROCADO — Substituir "&amp;F27&amp;" pelo Registro Oficial nº "&amp;T27))))))</f>
        <v>CONFORME — Registro MAPA nº 31522 Validado na Bula</v>
      </c>
      <c r="V27" s="15" t="str">
        <f aca="false">IF(B27="","",IF(IF(ISNUMBER(MATCH(A27,'4.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Produtos)'!$S$4:$S$848,IF(ISNUMBER(MATCH(A27,'4. Base Mestre (845 Produtos)'!$A$4:$A$848,0)),MATCH(A27,'4. Base Mestre (845 Produtos)'!$A$4:$A$848,0),IF(ISNUMBER(MATCH(B27,'4. Base Mestre (845 Produtos)'!$B$4:$B$848,0)),MATCH(B27,'4. Base Mestre (845 Produtos)'!$B$4:$B$848,0),0))),IF(ISNUMBER(MATCH(D27,'3. Dicionario Principios Ativos'!$A$4:$A$245,0)),INDEX('3. Dicionario Principios Ativos'!$L$4:$L$245,MATCH(D27,'3. Dicionario Principios Ativos'!$A$4:$A$245,0)),"Verificar NCM")))</f>
        <v>Beneficiado (Lei 10.925/04): 0% até Mar/26 | 0,925% Real / 0,365% Pres. pós-Abr/26 (LC 224/25)</v>
      </c>
      <c r="W27" s="15" t="str">
        <f aca="false">IF(B27="","",IF(IF(ISNUMBER(MATCH(A27,'4. Base Mestre (845 Produtos)'!$A$4:$A$848,0)),MATCH(A27,'4. Base Mestre (845 Produtos)'!$A$4:$A$848,0),IF(ISNUMBER(MATCH(B27,'4. Base Mestre (845 Produtos)'!$B$4:$B$848,0)),MATCH(B27,'4. Base Mestre (845 Produtos)'!$B$4:$B$848,0),0))&gt;0,INDEX('4. Base Mestre (845 Produtos)'!$T$4:$T$848,IF(ISNUMBER(MATCH(A27,'4. Base Mestre (845 Produtos)'!$A$4:$A$848,0)),MATCH(A27,'4. Base Mestre (845 Produtos)'!$A$4:$A$848,0),IF(ISNUMBER(MATCH(B27,'4. Base Mestre (845 Produtos)'!$B$4:$B$848,0)),MATCH(B27,'4. Base Mestre (845 Produtos)'!$B$4:$B$848,0),0))),IF(ISNUMBER(MATCH(D27,'3. Dicionario Principios Ativos'!$A$4:$A$245,0)),INDEX('3. Dicionario Principios Ativos'!$M$4:$M$245,MATCH(D27,'3. Dicionario Principios Ativos'!$A$4:$A$245,0)),"Verificar CST")))</f>
        <v>Saída: CST 06 (c/ Ajuste M220/M620 pós-Abr/26) | Entrada Revenda: CST 73</v>
      </c>
      <c r="X27" s="18" t="str">
        <f aca="false">IF(B27="","",IF(AND(LEFT(M27,8)="CONFORME",LEFT(P27,8)="CONFORME",LEFT(R27,8)="CONFORME",LEFT(S27,8)="CONFORME",LEFT(U27,8)="CONFORME"),"CADASTRO 100% CONFORME — LIBERADO P/ ERP",IF(AND(LEFT(M27,8)="CONFORME",LEFT(P27,8)="CONFORME",LEFT(R27,8)="CONFORME",LEFT(S27,8)="CONFORME",OR(LEFT(U27,7)="ADEQUAR",LEFT(U27,8)="VINCULAR")),"FISCAL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28" customFormat="false" ht="21.75" hidden="false" customHeight="true" outlineLevel="0" collapsed="false">
      <c r="A28" s="10" t="n">
        <v>5629</v>
      </c>
      <c r="B28" s="11" t="s">
        <v>104</v>
      </c>
      <c r="C28" s="12" t="s">
        <v>39</v>
      </c>
      <c r="D28" s="13" t="s">
        <v>105</v>
      </c>
      <c r="E28" s="12" t="s">
        <v>106</v>
      </c>
      <c r="F28" s="12" t="s">
        <v>107</v>
      </c>
      <c r="G28" s="14"/>
      <c r="H28" s="13" t="s">
        <v>108</v>
      </c>
      <c r="I28" s="20" t="str">
        <f aca="false">IF(B28="","",IF(ISNUMBER(MATCH(A28,'4. Base Mestre (845 Produtos)'!$A$4:$A$848,0)),"Localizado por Código ("&amp;A28&amp;") na Base Mestre",IF(ISNUMBER(MATCH(B28,'4. Base Mestre (845 Produtos)'!$B$4:$B$848,0)),"Localizado por Descrição na Base Mestre",IF(ISNUMBER(MATCH(D28,'3. Dicionario Principios Ativos'!$A$4:$A$245,0)),"Produto Novo — Validado pelo Dicionário de P.A.","Não Localizado — Revisar Código/P.A."))))</f>
        <v>Localizado por Código (5629) na Base Mestre</v>
      </c>
      <c r="J28" s="20" t="str">
        <f aca="false">IF(B28="","",IF(IF(ISNUMBER(MATCH(A28,'4.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Produtos)'!$I$4:$I$848,IF(ISNUMBER(MATCH(A28,'4. Base Mestre (845 Produtos)'!$A$4:$A$848,0)),MATCH(A28,'4. Base Mestre (845 Produtos)'!$A$4:$A$848,0),IF(ISNUMBER(MATCH(B28,'4. Base Mestre (845 Produtos)'!$B$4:$B$848,0)),MATCH(B28,'4. Base Mestre (845 Produtos)'!$B$4:$B$848,0),0))),IF(ISNUMBER(MATCH(D28,'3. Dicionario Principios Ativos'!$A$4:$A$245,0)),INDEX('3. Dicionario Principios Ativos'!$B$4:$B$245,MATCH(D28,'3. Dicionario Principios Ativos'!$A$4:$A$245,0)),"Revisar Classificação")))</f>
        <v>Inoculantes e Biológicos — Inoculante Fixador de Nitrogênio</v>
      </c>
      <c r="K28" s="21" t="n">
        <f aca="false">IF(B28="","",IF(G28&lt;&gt;"",G28,IF(OR(ISNUMBER(SEARCH("PRINCIPIO ATIVO",B28)),ISNUMBER(SEARCH("PRINC. ATIVO",B28)),ISNUMBER(SEARCH("PR. ATIVO",B28)),ISNUMBER(SEARCH("PR.AT.",B28)),ISNUMBER(SEARCH("(P.A",B28)),ISNUMBER(SEARCH("(P. A",B28))),0,IF(OR(ISNUMBER(SEARCH("0,100KG",B28)),ISNUMBER(SEARCH("0,1KG",B28)),ISNUMBER(SEARCH("0,100L",B28))),0.1,IF(OR(ISNUMBER(SEARCH("0,200L",B28)),ISNUMBER(SEARCH("0,2L",B28)),ISNUMBER(SEARCH("0,200KG",B28)),ISNUMBER(SEARCH("0,2KG",B28))),0.2,IF(OR(ISNUMBER(SEARCH("0,240KG",B28)),ISNUMBER(SEARCH("0,250L",B28))),0.24,IF(OR(ISNUMBER(SEARCH("0,300KG",B28)),ISNUMBER(SEARCH("0,3KG",B28))),0.3,IF(OR(ISNUMBER(SEARCH("0,500L",B28)),ISNUMBER(SEARCH("0,5L",B28)),ISNUMBER(SEARCH("0,5KG",B28))),0.5,IF(ISNUMBER(SEARCH("0,8KG",B28)),0.8,IF(OR(ISNUMBER(SEARCH("1,5L",B28)),ISNUMBER(SEARCH("1,5KG",B28))),1.5,IF(OR(ISNUMBER(SEARCH("1,75L",B28)),ISNUMBER(SEARCH("1,8L",B28)),ISNUMBER(SEARCH("1.8L",B28))),1.8,IF(ISNUMBER(SEARCH("4,5KG",B28)),4.5,IF(ISNUMBER(SEARCH("7,5KG",B28)),7.5,IF(OR(ISNUMBER(SEARCH("1000L",B28)),ISNUMBER(SEARCH("1000KG",B28)),ISNUMBER(SEARCH("1.000KG",B28)),ISNUMBER(SEARCH("1.000L",B28)),ISNUMBER(SEARCH("1000 KG",B28)),ISNUMBER(SEARCH("GRANEL",B28)),ISNUMBER(SEARCH("(TON)",B28))),1000,IF(ISNUMBER(SEARCH("200L",B28)),200,IF(OR(ISNUMBER(SEARCH("25KG",B28)),ISNUMBER(SEARCH("25L",B28))),25,IF(OR(ISNUMBER(SEARCH("20L",B28)),ISNUMBER(SEARCH("20KG",B28))),20,IF(ISNUMBER(SEARCH("15KG",B28)),15,IF(OR(ISNUMBER(SEARCH("10L",B28)),ISNUMBER(SEARCH("10KG",B28))),10,IF(OR(ISNUMBER(SEARCH("5L",B28)),ISNUMBER(SEARCH("5KG",B28)),ISNUMBER(SEARCH("5LT",B28))),5,IF(OR(ISNUMBER(SEARCH("3KG",B28)),ISNUMBER(SEARCH("3L",B28))),3,IF(OR(ISNUMBER(SEARCH("2L",B28)),ISNUMBER(SEARCH("2KG",B28))),2,IF(OR(ISNUMBER(SEARCH("1L",B28)),ISNUMBER(SEARCH("1KG",B28)),ISNUMBER(SEARCH("1LT",B28))),1,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Produtos)'!$D$4:$D$848,IF(ISNUMBER(MATCH(A28,'4. Base Mestre (845 Produtos)'!$A$4:$A$848,0)),MATCH(A28,'4. Base Mestre (845 Produtos)'!$A$4:$A$848,0),IF(ISNUMBER(MATCH(B28,'4. Base Mestre (845 Produtos)'!$B$4:$B$848,0)),MATCH(B28,'4. Base Mestre (845 Produtos)'!$B$4:$B$848,0),0))),1))))))))))))))))))))))))</f>
        <v>1.5</v>
      </c>
      <c r="L28" s="22" t="str">
        <f aca="false">IF(B28="","",IF(OR(ISNUMBER(SEARCH("KG",B28)),ISNUMBER(SEARCH("GR",B28))),"KG",IF(OR(ISNUMBER(SEARCH("0,200L",B28)),ISNUMBER(SEARCH("0,2L",B28)),ISNUMBER(SEARCH("0,5L",B28)),ISNUMBER(SEARCH("1,5L",B28)),ISNUMBER(SEARCH("1,8L",B28)),ISNUMBER(SEARCH("1.8L",B28)),ISNUMBER(SEARCH("1L",B28)),ISNUMBER(SEARCH("2L",B28)),ISNUMBER(SEARCH("3L",B28)),ISNUMBER(SEARCH("5L",B28)),ISNUMBER(SEARCH("10L",B28)),ISNUMBER(SEARCH("20L",B28)),ISNUMBER(SEARCH("25L",B28)),ISNUMBER(SEARCH("200L",B28)),ISNUMBER(SEARCH("1000L",B28)),ISNUMBER(SEARCH("LT",B28))),"L",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Produtos)'!$E$4:$E$848,IF(ISNUMBER(MATCH(A28,'4. Base Mestre (845 Produtos)'!$A$4:$A$848,0)),MATCH(A28,'4. Base Mestre (845 Produtos)'!$A$4:$A$848,0),IF(ISNUMBER(MATCH(B28,'4. Base Mestre (845 Produtos)'!$B$4:$B$848,0)),MATCH(B28,'4. Base Mestre (845 Produtos)'!$B$4:$B$848,0),0))),C28))))</f>
        <v>KG</v>
      </c>
      <c r="M28" s="20" t="str">
        <f aca="false">IF(B28="","",IF(C28=L28,"CONFORME — Unidade ("&amp;C28&amp;") compatível c/ Embalagem","DIVERGENTE — Embalagem em "&amp;L28&amp;", mas cadastrado em "&amp;C28))</f>
        <v>DIVERGENTE — Embalagem em KG, mas cadastrado em L</v>
      </c>
      <c r="N28" s="20" t="str">
        <f aca="false">IF(B28="","",IF(K28=0,"Granel / Produto Técnico (Sem Embalagem Comercial)",IF(K28&lt;=0.3001,"Faixa 1 TIPI: Até 300g/mL (3808.61.00 / 3105.10.00)",IF(K28&lt;=7.5001,"Faixa 2 TIPI: De 300g a 7,5kg/L (3808.62.90 / 3105.10.00)",IF(K28&lt;=10.0001,"Faixa 3 TIPI: De 7,5kg a 10kg/L (3808.69.90 / 3105.10.00)","Faixa 4 TIPI: Acima de 10kg/L (3808.69.90 / Cap. 31 Geral)")))))</f>
        <v>Faixa 2 TIPI: De 300g a 7,5kg/L (3808.62.90 / 3105.10.00)</v>
      </c>
      <c r="O28" s="23" t="str">
        <f aca="false">IF(B28="","",IF(IF(ISNUMBER(MATCH(A28,'4.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Produtos)'!$H$4:$H$848,IF(ISNUMBER(MATCH(A28,'4. Base Mestre (845 Produtos)'!$A$4:$A$848,0)),MATCH(A28,'4. Base Mestre (845 Produtos)'!$A$4:$A$848,0),IF(ISNUMBER(MATCH(B28,'4. Base Mestre (845 Produtos)'!$B$4:$B$848,0)),MATCH(B28,'4. Base Mestre (845 Produtos)'!$B$4:$B$848,0),0))),IF(ISNUMBER(MATCH(D28,'3. Dicionario Principios Ativos'!$A$4:$A$245,0)),INDEX('3. Dicionario Principios Ativos'!$A$4:$A$245,MATCH(D28,'3. Dicionario Principios Ativos'!$A$4:$A$245,0)),D28)))</f>
        <v>AZOSPIRILLUM BRASILENSE</v>
      </c>
      <c r="P28" s="20" t="str">
        <f aca="false">IF(B28="","",IF(D28=O28,"CONFORME — Princípio Ativo Validado","DIVERGENTE — Substituir por: "&amp;O28))</f>
        <v>CONFORME — Princípio Ativo Validado</v>
      </c>
      <c r="Q28" s="24" t="str">
        <f aca="false">IF(B28="","",IF(IF(IF(ISNUMBER(MATCH(A28,'4.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Produtos)'!$J$4:$J$848,IF(ISNUMBER(MATCH(A28,'4. Base Mestre (845 Produtos)'!$A$4:$A$848,0)),MATCH(A28,'4. Base Mestre (845 Produtos)'!$A$4:$A$848,0),IF(ISNUMBER(MATCH(B28,'4. Base Mestre (845 Produtos)'!$B$4:$B$848,0)),MATCH(B28,'4. Base Mestre (845 Produtos)'!$B$4:$B$848,0),0)))="SIM",IF(ISNUMBER(MATCH(D28,'3. Dicionario Principios Ativos'!$A$4:$A$245,0)),INDEX('3. Dicionario Principios Ativos'!$C$4:$C$245,MATCH(D28,'3. Dicionario Principios Ativos'!$A$4:$A$245,0))="SIM",FALSE())),IF(AND(K28&gt;0,K28&lt;=0.3001),"3808.61.00",IF(AND(K28&gt;0.3001,K28&lt;=7.5001),"3808.62.90","3808.69.90")),IF(AND(LEFT(IF(IF(ISNUMBER(MATCH(A28,'4.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Produtos)'!$L$4:$L$848,IF(ISNUMBER(MATCH(A28,'4. Base Mestre (845 Produtos)'!$A$4:$A$848,0)),MATCH(A28,'4. Base Mestre (845 Produtos)'!$A$4:$A$848,0),IF(ISNUMBER(MATCH(B28,'4. Base Mestre (845 Produtos)'!$B$4:$B$848,0)),MATCH(B28,'4. Base Mestre (845 Produtos)'!$B$4:$B$848,0),0))),IF(ISNUMBER(MATCH(D28,'3. Dicionario Principios Ativos'!$A$4:$A$245,0)),INDEX('3. Dicionario Principios Ativos'!$D$4:$D$245,MATCH(D28,'3. Dicionario Principios Ativos'!$A$4:$A$245,0)),E28)),2)="31",E28="3105.10.00",K28&gt;0,K28&lt;=10.0001),"3105.10.00",IF(AND(IF(IF(ISNUMBER(MATCH(A28,'4.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Produtos)'!$L$4:$L$848,IF(ISNUMBER(MATCH(A28,'4. Base Mestre (845 Produtos)'!$A$4:$A$848,0)),MATCH(A28,'4. Base Mestre (845 Produtos)'!$A$4:$A$848,0),IF(ISNUMBER(MATCH(B28,'4. Base Mestre (845 Produtos)'!$B$4:$B$848,0)),MATCH(B28,'4. Base Mestre (845 Produtos)'!$B$4:$B$848,0),0))),IF(ISNUMBER(MATCH(D28,'3. Dicionario Principios Ativos'!$A$4:$A$245,0)),INDEX('3. Dicionario Principios Ativos'!$D$4:$D$245,MATCH(D28,'3. Dicionario Principios Ativos'!$A$4:$A$245,0)),E28))="3105.10.00",K28&gt;10.0001),"3105.90.90",IF(IF(ISNUMBER(MATCH(A28,'4.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Produtos)'!$L$4:$L$848,IF(ISNUMBER(MATCH(A28,'4. Base Mestre (845 Produtos)'!$A$4:$A$848,0)),MATCH(A28,'4. Base Mestre (845 Produtos)'!$A$4:$A$848,0),IF(ISNUMBER(MATCH(B28,'4. Base Mestre (845 Produtos)'!$B$4:$B$848,0)),MATCH(B28,'4. Base Mestre (845 Produtos)'!$B$4:$B$848,0),0))),IF(ISNUMBER(MATCH(D28,'3. Dicionario Principios Ativos'!$A$4:$A$245,0)),INDEX('3. Dicionario Principios Ativos'!$D$4:$D$245,MATCH(D28,'3. Dicionario Principios Ativos'!$A$4:$A$245,0)),E28))))))</f>
        <v>3002.49.99</v>
      </c>
      <c r="R28" s="20" t="str">
        <f aca="false">IF(B28="","",IF(OR(E28=Q28,AND(Q28="3002.49.99",E28="3002.90.00")),"CONFORME — NCM "&amp;E28&amp;" Correta na TIPI","DIVERGENTE — Substituir "&amp;E28&amp;" por "&amp;Q28))</f>
        <v>CONFORME — NCM 3002.49.99 Correta na TIPI</v>
      </c>
      <c r="S28" s="20" t="str">
        <f aca="false">IF(B28="","",IF(AND(E28="3808.61.00",OR(K28&gt;0.3001,K28=0)),"INCOMPATÍVEL — NCM 3808.61.00 exige emb. &lt;= 0,3kg/L (Emb. atual: "&amp;K28&amp;" "&amp;L28&amp;" -&gt; usar "&amp;Q28&amp;")",IF(AND(LEFT(E28,7)="3808.62",OR(K28&lt;=0.3001,K28&gt;7.5001)),"INCOMPATÍVEL — NCM 3808.62 exige emb. de 0,3 a 7,5kg/L (Emb. atual: "&amp;K28&amp;" "&amp;L28&amp;" -&gt; usar "&amp;Q28&amp;")",IF(AND(LEFT(E28,7)="3808.69",K28&gt;0,K28&lt;=7.5001),"INCOMPATÍVEL — NCM 3808.69 exige emb. &gt; 7,5kg/L (Emb. atual: "&amp;K28&amp;" "&amp;L28&amp;" -&gt; usar "&amp;Q28&amp;")",IF(AND(LEFT(Q28,6)="3808.6",LEFT(E28,6)&lt;&gt;"3808.6"),"INCOMPATÍVEL — Molécula Nota Subpos. 2 c/ emb. "&amp;K28&amp;" "&amp;L28&amp;" exige NCM "&amp;Q28,IF(AND(OR(E28="3808.91.19",E28="3808.92.19",E28="3808.93.19",E28="3808.99.19"),K28&gt;=1),"INCOMPATÍVEL — Subitem .19 (Domissanitário) vedado p/ emb. agrícola de "&amp;K28&amp;" "&amp;L28,IF(AND(E28="3105.10.00",K28&gt;10.0001),"INCOMPATÍVEL — NCM 3105.10.00 exige peso bruto &lt;= 10kg (Emb. atual: "&amp;K28&amp;" "&amp;L28&amp;" -&gt; usar 3105.90.90)",IF(AND(LEFT(E28,2)="29",LEFT(Q28,4)="3808",K28&gt;0),"INCOMPATÍVEL — Produto formulado em emb. comercial ("&amp;K28&amp;" "&amp;L28&amp;") vedado no Cap. 29 -&gt; usar "&amp;Q28,"CONFORME — Embalagem ("&amp;K28&amp;" "&amp;L28&amp;") compatível c/ a NCM"))))))))</f>
        <v>CONFORME — Embalagem (1.5 KG) compatível c/ a NCM</v>
      </c>
      <c r="T28" s="24" t="str">
        <f aca="false">IF(B28="","",IF(IF(ISNUMBER(MATCH(A28,'4.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Produtos)'!$P$4:$P$848,IF(ISNUMBER(MATCH(A28,'4. Base Mestre (845 Produtos)'!$A$4:$A$848,0)),MATCH(A28,'4. Base Mestre (845 Produtos)'!$A$4:$A$848,0),IF(ISNUMBER(MATCH(B28,'4. Base Mestre (845 Produtos)'!$B$4:$B$848,0)),MATCH(B28,'4. Base Mestre (845 Produtos)'!$B$4:$B$848,0),0))),IF(ISNUMBER(MATCH(D28,'3. Dicionario Principios Ativos'!$A$4:$A$245,0)),INDEX('3. Dicionario Principios Ativos'!$K$4:$K$245,MATCH(D28,'3. Dicionario Principios Ativos'!$A$4:$A$245,0)),"VERIFICAR BULA")))</f>
        <v>SIPEAGRO (UF-XXXXX)</v>
      </c>
      <c r="U28" s="20" t="str">
        <f aca="false">IF(B28="","",IF(ISNUMBER(SEARCH("ISENTO",T28)),IF(OR(F28=0,F28="0",F28="ISENTO",F28=""),"CONFORME (DISPENSADO) — Isento pelo Ato SDA/MAPA nº 104/2017","INCORRETO — Produto isento de registro MAPA (usar 0 ou ISENTO)"),IF(ISNUMBER(SEARCH("SIPEAGRO",T28)),IF(ISNUMBER(SEARCH("-",F28)),"CONFORME — Registro SIPEAGRO ("&amp;F28&amp;") Preenchido","ADEQUAR P/ SIPEAGRO — Substituir 0 pelo Registro (UF-XXXXX-XXXXX.X)"),IF(ISNUMBER(SEARCH("VINCULAR",T28)),IF(AND(F28&lt;&gt;0,F28&lt;&gt;"0",F28&lt;&gt;""),"INCORRETO / TROCADO — Código "&amp;F28&amp;" pertence a outro produto (Vincular bula da marca)","VINCULAR MARCA — Cadastro de P.A. s/ marca fixa (Vincular registro na NF-e)"),IF(OR(F28=0,F28="0",F28=""),"AUSENTE (ZERO) — Preencher Registro Oficial MAPA nº "&amp;T28,IF(TEXT(F28,"0")=TEXT(T28,"0"),"CONFORME — Registro MAPA nº "&amp;T28&amp;" Validado na Bula","INCORRETO / TROCADO — Substituir "&amp;F28&amp;" pelo Registro Oficial nº "&amp;T28))))))</f>
        <v>CONFORME — Registro SIPEAGRO (MT-00500-10001.1) Preenchido</v>
      </c>
      <c r="V28" s="20" t="str">
        <f aca="false">IF(B28="","",IF(IF(ISNUMBER(MATCH(A28,'4.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Produtos)'!$S$4:$S$848,IF(ISNUMBER(MATCH(A28,'4. Base Mestre (845 Produtos)'!$A$4:$A$848,0)),MATCH(A28,'4. Base Mestre (845 Produtos)'!$A$4:$A$848,0),IF(ISNUMBER(MATCH(B28,'4. Base Mestre (845 Produtos)'!$B$4:$B$848,0)),MATCH(B28,'4. Base Mestre (845 Produtos)'!$B$4:$B$848,0),0))),IF(ISNUMBER(MATCH(D28,'3. Dicionario Principios Ativos'!$A$4:$A$245,0)),INDEX('3. Dicionario Principios Ativos'!$L$4:$L$245,MATCH(D28,'3. Dicionario Principios Ativos'!$A$4:$A$245,0)),"Verificar NCM")))</f>
        <v>Beneficiado (Lei 10.925/04): 0% até Mar/26 | 0,925% Real / 0,365% Pres. pós-Abr/26 (LC 224/25)</v>
      </c>
      <c r="W28" s="20" t="str">
        <f aca="false">IF(B28="","",IF(IF(ISNUMBER(MATCH(A28,'4. Base Mestre (845 Produtos)'!$A$4:$A$848,0)),MATCH(A28,'4. Base Mestre (845 Produtos)'!$A$4:$A$848,0),IF(ISNUMBER(MATCH(B28,'4. Base Mestre (845 Produtos)'!$B$4:$B$848,0)),MATCH(B28,'4. Base Mestre (845 Produtos)'!$B$4:$B$848,0),0))&gt;0,INDEX('4. Base Mestre (845 Produtos)'!$T$4:$T$848,IF(ISNUMBER(MATCH(A28,'4. Base Mestre (845 Produtos)'!$A$4:$A$848,0)),MATCH(A28,'4. Base Mestre (845 Produtos)'!$A$4:$A$848,0),IF(ISNUMBER(MATCH(B28,'4. Base Mestre (845 Produtos)'!$B$4:$B$848,0)),MATCH(B28,'4. Base Mestre (845 Produtos)'!$B$4:$B$848,0),0))),IF(ISNUMBER(MATCH(D28,'3. Dicionario Principios Ativos'!$A$4:$A$245,0)),INDEX('3. Dicionario Principios Ativos'!$M$4:$M$245,MATCH(D28,'3. Dicionario Principios Ativos'!$A$4:$A$245,0)),"Verificar CST")))</f>
        <v>Saída: CST 06 (c/ Ajuste M220/M620 pós-Abr/26) | Entrada Revenda: CST 73</v>
      </c>
      <c r="X28" s="23" t="str">
        <f aca="false">IF(B28="","",IF(AND(LEFT(M28,8)="CONFORME",LEFT(P28,8)="CONFORME",LEFT(R28,8)="CONFORME",LEFT(S28,8)="CONFORME",LEFT(U28,8)="CONFORME"),"CADASTRO 100% CONFORME — LIBERADO P/ ERP",IF(AND(LEFT(M28,8)="CONFORME",LEFT(P28,8)="CONFORME",LEFT(R28,8)="CONFORME",LEFT(S28,8)="CONFORME",OR(LEFT(U28,7)="ADEQUAR",LEFT(U28,8)="VINCULAR")),"FISCAL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29" customFormat="false" ht="21.75" hidden="false" customHeight="true" outlineLevel="0" collapsed="false">
      <c r="A29" s="10" t="n">
        <v>6459</v>
      </c>
      <c r="B29" s="11" t="s">
        <v>109</v>
      </c>
      <c r="C29" s="12" t="s">
        <v>63</v>
      </c>
      <c r="D29" s="13" t="s">
        <v>110</v>
      </c>
      <c r="E29" s="12" t="s">
        <v>111</v>
      </c>
      <c r="F29" s="12" t="n">
        <v>14623</v>
      </c>
      <c r="G29" s="14"/>
      <c r="H29" s="13" t="s">
        <v>112</v>
      </c>
      <c r="I29" s="15" t="str">
        <f aca="false">IF(B29="","",IF(ISNUMBER(MATCH(A29,'4. Base Mestre (845 Produtos)'!$A$4:$A$848,0)),"Localizado por Código ("&amp;A29&amp;") na Base Mestre",IF(ISNUMBER(MATCH(B29,'4. Base Mestre (845 Produtos)'!$B$4:$B$848,0)),"Localizado por Descrição na Base Mestre",IF(ISNUMBER(MATCH(D29,'3. Dicionario Principios Ativos'!$A$4:$A$245,0)),"Produto Novo — Validado pelo Dicionário de P.A.","Não Localizado — Revisar Código/P.A."))))</f>
        <v>Localizado por Código (6459) na Base Mestre</v>
      </c>
      <c r="J29" s="15" t="str">
        <f aca="false">IF(B29="","",IF(IF(ISNUMBER(MATCH(A29,'4.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Produtos)'!$I$4:$I$848,IF(ISNUMBER(MATCH(A29,'4. Base Mestre (845 Produtos)'!$A$4:$A$848,0)),MATCH(A29,'4. Base Mestre (845 Produtos)'!$A$4:$A$848,0),IF(ISNUMBER(MATCH(B29,'4. Base Mestre (845 Produtos)'!$B$4:$B$848,0)),MATCH(B29,'4. Base Mestre (845 Produtos)'!$B$4:$B$848,0),0))),IF(ISNUMBER(MATCH(D29,'3. Dicionario Principios Ativos'!$A$4:$A$245,0)),INDEX('3. Dicionario Principios Ativos'!$B$4:$B$245,MATCH(D29,'3. Dicionario Principios Ativos'!$A$4:$A$245,0)),"Revisar Classificação")))</f>
        <v>Defensivos — Herbicida</v>
      </c>
      <c r="K29" s="16" t="n">
        <f aca="false">IF(B29="","",IF(G29&lt;&gt;"",G29,IF(OR(ISNUMBER(SEARCH("PRINCIPIO ATIVO",B29)),ISNUMBER(SEARCH("PRINC. ATIVO",B29)),ISNUMBER(SEARCH("PR. ATIVO",B29)),ISNUMBER(SEARCH("PR.AT.",B29)),ISNUMBER(SEARCH("(P.A",B29)),ISNUMBER(SEARCH("(P. A",B29))),0,IF(OR(ISNUMBER(SEARCH("0,100KG",B29)),ISNUMBER(SEARCH("0,1KG",B29)),ISNUMBER(SEARCH("0,100L",B29))),0.1,IF(OR(ISNUMBER(SEARCH("0,200L",B29)),ISNUMBER(SEARCH("0,2L",B29)),ISNUMBER(SEARCH("0,200KG",B29)),ISNUMBER(SEARCH("0,2KG",B29))),0.2,IF(OR(ISNUMBER(SEARCH("0,240KG",B29)),ISNUMBER(SEARCH("0,250L",B29))),0.24,IF(OR(ISNUMBER(SEARCH("0,300KG",B29)),ISNUMBER(SEARCH("0,3KG",B29))),0.3,IF(OR(ISNUMBER(SEARCH("0,500L",B29)),ISNUMBER(SEARCH("0,5L",B29)),ISNUMBER(SEARCH("0,5KG",B29))),0.5,IF(ISNUMBER(SEARCH("0,8KG",B29)),0.8,IF(OR(ISNUMBER(SEARCH("1,5L",B29)),ISNUMBER(SEARCH("1,5KG",B29))),1.5,IF(OR(ISNUMBER(SEARCH("1,75L",B29)),ISNUMBER(SEARCH("1,8L",B29)),ISNUMBER(SEARCH("1.8L",B29))),1.8,IF(ISNUMBER(SEARCH("4,5KG",B29)),4.5,IF(ISNUMBER(SEARCH("7,5KG",B29)),7.5,IF(OR(ISNUMBER(SEARCH("1000L",B29)),ISNUMBER(SEARCH("1000KG",B29)),ISNUMBER(SEARCH("1.000KG",B29)),ISNUMBER(SEARCH("1.000L",B29)),ISNUMBER(SEARCH("1000 KG",B29)),ISNUMBER(SEARCH("GRANEL",B29)),ISNUMBER(SEARCH("(TON)",B29))),1000,IF(ISNUMBER(SEARCH("200L",B29)),200,IF(OR(ISNUMBER(SEARCH("25KG",B29)),ISNUMBER(SEARCH("25L",B29))),25,IF(OR(ISNUMBER(SEARCH("20L",B29)),ISNUMBER(SEARCH("20KG",B29))),20,IF(ISNUMBER(SEARCH("15KG",B29)),15,IF(OR(ISNUMBER(SEARCH("10L",B29)),ISNUMBER(SEARCH("10KG",B29))),10,IF(OR(ISNUMBER(SEARCH("5L",B29)),ISNUMBER(SEARCH("5KG",B29)),ISNUMBER(SEARCH("5LT",B29))),5,IF(OR(ISNUMBER(SEARCH("3KG",B29)),ISNUMBER(SEARCH("3L",B29))),3,IF(OR(ISNUMBER(SEARCH("2L",B29)),ISNUMBER(SEARCH("2KG",B29))),2,IF(OR(ISNUMBER(SEARCH("1L",B29)),ISNUMBER(SEARCH("1KG",B29)),ISNUMBER(SEARCH("1LT",B29))),1,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Produtos)'!$D$4:$D$848,IF(ISNUMBER(MATCH(A29,'4. Base Mestre (845 Produtos)'!$A$4:$A$848,0)),MATCH(A29,'4. Base Mestre (845 Produtos)'!$A$4:$A$848,0),IF(ISNUMBER(MATCH(B29,'4. Base Mestre (845 Produtos)'!$B$4:$B$848,0)),MATCH(B29,'4. Base Mestre (845 Produtos)'!$B$4:$B$848,0),0))),1))))))))))))))))))))))))</f>
        <v>0.1</v>
      </c>
      <c r="L29" s="17" t="str">
        <f aca="false">IF(B29="","",IF(OR(ISNUMBER(SEARCH("KG",B29)),ISNUMBER(SEARCH("GR",B29))),"KG",IF(OR(ISNUMBER(SEARCH("0,200L",B29)),ISNUMBER(SEARCH("0,2L",B29)),ISNUMBER(SEARCH("0,5L",B29)),ISNUMBER(SEARCH("1,5L",B29)),ISNUMBER(SEARCH("1,8L",B29)),ISNUMBER(SEARCH("1.8L",B29)),ISNUMBER(SEARCH("1L",B29)),ISNUMBER(SEARCH("2L",B29)),ISNUMBER(SEARCH("3L",B29)),ISNUMBER(SEARCH("5L",B29)),ISNUMBER(SEARCH("10L",B29)),ISNUMBER(SEARCH("20L",B29)),ISNUMBER(SEARCH("25L",B29)),ISNUMBER(SEARCH("200L",B29)),ISNUMBER(SEARCH("1000L",B29)),ISNUMBER(SEARCH("LT",B29))),"L",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Produtos)'!$E$4:$E$848,IF(ISNUMBER(MATCH(A29,'4. Base Mestre (845 Produtos)'!$A$4:$A$848,0)),MATCH(A29,'4. Base Mestre (845 Produtos)'!$A$4:$A$848,0),IF(ISNUMBER(MATCH(B29,'4. Base Mestre (845 Produtos)'!$B$4:$B$848,0)),MATCH(B29,'4. Base Mestre (845 Produtos)'!$B$4:$B$848,0),0))),C29))))</f>
        <v>KG</v>
      </c>
      <c r="M29" s="15" t="str">
        <f aca="false">IF(B29="","",IF(C29=L29,"CONFORME — Unidade ("&amp;C29&amp;") compatível c/ Embalagem","DIVERGENTE — Embalagem em "&amp;L29&amp;", mas cadastrado em "&amp;C29))</f>
        <v>CONFORME — Unidade (KG) compatível c/ Embalagem</v>
      </c>
      <c r="N29" s="15" t="str">
        <f aca="false">IF(B29="","",IF(K29=0,"Granel / Produto Técnico (Sem Embalagem Comercial)",IF(K29&lt;=0.3001,"Faixa 1 TIPI: Até 300g/mL (3808.61.00 / 3105.10.00)",IF(K29&lt;=7.5001,"Faixa 2 TIPI: De 300g a 7,5kg/L (3808.62.90 / 3105.10.00)",IF(K29&lt;=10.0001,"Faixa 3 TIPI: De 7,5kg a 10kg/L (3808.69.90 / 3105.10.00)","Faixa 4 TIPI: Acima de 10kg/L (3808.69.90 / Cap. 31 Geral)")))))</f>
        <v>Faixa 1 TIPI: Até 300g/mL (3808.61.00 / 3105.10.00)</v>
      </c>
      <c r="O29" s="18" t="str">
        <f aca="false">IF(B29="","",IF(IF(ISNUMBER(MATCH(A29,'4.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Produtos)'!$H$4:$H$848,IF(ISNUMBER(MATCH(A29,'4. Base Mestre (845 Produtos)'!$A$4:$A$848,0)),MATCH(A29,'4. Base Mestre (845 Produtos)'!$A$4:$A$848,0),IF(ISNUMBER(MATCH(B29,'4. Base Mestre (845 Produtos)'!$B$4:$B$848,0)),MATCH(B29,'4. Base Mestre (845 Produtos)'!$B$4:$B$848,0),0))),IF(ISNUMBER(MATCH(D29,'3. Dicionario Principios Ativos'!$A$4:$A$245,0)),INDEX('3. Dicionario Principios Ativos'!$A$4:$A$245,MATCH(D29,'3. Dicionario Principios Ativos'!$A$4:$A$245,0)),D29)))</f>
        <v>METSULFUROM - METILICO</v>
      </c>
      <c r="P29" s="15" t="str">
        <f aca="false">IF(B29="","",IF(D29=O29,"CONFORME — Princípio Ativo Validado","DIVERGENTE — Substituir por: "&amp;O29))</f>
        <v>DIVERGENTE — Substituir por: METSULFUROM - METILICO</v>
      </c>
      <c r="Q29" s="19" t="str">
        <f aca="false">IF(B29="","",IF(IF(IF(ISNUMBER(MATCH(A29,'4.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Produtos)'!$J$4:$J$848,IF(ISNUMBER(MATCH(A29,'4. Base Mestre (845 Produtos)'!$A$4:$A$848,0)),MATCH(A29,'4. Base Mestre (845 Produtos)'!$A$4:$A$848,0),IF(ISNUMBER(MATCH(B29,'4. Base Mestre (845 Produtos)'!$B$4:$B$848,0)),MATCH(B29,'4. Base Mestre (845 Produtos)'!$B$4:$B$848,0),0)))="SIM",IF(ISNUMBER(MATCH(D29,'3. Dicionario Principios Ativos'!$A$4:$A$245,0)),INDEX('3. Dicionario Principios Ativos'!$C$4:$C$245,MATCH(D29,'3. Dicionario Principios Ativos'!$A$4:$A$245,0))="SIM",FALSE())),IF(AND(K29&gt;0,K29&lt;=0.3001),"3808.61.00",IF(AND(K29&gt;0.3001,K29&lt;=7.5001),"3808.62.90","3808.69.90")),IF(AND(LEFT(IF(IF(ISNUMBER(MATCH(A29,'4.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Produtos)'!$L$4:$L$848,IF(ISNUMBER(MATCH(A29,'4. Base Mestre (845 Produtos)'!$A$4:$A$848,0)),MATCH(A29,'4. Base Mestre (845 Produtos)'!$A$4:$A$848,0),IF(ISNUMBER(MATCH(B29,'4. Base Mestre (845 Produtos)'!$B$4:$B$848,0)),MATCH(B29,'4. Base Mestre (845 Produtos)'!$B$4:$B$848,0),0))),IF(ISNUMBER(MATCH(D29,'3. Dicionario Principios Ativos'!$A$4:$A$245,0)),INDEX('3. Dicionario Principios Ativos'!$D$4:$D$245,MATCH(D29,'3. Dicionario Principios Ativos'!$A$4:$A$245,0)),E29)),2)="31",E29="3105.10.00",K29&gt;0,K29&lt;=10.0001),"3105.10.00",IF(AND(IF(IF(ISNUMBER(MATCH(A29,'4.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Produtos)'!$L$4:$L$848,IF(ISNUMBER(MATCH(A29,'4. Base Mestre (845 Produtos)'!$A$4:$A$848,0)),MATCH(A29,'4. Base Mestre (845 Produtos)'!$A$4:$A$848,0),IF(ISNUMBER(MATCH(B29,'4. Base Mestre (845 Produtos)'!$B$4:$B$848,0)),MATCH(B29,'4. Base Mestre (845 Produtos)'!$B$4:$B$848,0),0))),IF(ISNUMBER(MATCH(D29,'3. Dicionario Principios Ativos'!$A$4:$A$245,0)),INDEX('3. Dicionario Principios Ativos'!$D$4:$D$245,MATCH(D29,'3. Dicionario Principios Ativos'!$A$4:$A$245,0)),E29))="3105.10.00",K29&gt;10.0001),"3105.90.90",IF(IF(ISNUMBER(MATCH(A29,'4.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Produtos)'!$L$4:$L$848,IF(ISNUMBER(MATCH(A29,'4. Base Mestre (845 Produtos)'!$A$4:$A$848,0)),MATCH(A29,'4. Base Mestre (845 Produtos)'!$A$4:$A$848,0),IF(ISNUMBER(MATCH(B29,'4. Base Mestre (845 Produtos)'!$B$4:$B$848,0)),MATCH(B29,'4. Base Mestre (845 Produtos)'!$B$4:$B$848,0),0))),IF(ISNUMBER(MATCH(D29,'3. Dicionario Principios Ativos'!$A$4:$A$245,0)),INDEX('3. Dicionario Principios Ativos'!$D$4:$D$245,MATCH(D29,'3. Dicionario Principios Ativos'!$A$4:$A$245,0)),E29))))))</f>
        <v>3808.93.27</v>
      </c>
      <c r="R29" s="15" t="str">
        <f aca="false">IF(B29="","",IF(OR(E29=Q29,AND(Q29="3002.49.99",E29="3002.90.00")),"CONFORME — NCM "&amp;E29&amp;" Correta na TIPI","DIVERGENTE — Substituir "&amp;E29&amp;" por "&amp;Q29))</f>
        <v>DIVERGENTE — Substituir 3808.93.29 por 3808.93.27</v>
      </c>
      <c r="S29" s="15" t="str">
        <f aca="false">IF(B29="","",IF(AND(E29="3808.61.00",OR(K29&gt;0.3001,K29=0)),"INCOMPATÍVEL — NCM 3808.61.00 exige emb. &lt;= 0,3kg/L (Emb. atual: "&amp;K29&amp;" "&amp;L29&amp;" -&gt; usar "&amp;Q29&amp;")",IF(AND(LEFT(E29,7)="3808.62",OR(K29&lt;=0.3001,K29&gt;7.5001)),"INCOMPATÍVEL — NCM 3808.62 exige emb. de 0,3 a 7,5kg/L (Emb. atual: "&amp;K29&amp;" "&amp;L29&amp;" -&gt; usar "&amp;Q29&amp;")",IF(AND(LEFT(E29,7)="3808.69",K29&gt;0,K29&lt;=7.5001),"INCOMPATÍVEL — NCM 3808.69 exige emb. &gt; 7,5kg/L (Emb. atual: "&amp;K29&amp;" "&amp;L29&amp;" -&gt; usar "&amp;Q29&amp;")",IF(AND(LEFT(Q29,6)="3808.6",LEFT(E29,6)&lt;&gt;"3808.6"),"INCOMPATÍVEL — Molécula Nota Subpos. 2 c/ emb. "&amp;K29&amp;" "&amp;L29&amp;" exige NCM "&amp;Q29,IF(AND(OR(E29="3808.91.19",E29="3808.92.19",E29="3808.93.19",E29="3808.99.19"),K29&gt;=1),"INCOMPATÍVEL — Subitem .19 (Domissanitário) vedado p/ emb. agrícola de "&amp;K29&amp;" "&amp;L29,IF(AND(E29="3105.10.00",K29&gt;10.0001),"INCOMPATÍVEL — NCM 3105.10.00 exige peso bruto &lt;= 10kg (Emb. atual: "&amp;K29&amp;" "&amp;L29&amp;" -&gt; usar 3105.90.90)",IF(AND(LEFT(E29,2)="29",LEFT(Q29,4)="3808",K29&gt;0),"INCOMPATÍVEL — Produto formulado em emb. comercial ("&amp;K29&amp;" "&amp;L29&amp;") vedado no Cap. 29 -&gt; usar "&amp;Q29,"CONFORME — Embalagem ("&amp;K29&amp;" "&amp;L29&amp;") compatível c/ a NCM"))))))))</f>
        <v>CONFORME — Embalagem (0.1 KG) compatível c/ a NCM</v>
      </c>
      <c r="T29" s="19" t="n">
        <f aca="false">IF(B29="","",IF(IF(ISNUMBER(MATCH(A29,'4.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Produtos)'!$P$4:$P$848,IF(ISNUMBER(MATCH(A29,'4. Base Mestre (845 Produtos)'!$A$4:$A$848,0)),MATCH(A29,'4. Base Mestre (845 Produtos)'!$A$4:$A$848,0),IF(ISNUMBER(MATCH(B29,'4. Base Mestre (845 Produtos)'!$B$4:$B$848,0)),MATCH(B29,'4. Base Mestre (845 Produtos)'!$B$4:$B$848,0),0))),IF(ISNUMBER(MATCH(D29,'3. Dicionario Principios Ativos'!$A$4:$A$245,0)),INDEX('3. Dicionario Principios Ativos'!$K$4:$K$245,MATCH(D29,'3. Dicionario Principios Ativos'!$A$4:$A$245,0)),"VERIFICAR BULA")))</f>
        <v>14623</v>
      </c>
      <c r="U29" s="15" t="str">
        <f aca="false">IF(B29="","",IF(ISNUMBER(SEARCH("ISENTO",T29)),IF(OR(F29=0,F29="0",F29="ISENTO",F29=""),"CONFORME (DISPENSADO) — Isento pelo Ato SDA/MAPA nº 104/2017","INCORRETO — Produto isento de registro MAPA (usar 0 ou ISENTO)"),IF(ISNUMBER(SEARCH("SIPEAGRO",T29)),IF(ISNUMBER(SEARCH("-",F29)),"CONFORME — Registro SIPEAGRO ("&amp;F29&amp;") Preenchido","ADEQUAR P/ SIPEAGRO — Substituir 0 pelo Registro (UF-XXXXX-XXXXX.X)"),IF(ISNUMBER(SEARCH("VINCULAR",T29)),IF(AND(F29&lt;&gt;0,F29&lt;&gt;"0",F29&lt;&gt;""),"INCORRETO / TROCADO — Código "&amp;F29&amp;" pertence a outro produto (Vincular bula da marca)","VINCULAR MARCA — Cadastro de P.A. s/ marca fixa (Vincular registro na NF-e)"),IF(OR(F29=0,F29="0",F29=""),"AUSENTE (ZERO) — Preencher Registro Oficial MAPA nº "&amp;T29,IF(TEXT(F29,"0")=TEXT(T29,"0"),"CONFORME — Registro MAPA nº "&amp;T29&amp;" Validado na Bula","INCORRETO / TROCADO — Substituir "&amp;F29&amp;" pelo Registro Oficial nº "&amp;T29))))))</f>
        <v>CONFORME — Registro MAPA nº 14623 Validado na Bula</v>
      </c>
      <c r="V29" s="15" t="str">
        <f aca="false">IF(B29="","",IF(IF(ISNUMBER(MATCH(A29,'4.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Produtos)'!$S$4:$S$848,IF(ISNUMBER(MATCH(A29,'4. Base Mestre (845 Produtos)'!$A$4:$A$848,0)),MATCH(A29,'4. Base Mestre (845 Produtos)'!$A$4:$A$848,0),IF(ISNUMBER(MATCH(B29,'4. Base Mestre (845 Produtos)'!$B$4:$B$848,0)),MATCH(B29,'4. Base Mestre (845 Produtos)'!$B$4:$B$848,0),0))),IF(ISNUMBER(MATCH(D29,'3. Dicionario Principios Ativos'!$A$4:$A$245,0)),INDEX('3. Dicionario Principios Ativos'!$L$4:$L$245,MATCH(D29,'3. Dicionario Principios Ativos'!$A$4:$A$245,0)),"Verificar NCM")))</f>
        <v>Beneficiado (Lei 10.925/04): 0% até Mar/26 | 0,925% Real / 0,365% Pres. pós-Abr/26 (LC 224/25)</v>
      </c>
      <c r="W29" s="15" t="str">
        <f aca="false">IF(B29="","",IF(IF(ISNUMBER(MATCH(A29,'4. Base Mestre (845 Produtos)'!$A$4:$A$848,0)),MATCH(A29,'4. Base Mestre (845 Produtos)'!$A$4:$A$848,0),IF(ISNUMBER(MATCH(B29,'4. Base Mestre (845 Produtos)'!$B$4:$B$848,0)),MATCH(B29,'4. Base Mestre (845 Produtos)'!$B$4:$B$848,0),0))&gt;0,INDEX('4. Base Mestre (845 Produtos)'!$T$4:$T$848,IF(ISNUMBER(MATCH(A29,'4. Base Mestre (845 Produtos)'!$A$4:$A$848,0)),MATCH(A29,'4. Base Mestre (845 Produtos)'!$A$4:$A$848,0),IF(ISNUMBER(MATCH(B29,'4. Base Mestre (845 Produtos)'!$B$4:$B$848,0)),MATCH(B29,'4. Base Mestre (845 Produtos)'!$B$4:$B$848,0),0))),IF(ISNUMBER(MATCH(D29,'3. Dicionario Principios Ativos'!$A$4:$A$245,0)),INDEX('3. Dicionario Principios Ativos'!$M$4:$M$245,MATCH(D29,'3. Dicionario Principios Ativos'!$A$4:$A$245,0)),"Verificar CST")))</f>
        <v>Saída: CST 06 (c/ Ajuste M220/M620 pós-Abr/26) | Entrada Revenda: CST 73</v>
      </c>
      <c r="X29" s="18" t="str">
        <f aca="false">IF(B29="","",IF(AND(LEFT(M29,8)="CONFORME",LEFT(P29,8)="CONFORME",LEFT(R29,8)="CONFORME",LEFT(S29,8)="CONFORME",LEFT(U29,8)="CONFORME"),"CADASTRO 100% CONFORME — LIBERADO P/ ERP",IF(AND(LEFT(M29,8)="CONFORME",LEFT(P29,8)="CONFORME",LEFT(R29,8)="CONFORME",LEFT(S29,8)="CONFORME",OR(LEFT(U29,7)="ADEQUAR",LEFT(U29,8)="VINCULAR")),"FISCAL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30" customFormat="false" ht="21.75" hidden="false" customHeight="true" outlineLevel="0" collapsed="false">
      <c r="A30" s="10" t="n">
        <v>517</v>
      </c>
      <c r="B30" s="11" t="s">
        <v>113</v>
      </c>
      <c r="C30" s="12" t="s">
        <v>39</v>
      </c>
      <c r="D30" s="13" t="s">
        <v>114</v>
      </c>
      <c r="E30" s="12" t="s">
        <v>51</v>
      </c>
      <c r="F30" s="12" t="n">
        <v>2020</v>
      </c>
      <c r="G30" s="14"/>
      <c r="H30" s="13" t="s">
        <v>115</v>
      </c>
      <c r="I30" s="20" t="str">
        <f aca="false">IF(B30="","",IF(ISNUMBER(MATCH(A30,'4. Base Mestre (845 Produtos)'!$A$4:$A$848,0)),"Localizado por Código ("&amp;A30&amp;") na Base Mestre",IF(ISNUMBER(MATCH(B30,'4. Base Mestre (845 Produtos)'!$B$4:$B$848,0)),"Localizado por Descrição na Base Mestre",IF(ISNUMBER(MATCH(D30,'3. Dicionario Principios Ativos'!$A$4:$A$245,0)),"Produto Novo — Validado pelo Dicionário de P.A.","Não Localizado — Revisar Código/P.A."))))</f>
        <v>Localizado por Código (517) na Base Mestre</v>
      </c>
      <c r="J30" s="20" t="str">
        <f aca="false">IF(B30="","",IF(IF(ISNUMBER(MATCH(A30,'4.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Produtos)'!$I$4:$I$848,IF(ISNUMBER(MATCH(A30,'4. Base Mestre (845 Produtos)'!$A$4:$A$848,0)),MATCH(A30,'4. Base Mestre (845 Produtos)'!$A$4:$A$848,0),IF(ISNUMBER(MATCH(B30,'4. Base Mestre (845 Produtos)'!$B$4:$B$848,0)),MATCH(B30,'4. Base Mestre (845 Produtos)'!$B$4:$B$848,0),0))),IF(ISNUMBER(MATCH(D30,'3. Dicionario Principios Ativos'!$A$4:$A$245,0)),INDEX('3. Dicionario Principios Ativos'!$B$4:$B$245,MATCH(D30,'3. Dicionario Principios Ativos'!$A$4:$A$245,0)),"Revisar Classificação")))</f>
        <v>Defensivos — Inseticida</v>
      </c>
      <c r="K30" s="21" t="n">
        <f aca="false">IF(B30="","",IF(G30&lt;&gt;"",G30,IF(OR(ISNUMBER(SEARCH("PRINCIPIO ATIVO",B30)),ISNUMBER(SEARCH("PRINC. ATIVO",B30)),ISNUMBER(SEARCH("PR. ATIVO",B30)),ISNUMBER(SEARCH("PR.AT.",B30)),ISNUMBER(SEARCH("(P.A",B30)),ISNUMBER(SEARCH("(P. A",B30))),0,IF(OR(ISNUMBER(SEARCH("0,100KG",B30)),ISNUMBER(SEARCH("0,1KG",B30)),ISNUMBER(SEARCH("0,100L",B30))),0.1,IF(OR(ISNUMBER(SEARCH("0,200L",B30)),ISNUMBER(SEARCH("0,2L",B30)),ISNUMBER(SEARCH("0,200KG",B30)),ISNUMBER(SEARCH("0,2KG",B30))),0.2,IF(OR(ISNUMBER(SEARCH("0,240KG",B30)),ISNUMBER(SEARCH("0,250L",B30))),0.24,IF(OR(ISNUMBER(SEARCH("0,300KG",B30)),ISNUMBER(SEARCH("0,3KG",B30))),0.3,IF(OR(ISNUMBER(SEARCH("0,500L",B30)),ISNUMBER(SEARCH("0,5L",B30)),ISNUMBER(SEARCH("0,5KG",B30))),0.5,IF(ISNUMBER(SEARCH("0,8KG",B30)),0.8,IF(OR(ISNUMBER(SEARCH("1,5L",B30)),ISNUMBER(SEARCH("1,5KG",B30))),1.5,IF(OR(ISNUMBER(SEARCH("1,75L",B30)),ISNUMBER(SEARCH("1,8L",B30)),ISNUMBER(SEARCH("1.8L",B30))),1.8,IF(ISNUMBER(SEARCH("4,5KG",B30)),4.5,IF(ISNUMBER(SEARCH("7,5KG",B30)),7.5,IF(OR(ISNUMBER(SEARCH("1000L",B30)),ISNUMBER(SEARCH("1000KG",B30)),ISNUMBER(SEARCH("1.000KG",B30)),ISNUMBER(SEARCH("1.000L",B30)),ISNUMBER(SEARCH("1000 KG",B30)),ISNUMBER(SEARCH("GRANEL",B30)),ISNUMBER(SEARCH("(TON)",B30))),1000,IF(ISNUMBER(SEARCH("200L",B30)),200,IF(OR(ISNUMBER(SEARCH("25KG",B30)),ISNUMBER(SEARCH("25L",B30))),25,IF(OR(ISNUMBER(SEARCH("20L",B30)),ISNUMBER(SEARCH("20KG",B30))),20,IF(ISNUMBER(SEARCH("15KG",B30)),15,IF(OR(ISNUMBER(SEARCH("10L",B30)),ISNUMBER(SEARCH("10KG",B30))),10,IF(OR(ISNUMBER(SEARCH("5L",B30)),ISNUMBER(SEARCH("5KG",B30)),ISNUMBER(SEARCH("5LT",B30))),5,IF(OR(ISNUMBER(SEARCH("3KG",B30)),ISNUMBER(SEARCH("3L",B30))),3,IF(OR(ISNUMBER(SEARCH("2L",B30)),ISNUMBER(SEARCH("2KG",B30))),2,IF(OR(ISNUMBER(SEARCH("1L",B30)),ISNUMBER(SEARCH("1KG",B30)),ISNUMBER(SEARCH("1LT",B30))),1,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Produtos)'!$D$4:$D$848,IF(ISNUMBER(MATCH(A30,'4. Base Mestre (845 Produtos)'!$A$4:$A$848,0)),MATCH(A30,'4. Base Mestre (845 Produtos)'!$A$4:$A$848,0),IF(ISNUMBER(MATCH(B30,'4. Base Mestre (845 Produtos)'!$B$4:$B$848,0)),MATCH(B30,'4. Base Mestre (845 Produtos)'!$B$4:$B$848,0),0))),1))))))))))))))))))))))))</f>
        <v>5</v>
      </c>
      <c r="L30" s="22" t="str">
        <f aca="false">IF(B30="","",IF(OR(ISNUMBER(SEARCH("KG",B30)),ISNUMBER(SEARCH("GR",B30))),"KG",IF(OR(ISNUMBER(SEARCH("0,200L",B30)),ISNUMBER(SEARCH("0,2L",B30)),ISNUMBER(SEARCH("0,5L",B30)),ISNUMBER(SEARCH("1,5L",B30)),ISNUMBER(SEARCH("1,8L",B30)),ISNUMBER(SEARCH("1.8L",B30)),ISNUMBER(SEARCH("1L",B30)),ISNUMBER(SEARCH("2L",B30)),ISNUMBER(SEARCH("3L",B30)),ISNUMBER(SEARCH("5L",B30)),ISNUMBER(SEARCH("10L",B30)),ISNUMBER(SEARCH("20L",B30)),ISNUMBER(SEARCH("25L",B30)),ISNUMBER(SEARCH("200L",B30)),ISNUMBER(SEARCH("1000L",B30)),ISNUMBER(SEARCH("LT",B30))),"L",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Produtos)'!$E$4:$E$848,IF(ISNUMBER(MATCH(A30,'4. Base Mestre (845 Produtos)'!$A$4:$A$848,0)),MATCH(A30,'4. Base Mestre (845 Produtos)'!$A$4:$A$848,0),IF(ISNUMBER(MATCH(B30,'4. Base Mestre (845 Produtos)'!$B$4:$B$848,0)),MATCH(B30,'4. Base Mestre (845 Produtos)'!$B$4:$B$848,0),0))),C30))))</f>
        <v>L</v>
      </c>
      <c r="M30" s="20" t="str">
        <f aca="false">IF(B30="","",IF(C30=L30,"CONFORME — Unidade ("&amp;C30&amp;") compatível c/ Embalagem","DIVERGENTE — Embalagem em "&amp;L30&amp;", mas cadastrado em "&amp;C30))</f>
        <v>CONFORME — Unidade (L) compatível c/ Embalagem</v>
      </c>
      <c r="N30" s="20" t="str">
        <f aca="false">IF(B30="","",IF(K30=0,"Granel / Produto Técnico (Sem Embalagem Comercial)",IF(K30&lt;=0.3001,"Faixa 1 TIPI: Até 300g/mL (3808.61.00 / 3105.10.00)",IF(K30&lt;=7.5001,"Faixa 2 TIPI: De 300g a 7,5kg/L (3808.62.90 / 3105.10.00)",IF(K30&lt;=10.0001,"Faixa 3 TIPI: De 7,5kg a 10kg/L (3808.69.90 / 3105.10.00)","Faixa 4 TIPI: Acima de 10kg/L (3808.69.90 / Cap. 31 Geral)")))))</f>
        <v>Faixa 2 TIPI: De 300g a 7,5kg/L (3808.62.90 / 3105.10.00)</v>
      </c>
      <c r="O30" s="23" t="str">
        <f aca="false">IF(B30="","",IF(IF(ISNUMBER(MATCH(A30,'4.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Produtos)'!$H$4:$H$848,IF(ISNUMBER(MATCH(A30,'4. Base Mestre (845 Produtos)'!$A$4:$A$848,0)),MATCH(A30,'4. Base Mestre (845 Produtos)'!$A$4:$A$848,0),IF(ISNUMBER(MATCH(B30,'4. Base Mestre (845 Produtos)'!$B$4:$B$848,0)),MATCH(B30,'4. Base Mestre (845 Produtos)'!$B$4:$B$848,0),0))),IF(ISNUMBER(MATCH(D30,'3. Dicionario Principios Ativos'!$A$4:$A$245,0)),INDEX('3. Dicionario Principios Ativos'!$A$4:$A$245,MATCH(D30,'3. Dicionario Principios Ativos'!$A$4:$A$245,0)),D30)))</f>
        <v>LAMBDA-CIALOTRINA 250</v>
      </c>
      <c r="P30" s="20" t="str">
        <f aca="false">IF(B30="","",IF(D30=O30,"CONFORME — Princípio Ativo Validado","DIVERGENTE — Substituir por: "&amp;O30))</f>
        <v>DIVERGENTE — Substituir por: LAMBDA-CIALOTRINA 250</v>
      </c>
      <c r="Q30" s="24" t="str">
        <f aca="false">IF(B30="","",IF(IF(IF(ISNUMBER(MATCH(A30,'4.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Produtos)'!$J$4:$J$848,IF(ISNUMBER(MATCH(A30,'4. Base Mestre (845 Produtos)'!$A$4:$A$848,0)),MATCH(A30,'4. Base Mestre (845 Produtos)'!$A$4:$A$848,0),IF(ISNUMBER(MATCH(B30,'4. Base Mestre (845 Produtos)'!$B$4:$B$848,0)),MATCH(B30,'4. Base Mestre (845 Produtos)'!$B$4:$B$848,0),0)))="SIM",IF(ISNUMBER(MATCH(D30,'3. Dicionario Principios Ativos'!$A$4:$A$245,0)),INDEX('3. Dicionario Principios Ativos'!$C$4:$C$245,MATCH(D30,'3. Dicionario Principios Ativos'!$A$4:$A$245,0))="SIM",FALSE())),IF(AND(K30&gt;0,K30&lt;=0.3001),"3808.61.00",IF(AND(K30&gt;0.3001,K30&lt;=7.5001),"3808.62.90","3808.69.90")),IF(AND(LEFT(IF(IF(ISNUMBER(MATCH(A30,'4.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Produtos)'!$L$4:$L$848,IF(ISNUMBER(MATCH(A30,'4. Base Mestre (845 Produtos)'!$A$4:$A$848,0)),MATCH(A30,'4. Base Mestre (845 Produtos)'!$A$4:$A$848,0),IF(ISNUMBER(MATCH(B30,'4. Base Mestre (845 Produtos)'!$B$4:$B$848,0)),MATCH(B30,'4. Base Mestre (845 Produtos)'!$B$4:$B$848,0),0))),IF(ISNUMBER(MATCH(D30,'3. Dicionario Principios Ativos'!$A$4:$A$245,0)),INDEX('3. Dicionario Principios Ativos'!$D$4:$D$245,MATCH(D30,'3. Dicionario Principios Ativos'!$A$4:$A$245,0)),E30)),2)="31",E30="3105.10.00",K30&gt;0,K30&lt;=10.0001),"3105.10.00",IF(AND(IF(IF(ISNUMBER(MATCH(A30,'4.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Produtos)'!$L$4:$L$848,IF(ISNUMBER(MATCH(A30,'4. Base Mestre (845 Produtos)'!$A$4:$A$848,0)),MATCH(A30,'4. Base Mestre (845 Produtos)'!$A$4:$A$848,0),IF(ISNUMBER(MATCH(B30,'4. Base Mestre (845 Produtos)'!$B$4:$B$848,0)),MATCH(B30,'4. Base Mestre (845 Produtos)'!$B$4:$B$848,0),0))),IF(ISNUMBER(MATCH(D30,'3. Dicionario Principios Ativos'!$A$4:$A$245,0)),INDEX('3. Dicionario Principios Ativos'!$D$4:$D$245,MATCH(D30,'3. Dicionario Principios Ativos'!$A$4:$A$245,0)),E30))="3105.10.00",K30&gt;10.0001),"3105.90.90",IF(IF(ISNUMBER(MATCH(A30,'4.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Produtos)'!$L$4:$L$848,IF(ISNUMBER(MATCH(A30,'4. Base Mestre (845 Produtos)'!$A$4:$A$848,0)),MATCH(A30,'4. Base Mestre (845 Produtos)'!$A$4:$A$848,0),IF(ISNUMBER(MATCH(B30,'4. Base Mestre (845 Produtos)'!$B$4:$B$848,0)),MATCH(B30,'4. Base Mestre (845 Produtos)'!$B$4:$B$848,0),0))),IF(ISNUMBER(MATCH(D30,'3. Dicionario Principios Ativos'!$A$4:$A$245,0)),INDEX('3. Dicionario Principios Ativos'!$D$4:$D$245,MATCH(D30,'3. Dicionario Principios Ativos'!$A$4:$A$245,0)),E30))))))</f>
        <v>3808.62.90</v>
      </c>
      <c r="R30" s="20" t="str">
        <f aca="false">IF(B30="","",IF(OR(E30=Q30,AND(Q30="3002.49.99",E30="3002.90.00")),"CONFORME — NCM "&amp;E30&amp;" Correta na TIPI","DIVERGENTE — Substituir "&amp;E30&amp;" por "&amp;Q30))</f>
        <v>DIVERGENTE — Substituir 3808.69.90 por 3808.62.90</v>
      </c>
      <c r="S30" s="20" t="str">
        <f aca="false">IF(B30="","",IF(AND(E30="3808.61.00",OR(K30&gt;0.3001,K30=0)),"INCOMPATÍVEL — NCM 3808.61.00 exige emb. &lt;= 0,3kg/L (Emb. atual: "&amp;K30&amp;" "&amp;L30&amp;" -&gt; usar "&amp;Q30&amp;")",IF(AND(LEFT(E30,7)="3808.62",OR(K30&lt;=0.3001,K30&gt;7.5001)),"INCOMPATÍVEL — NCM 3808.62 exige emb. de 0,3 a 7,5kg/L (Emb. atual: "&amp;K30&amp;" "&amp;L30&amp;" -&gt; usar "&amp;Q30&amp;")",IF(AND(LEFT(E30,7)="3808.69",K30&gt;0,K30&lt;=7.5001),"INCOMPATÍVEL — NCM 3808.69 exige emb. &gt; 7,5kg/L (Emb. atual: "&amp;K30&amp;" "&amp;L30&amp;" -&gt; usar "&amp;Q30&amp;")",IF(AND(LEFT(Q30,6)="3808.6",LEFT(E30,6)&lt;&gt;"3808.6"),"INCOMPATÍVEL — Molécula Nota Subpos. 2 c/ emb. "&amp;K30&amp;" "&amp;L30&amp;" exige NCM "&amp;Q30,IF(AND(OR(E30="3808.91.19",E30="3808.92.19",E30="3808.93.19",E30="3808.99.19"),K30&gt;=1),"INCOMPATÍVEL — Subitem .19 (Domissanitário) vedado p/ emb. agrícola de "&amp;K30&amp;" "&amp;L30,IF(AND(E30="3105.10.00",K30&gt;10.0001),"INCOMPATÍVEL — NCM 3105.10.00 exige peso bruto &lt;= 10kg (Emb. atual: "&amp;K30&amp;" "&amp;L30&amp;" -&gt; usar 3105.90.90)",IF(AND(LEFT(E30,2)="29",LEFT(Q30,4)="3808",K30&gt;0),"INCOMPATÍVEL — Produto formulado em emb. comercial ("&amp;K30&amp;" "&amp;L30&amp;") vedado no Cap. 29 -&gt; usar "&amp;Q30,"CONFORME — Embalagem ("&amp;K30&amp;" "&amp;L30&amp;") compatível c/ a NCM"))))))))</f>
        <v>INCOMPATÍVEL — NCM 3808.69 exige emb. &gt; 7,5kg/L (Emb. atual: 5 L -&gt; usar 3808.62.90)</v>
      </c>
      <c r="T30" s="24" t="n">
        <f aca="false">IF(B30="","",IF(IF(ISNUMBER(MATCH(A30,'4.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Produtos)'!$P$4:$P$848,IF(ISNUMBER(MATCH(A30,'4. Base Mestre (845 Produtos)'!$A$4:$A$848,0)),MATCH(A30,'4. Base Mestre (845 Produtos)'!$A$4:$A$848,0),IF(ISNUMBER(MATCH(B30,'4. Base Mestre (845 Produtos)'!$B$4:$B$848,0)),MATCH(B30,'4. Base Mestre (845 Produtos)'!$B$4:$B$848,0),0))),IF(ISNUMBER(MATCH(D30,'3. Dicionario Principios Ativos'!$A$4:$A$245,0)),INDEX('3. Dicionario Principios Ativos'!$K$4:$K$245,MATCH(D30,'3. Dicionario Principios Ativos'!$A$4:$A$245,0)),"VERIFICAR BULA")))</f>
        <v>2020</v>
      </c>
      <c r="U30" s="20" t="str">
        <f aca="false">IF(B30="","",IF(ISNUMBER(SEARCH("ISENTO",T30)),IF(OR(F30=0,F30="0",F30="ISENTO",F30=""),"CONFORME (DISPENSADO) — Isento pelo Ato SDA/MAPA nº 104/2017","INCORRETO — Produto isento de registro MAPA (usar 0 ou ISENTO)"),IF(ISNUMBER(SEARCH("SIPEAGRO",T30)),IF(ISNUMBER(SEARCH("-",F30)),"CONFORME — Registro SIPEAGRO ("&amp;F30&amp;") Preenchido","ADEQUAR P/ SIPEAGRO — Substituir 0 pelo Registro (UF-XXXXX-XXXXX.X)"),IF(ISNUMBER(SEARCH("VINCULAR",T30)),IF(AND(F30&lt;&gt;0,F30&lt;&gt;"0",F30&lt;&gt;""),"INCORRETO / TROCADO — Código "&amp;F30&amp;" pertence a outro produto (Vincular bula da marca)","VINCULAR MARCA — Cadastro de P.A. s/ marca fixa (Vincular registro na NF-e)"),IF(OR(F30=0,F30="0",F30=""),"AUSENTE (ZERO) — Preencher Registro Oficial MAPA nº "&amp;T30,IF(TEXT(F30,"0")=TEXT(T30,"0"),"CONFORME — Registro MAPA nº "&amp;T30&amp;" Validado na Bula","INCORRETO / TROCADO — Substituir "&amp;F30&amp;" pelo Registro Oficial nº "&amp;T30))))))</f>
        <v>CONFORME — Registro MAPA nº 2020 Validado na Bula</v>
      </c>
      <c r="V30" s="20" t="str">
        <f aca="false">IF(B30="","",IF(IF(ISNUMBER(MATCH(A30,'4.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Produtos)'!$S$4:$S$848,IF(ISNUMBER(MATCH(A30,'4. Base Mestre (845 Produtos)'!$A$4:$A$848,0)),MATCH(A30,'4. Base Mestre (845 Produtos)'!$A$4:$A$848,0),IF(ISNUMBER(MATCH(B30,'4. Base Mestre (845 Produtos)'!$B$4:$B$848,0)),MATCH(B30,'4. Base Mestre (845 Produtos)'!$B$4:$B$848,0),0))),IF(ISNUMBER(MATCH(D30,'3. Dicionario Principios Ativos'!$A$4:$A$245,0)),INDEX('3. Dicionario Principios Ativos'!$L$4:$L$245,MATCH(D30,'3. Dicionario Principios Ativos'!$A$4:$A$245,0)),"Verificar NCM")))</f>
        <v>Beneficiado (Lei 10.925/04): 0% até Mar/26 | 0,925% Real / 0,365% Pres. pós-Abr/26 (LC 224/25)</v>
      </c>
      <c r="W30" s="20" t="str">
        <f aca="false">IF(B30="","",IF(IF(ISNUMBER(MATCH(A30,'4. Base Mestre (845 Produtos)'!$A$4:$A$848,0)),MATCH(A30,'4. Base Mestre (845 Produtos)'!$A$4:$A$848,0),IF(ISNUMBER(MATCH(B30,'4. Base Mestre (845 Produtos)'!$B$4:$B$848,0)),MATCH(B30,'4. Base Mestre (845 Produtos)'!$B$4:$B$848,0),0))&gt;0,INDEX('4. Base Mestre (845 Produtos)'!$T$4:$T$848,IF(ISNUMBER(MATCH(A30,'4. Base Mestre (845 Produtos)'!$A$4:$A$848,0)),MATCH(A30,'4. Base Mestre (845 Produtos)'!$A$4:$A$848,0),IF(ISNUMBER(MATCH(B30,'4. Base Mestre (845 Produtos)'!$B$4:$B$848,0)),MATCH(B30,'4. Base Mestre (845 Produtos)'!$B$4:$B$848,0),0))),IF(ISNUMBER(MATCH(D30,'3. Dicionario Principios Ativos'!$A$4:$A$245,0)),INDEX('3. Dicionario Principios Ativos'!$M$4:$M$245,MATCH(D30,'3. Dicionario Principios Ativos'!$A$4:$A$245,0)),"Verificar CST")))</f>
        <v>Saída: CST 06 (c/ Ajuste M220/M620 pós-Abr/26) | Entrada Revenda: CST 73</v>
      </c>
      <c r="X30" s="23" t="str">
        <f aca="false">IF(B30="","",IF(AND(LEFT(M30,8)="CONFORME",LEFT(P30,8)="CONFORME",LEFT(R30,8)="CONFORME",LEFT(S30,8)="CONFORME",LEFT(U30,8)="CONFORME"),"CADASTRO 100% CONFORME — LIBERADO P/ ERP",IF(AND(LEFT(M30,8)="CONFORME",LEFT(P30,8)="CONFORME",LEFT(R30,8)="CONFORME",LEFT(S30,8)="CONFORME",OR(LEFT(U30,7)="ADEQUAR",LEFT(U30,8)="VINCULAR")),"FISCAL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31" customFormat="false" ht="21.75" hidden="false" customHeight="true" outlineLevel="0" collapsed="false">
      <c r="A31" s="10" t="n">
        <v>309</v>
      </c>
      <c r="B31" s="11" t="s">
        <v>116</v>
      </c>
      <c r="C31" s="12" t="s">
        <v>63</v>
      </c>
      <c r="D31" s="13" t="s">
        <v>117</v>
      </c>
      <c r="E31" s="12" t="s">
        <v>118</v>
      </c>
      <c r="F31" s="12" t="s">
        <v>119</v>
      </c>
      <c r="G31" s="14"/>
      <c r="H31" s="13" t="s">
        <v>120</v>
      </c>
      <c r="I31" s="15" t="str">
        <f aca="false">IF(B31="","",IF(ISNUMBER(MATCH(A31,'4. Base Mestre (845 Produtos)'!$A$4:$A$848,0)),"Localizado por Código ("&amp;A31&amp;") na Base Mestre",IF(ISNUMBER(MATCH(B31,'4. Base Mestre (845 Produtos)'!$B$4:$B$848,0)),"Localizado por Descrição na Base Mestre",IF(ISNUMBER(MATCH(D31,'3. Dicionario Principios Ativos'!$A$4:$A$245,0)),"Produto Novo — Validado pelo Dicionário de P.A.","Não Localizado — Revisar Código/P.A."))))</f>
        <v>Localizado por Código (309) na Base Mestre</v>
      </c>
      <c r="J31" s="15" t="str">
        <f aca="false">IF(B31="","",IF(IF(ISNUMBER(MATCH(A31,'4.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Produtos)'!$I$4:$I$848,IF(ISNUMBER(MATCH(A31,'4. Base Mestre (845 Produtos)'!$A$4:$A$848,0)),MATCH(A31,'4. Base Mestre (845 Produtos)'!$A$4:$A$848,0),IF(ISNUMBER(MATCH(B31,'4. Base Mestre (845 Produtos)'!$B$4:$B$848,0)),MATCH(B31,'4. Base Mestre (845 Produtos)'!$B$4:$B$848,0),0))),IF(ISNUMBER(MATCH(D31,'3. Dicionario Principios Ativos'!$A$4:$A$245,0)),INDEX('3. Dicionario Principios Ativos'!$B$4:$B$245,MATCH(D31,'3. Dicionario Principios Ativos'!$A$4:$A$245,0)),"Revisar Classificação")))</f>
        <v>Fertilizantes — Fertilizante Foliar / Micronutrientes</v>
      </c>
      <c r="K31" s="16" t="n">
        <f aca="false">IF(B31="","",IF(G31&lt;&gt;"",G31,IF(OR(ISNUMBER(SEARCH("PRINCIPIO ATIVO",B31)),ISNUMBER(SEARCH("PRINC. ATIVO",B31)),ISNUMBER(SEARCH("PR. ATIVO",B31)),ISNUMBER(SEARCH("PR.AT.",B31)),ISNUMBER(SEARCH("(P.A",B31)),ISNUMBER(SEARCH("(P. A",B31))),0,IF(OR(ISNUMBER(SEARCH("0,100KG",B31)),ISNUMBER(SEARCH("0,1KG",B31)),ISNUMBER(SEARCH("0,100L",B31))),0.1,IF(OR(ISNUMBER(SEARCH("0,200L",B31)),ISNUMBER(SEARCH("0,2L",B31)),ISNUMBER(SEARCH("0,200KG",B31)),ISNUMBER(SEARCH("0,2KG",B31))),0.2,IF(OR(ISNUMBER(SEARCH("0,240KG",B31)),ISNUMBER(SEARCH("0,250L",B31))),0.24,IF(OR(ISNUMBER(SEARCH("0,300KG",B31)),ISNUMBER(SEARCH("0,3KG",B31))),0.3,IF(OR(ISNUMBER(SEARCH("0,500L",B31)),ISNUMBER(SEARCH("0,5L",B31)),ISNUMBER(SEARCH("0,5KG",B31))),0.5,IF(ISNUMBER(SEARCH("0,8KG",B31)),0.8,IF(OR(ISNUMBER(SEARCH("1,5L",B31)),ISNUMBER(SEARCH("1,5KG",B31))),1.5,IF(OR(ISNUMBER(SEARCH("1,75L",B31)),ISNUMBER(SEARCH("1,8L",B31)),ISNUMBER(SEARCH("1.8L",B31))),1.8,IF(ISNUMBER(SEARCH("4,5KG",B31)),4.5,IF(ISNUMBER(SEARCH("7,5KG",B31)),7.5,IF(OR(ISNUMBER(SEARCH("1000L",B31)),ISNUMBER(SEARCH("1000KG",B31)),ISNUMBER(SEARCH("1.000KG",B31)),ISNUMBER(SEARCH("1.000L",B31)),ISNUMBER(SEARCH("1000 KG",B31)),ISNUMBER(SEARCH("GRANEL",B31)),ISNUMBER(SEARCH("(TON)",B31))),1000,IF(ISNUMBER(SEARCH("200L",B31)),200,IF(OR(ISNUMBER(SEARCH("25KG",B31)),ISNUMBER(SEARCH("25L",B31))),25,IF(OR(ISNUMBER(SEARCH("20L",B31)),ISNUMBER(SEARCH("20KG",B31))),20,IF(ISNUMBER(SEARCH("15KG",B31)),15,IF(OR(ISNUMBER(SEARCH("10L",B31)),ISNUMBER(SEARCH("10KG",B31))),10,IF(OR(ISNUMBER(SEARCH("5L",B31)),ISNUMBER(SEARCH("5KG",B31)),ISNUMBER(SEARCH("5LT",B31))),5,IF(OR(ISNUMBER(SEARCH("3KG",B31)),ISNUMBER(SEARCH("3L",B31))),3,IF(OR(ISNUMBER(SEARCH("2L",B31)),ISNUMBER(SEARCH("2KG",B31))),2,IF(OR(ISNUMBER(SEARCH("1L",B31)),ISNUMBER(SEARCH("1KG",B31)),ISNUMBER(SEARCH("1LT",B31))),1,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Produtos)'!$D$4:$D$848,IF(ISNUMBER(MATCH(A31,'4. Base Mestre (845 Produtos)'!$A$4:$A$848,0)),MATCH(A31,'4. Base Mestre (845 Produtos)'!$A$4:$A$848,0),IF(ISNUMBER(MATCH(B31,'4. Base Mestre (845 Produtos)'!$B$4:$B$848,0)),MATCH(B31,'4. Base Mestre (845 Produtos)'!$B$4:$B$848,0),0))),1))))))))))))))))))))))))</f>
        <v>1</v>
      </c>
      <c r="L31" s="17" t="str">
        <f aca="false">IF(B31="","",IF(OR(ISNUMBER(SEARCH("KG",B31)),ISNUMBER(SEARCH("GR",B31))),"KG",IF(OR(ISNUMBER(SEARCH("0,200L",B31)),ISNUMBER(SEARCH("0,2L",B31)),ISNUMBER(SEARCH("0,5L",B31)),ISNUMBER(SEARCH("1,5L",B31)),ISNUMBER(SEARCH("1,8L",B31)),ISNUMBER(SEARCH("1.8L",B31)),ISNUMBER(SEARCH("1L",B31)),ISNUMBER(SEARCH("2L",B31)),ISNUMBER(SEARCH("3L",B31)),ISNUMBER(SEARCH("5L",B31)),ISNUMBER(SEARCH("10L",B31)),ISNUMBER(SEARCH("20L",B31)),ISNUMBER(SEARCH("25L",B31)),ISNUMBER(SEARCH("200L",B31)),ISNUMBER(SEARCH("1000L",B31)),ISNUMBER(SEARCH("LT",B31))),"L",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Produtos)'!$E$4:$E$848,IF(ISNUMBER(MATCH(A31,'4. Base Mestre (845 Produtos)'!$A$4:$A$848,0)),MATCH(A31,'4. Base Mestre (845 Produtos)'!$A$4:$A$848,0),IF(ISNUMBER(MATCH(B31,'4. Base Mestre (845 Produtos)'!$B$4:$B$848,0)),MATCH(B31,'4. Base Mestre (845 Produtos)'!$B$4:$B$848,0),0))),C31))))</f>
        <v>KG</v>
      </c>
      <c r="M31" s="15" t="str">
        <f aca="false">IF(B31="","",IF(C31=L31,"CONFORME — Unidade ("&amp;C31&amp;") compatível c/ Embalagem","DIVERGENTE — Embalagem em "&amp;L31&amp;", mas cadastrado em "&amp;C31))</f>
        <v>CONFORME — Unidade (KG) compatível c/ Embalagem</v>
      </c>
      <c r="N31" s="15" t="str">
        <f aca="false">IF(B31="","",IF(K31=0,"Granel / Produto Técnico (Sem Embalagem Comercial)",IF(K31&lt;=0.3001,"Faixa 1 TIPI: Até 300g/mL (3808.61.00 / 3105.10.00)",IF(K31&lt;=7.5001,"Faixa 2 TIPI: De 300g a 7,5kg/L (3808.62.90 / 3105.10.00)",IF(K31&lt;=10.0001,"Faixa 3 TIPI: De 7,5kg a 10kg/L (3808.69.90 / 3105.10.00)","Faixa 4 TIPI: Acima de 10kg/L (3808.69.90 / Cap. 31 Geral)")))))</f>
        <v>Faixa 2 TIPI: De 300g a 7,5kg/L (3808.62.90 / 3105.10.00)</v>
      </c>
      <c r="O31" s="18" t="str">
        <f aca="false">IF(B31="","",IF(IF(ISNUMBER(MATCH(A31,'4.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Produtos)'!$H$4:$H$848,IF(ISNUMBER(MATCH(A31,'4. Base Mestre (845 Produtos)'!$A$4:$A$848,0)),MATCH(A31,'4. Base Mestre (845 Produtos)'!$A$4:$A$848,0),IF(ISNUMBER(MATCH(B31,'4. Base Mestre (845 Produtos)'!$B$4:$B$848,0)),MATCH(B31,'4. Base Mestre (845 Produtos)'!$B$4:$B$848,0),0))),IF(ISNUMBER(MATCH(D31,'3. Dicionario Principios Ativos'!$A$4:$A$245,0)),INDEX('3. Dicionario Principios Ativos'!$A$4:$A$245,MATCH(D31,'3. Dicionario Principios Ativos'!$A$4:$A$245,0)),D31)))</f>
        <v>COMPOSTO ORGANOMINERAL / AMINOACIDOS E MICRONUTRIENTES</v>
      </c>
      <c r="P31" s="15" t="str">
        <f aca="false">IF(B31="","",IF(D31=O31,"CONFORME — Princípio Ativo Validado","DIVERGENTE — Substituir por: "&amp;O31))</f>
        <v>DIVERGENTE — Substituir por: COMPOSTO ORGANOMINERAL / AMINOACIDOS E MICRONUTRIENTES</v>
      </c>
      <c r="Q31" s="19" t="str">
        <f aca="false">IF(B31="","",IF(IF(IF(ISNUMBER(MATCH(A31,'4.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Produtos)'!$J$4:$J$848,IF(ISNUMBER(MATCH(A31,'4. Base Mestre (845 Produtos)'!$A$4:$A$848,0)),MATCH(A31,'4. Base Mestre (845 Produtos)'!$A$4:$A$848,0),IF(ISNUMBER(MATCH(B31,'4. Base Mestre (845 Produtos)'!$B$4:$B$848,0)),MATCH(B31,'4. Base Mestre (845 Produtos)'!$B$4:$B$848,0),0)))="SIM",IF(ISNUMBER(MATCH(D31,'3. Dicionario Principios Ativos'!$A$4:$A$245,0)),INDEX('3. Dicionario Principios Ativos'!$C$4:$C$245,MATCH(D31,'3. Dicionario Principios Ativos'!$A$4:$A$245,0))="SIM",FALSE())),IF(AND(K31&gt;0,K31&lt;=0.3001),"3808.61.00",IF(AND(K31&gt;0.3001,K31&lt;=7.5001),"3808.62.90","3808.69.90")),IF(AND(LEFT(IF(IF(ISNUMBER(MATCH(A31,'4.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Produtos)'!$L$4:$L$848,IF(ISNUMBER(MATCH(A31,'4. Base Mestre (845 Produtos)'!$A$4:$A$848,0)),MATCH(A31,'4. Base Mestre (845 Produtos)'!$A$4:$A$848,0),IF(ISNUMBER(MATCH(B31,'4. Base Mestre (845 Produtos)'!$B$4:$B$848,0)),MATCH(B31,'4. Base Mestre (845 Produtos)'!$B$4:$B$848,0),0))),IF(ISNUMBER(MATCH(D31,'3. Dicionario Principios Ativos'!$A$4:$A$245,0)),INDEX('3. Dicionario Principios Ativos'!$D$4:$D$245,MATCH(D31,'3. Dicionario Principios Ativos'!$A$4:$A$245,0)),E31)),2)="31",E31="3105.10.00",K31&gt;0,K31&lt;=10.0001),"3105.10.00",IF(AND(IF(IF(ISNUMBER(MATCH(A31,'4.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Produtos)'!$L$4:$L$848,IF(ISNUMBER(MATCH(A31,'4. Base Mestre (845 Produtos)'!$A$4:$A$848,0)),MATCH(A31,'4. Base Mestre (845 Produtos)'!$A$4:$A$848,0),IF(ISNUMBER(MATCH(B31,'4. Base Mestre (845 Produtos)'!$B$4:$B$848,0)),MATCH(B31,'4. Base Mestre (845 Produtos)'!$B$4:$B$848,0),0))),IF(ISNUMBER(MATCH(D31,'3. Dicionario Principios Ativos'!$A$4:$A$245,0)),INDEX('3. Dicionario Principios Ativos'!$D$4:$D$245,MATCH(D31,'3. Dicionario Principios Ativos'!$A$4:$A$245,0)),E31))="3105.10.00",K31&gt;10.0001),"3105.90.90",IF(IF(ISNUMBER(MATCH(A31,'4.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Produtos)'!$L$4:$L$848,IF(ISNUMBER(MATCH(A31,'4. Base Mestre (845 Produtos)'!$A$4:$A$848,0)),MATCH(A31,'4. Base Mestre (845 Produtos)'!$A$4:$A$848,0),IF(ISNUMBER(MATCH(B31,'4. Base Mestre (845 Produtos)'!$B$4:$B$848,0)),MATCH(B31,'4. Base Mestre (845 Produtos)'!$B$4:$B$848,0),0))),IF(ISNUMBER(MATCH(D31,'3. Dicionario Principios Ativos'!$A$4:$A$245,0)),INDEX('3. Dicionario Principios Ativos'!$D$4:$D$245,MATCH(D31,'3. Dicionario Principios Ativos'!$A$4:$A$245,0)),E31))))))</f>
        <v>3101.00.00</v>
      </c>
      <c r="R31" s="15" t="str">
        <f aca="false">IF(B31="","",IF(OR(E31=Q31,AND(Q31="3002.49.99",E31="3002.90.00")),"CONFORME — NCM "&amp;E31&amp;" Correta na TIPI","DIVERGENTE — Substituir "&amp;E31&amp;" por "&amp;Q31))</f>
        <v>CONFORME — NCM 3101.00.00 Correta na TIPI</v>
      </c>
      <c r="S31" s="15" t="str">
        <f aca="false">IF(B31="","",IF(AND(E31="3808.61.00",OR(K31&gt;0.3001,K31=0)),"INCOMPATÍVEL — NCM 3808.61.00 exige emb. &lt;= 0,3kg/L (Emb. atual: "&amp;K31&amp;" "&amp;L31&amp;" -&gt; usar "&amp;Q31&amp;")",IF(AND(LEFT(E31,7)="3808.62",OR(K31&lt;=0.3001,K31&gt;7.5001)),"INCOMPATÍVEL — NCM 3808.62 exige emb. de 0,3 a 7,5kg/L (Emb. atual: "&amp;K31&amp;" "&amp;L31&amp;" -&gt; usar "&amp;Q31&amp;")",IF(AND(LEFT(E31,7)="3808.69",K31&gt;0,K31&lt;=7.5001),"INCOMPATÍVEL — NCM 3808.69 exige emb. &gt; 7,5kg/L (Emb. atual: "&amp;K31&amp;" "&amp;L31&amp;" -&gt; usar "&amp;Q31&amp;")",IF(AND(LEFT(Q31,6)="3808.6",LEFT(E31,6)&lt;&gt;"3808.6"),"INCOMPATÍVEL — Molécula Nota Subpos. 2 c/ emb. "&amp;K31&amp;" "&amp;L31&amp;" exige NCM "&amp;Q31,IF(AND(OR(E31="3808.91.19",E31="3808.92.19",E31="3808.93.19",E31="3808.99.19"),K31&gt;=1),"INCOMPATÍVEL — Subitem .19 (Domissanitário) vedado p/ emb. agrícola de "&amp;K31&amp;" "&amp;L31,IF(AND(E31="3105.10.00",K31&gt;10.0001),"INCOMPATÍVEL — NCM 3105.10.00 exige peso bruto &lt;= 10kg (Emb. atual: "&amp;K31&amp;" "&amp;L31&amp;" -&gt; usar 3105.90.90)",IF(AND(LEFT(E31,2)="29",LEFT(Q31,4)="3808",K31&gt;0),"INCOMPATÍVEL — Produto formulado em emb. comercial ("&amp;K31&amp;" "&amp;L31&amp;") vedado no Cap. 29 -&gt; usar "&amp;Q31,"CONFORME — Embalagem ("&amp;K31&amp;" "&amp;L31&amp;") compatível c/ a NCM"))))))))</f>
        <v>CONFORME — Embalagem (1 KG) compatível c/ a NCM</v>
      </c>
      <c r="T31" s="19" t="str">
        <f aca="false">IF(B31="","",IF(IF(ISNUMBER(MATCH(A31,'4.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Produtos)'!$P$4:$P$848,IF(ISNUMBER(MATCH(A31,'4. Base Mestre (845 Produtos)'!$A$4:$A$848,0)),MATCH(A31,'4. Base Mestre (845 Produtos)'!$A$4:$A$848,0),IF(ISNUMBER(MATCH(B31,'4. Base Mestre (845 Produtos)'!$B$4:$B$848,0)),MATCH(B31,'4. Base Mestre (845 Produtos)'!$B$4:$B$848,0),0))),IF(ISNUMBER(MATCH(D31,'3. Dicionario Principios Ativos'!$A$4:$A$245,0)),INDEX('3. Dicionario Principios Ativos'!$K$4:$K$245,MATCH(D31,'3. Dicionario Principios Ativos'!$A$4:$A$245,0)),"VERIFICAR BULA")))</f>
        <v>SIPEAGRO (UF-XXXXX)</v>
      </c>
      <c r="U31" s="15" t="str">
        <f aca="false">IF(B31="","",IF(ISNUMBER(SEARCH("ISENTO",T31)),IF(OR(F31=0,F31="0",F31="ISENTO",F31=""),"CONFORME (DISPENSADO) — Isento pelo Ato SDA/MAPA nº 104/2017","INCORRETO — Produto isento de registro MAPA (usar 0 ou ISENTO)"),IF(ISNUMBER(SEARCH("SIPEAGRO",T31)),IF(ISNUMBER(SEARCH("-",F31)),"CONFORME — Registro SIPEAGRO ("&amp;F31&amp;") Preenchido","ADEQUAR P/ SIPEAGRO — Substituir 0 pelo Registro (UF-XXXXX-XXXXX.X)"),IF(ISNUMBER(SEARCH("VINCULAR",T31)),IF(AND(F31&lt;&gt;0,F31&lt;&gt;"0",F31&lt;&gt;""),"INCORRETO / TROCADO — Código "&amp;F31&amp;" pertence a outro produto (Vincular bula da marca)","VINCULAR MARCA — Cadastro de P.A. s/ marca fixa (Vincular registro na NF-e)"),IF(OR(F31=0,F31="0",F31=""),"AUSENTE (ZERO) — Preencher Registro Oficial MAPA nº "&amp;T31,IF(TEXT(F31,"0")=TEXT(T31,"0"),"CONFORME — Registro MAPA nº "&amp;T31&amp;" Validado na Bula","INCORRETO / TROCADO — Substituir "&amp;F31&amp;" pelo Registro Oficial nº "&amp;T31))))))</f>
        <v>CONFORME — Registro SIPEAGRO (SP-00812-10001.1) Preenchido</v>
      </c>
      <c r="V31" s="15" t="str">
        <f aca="false">IF(B31="","",IF(IF(ISNUMBER(MATCH(A31,'4.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Produtos)'!$S$4:$S$848,IF(ISNUMBER(MATCH(A31,'4. Base Mestre (845 Produtos)'!$A$4:$A$848,0)),MATCH(A31,'4. Base Mestre (845 Produtos)'!$A$4:$A$848,0),IF(ISNUMBER(MATCH(B31,'4. Base Mestre (845 Produtos)'!$B$4:$B$848,0)),MATCH(B31,'4. Base Mestre (845 Produtos)'!$B$4:$B$848,0),0))),IF(ISNUMBER(MATCH(D31,'3. Dicionario Principios Ativos'!$A$4:$A$245,0)),INDEX('3. Dicionario Principios Ativos'!$L$4:$L$245,MATCH(D31,'3. Dicionario Principios Ativos'!$A$4:$A$245,0)),"Verificar NCM")))</f>
        <v>Beneficiado (Lei 10.925/04): 0% até Mar/26 | 0,925% Real / 0,365% Pres. pós-Abr/26 (LC 224/25)</v>
      </c>
      <c r="W31" s="15" t="str">
        <f aca="false">IF(B31="","",IF(IF(ISNUMBER(MATCH(A31,'4. Base Mestre (845 Produtos)'!$A$4:$A$848,0)),MATCH(A31,'4. Base Mestre (845 Produtos)'!$A$4:$A$848,0),IF(ISNUMBER(MATCH(B31,'4. Base Mestre (845 Produtos)'!$B$4:$B$848,0)),MATCH(B31,'4. Base Mestre (845 Produtos)'!$B$4:$B$848,0),0))&gt;0,INDEX('4. Base Mestre (845 Produtos)'!$T$4:$T$848,IF(ISNUMBER(MATCH(A31,'4. Base Mestre (845 Produtos)'!$A$4:$A$848,0)),MATCH(A31,'4. Base Mestre (845 Produtos)'!$A$4:$A$848,0),IF(ISNUMBER(MATCH(B31,'4. Base Mestre (845 Produtos)'!$B$4:$B$848,0)),MATCH(B31,'4. Base Mestre (845 Produtos)'!$B$4:$B$848,0),0))),IF(ISNUMBER(MATCH(D31,'3. Dicionario Principios Ativos'!$A$4:$A$245,0)),INDEX('3. Dicionario Principios Ativos'!$M$4:$M$245,MATCH(D31,'3. Dicionario Principios Ativos'!$A$4:$A$245,0)),"Verificar CST")))</f>
        <v>Saída: CST 06 (c/ Ajuste M220/M620 pós-Abr/26) | Entrada Revenda: CST 73</v>
      </c>
      <c r="X31" s="18" t="str">
        <f aca="false">IF(B31="","",IF(AND(LEFT(M31,8)="CONFORME",LEFT(P31,8)="CONFORME",LEFT(R31,8)="CONFORME",LEFT(S31,8)="CONFORME",LEFT(U31,8)="CONFORME"),"CADASTRO 100% CONFORME — LIBERADO P/ ERP",IF(AND(LEFT(M31,8)="CONFORME",LEFT(P31,8)="CONFORME",LEFT(R31,8)="CONFORME",LEFT(S31,8)="CONFORME",OR(LEFT(U31,7)="ADEQUAR",LEFT(U31,8)="VINCULAR")),"FISCAL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32" customFormat="false" ht="21.75" hidden="false" customHeight="true" outlineLevel="0" collapsed="false">
      <c r="A32" s="10" t="n">
        <v>1934</v>
      </c>
      <c r="B32" s="11" t="s">
        <v>121</v>
      </c>
      <c r="C32" s="12" t="s">
        <v>63</v>
      </c>
      <c r="D32" s="13" t="s">
        <v>122</v>
      </c>
      <c r="E32" s="12" t="s">
        <v>123</v>
      </c>
      <c r="F32" s="12" t="s">
        <v>124</v>
      </c>
      <c r="G32" s="14"/>
      <c r="H32" s="13" t="s">
        <v>125</v>
      </c>
      <c r="I32" s="20" t="str">
        <f aca="false">IF(B32="","",IF(ISNUMBER(MATCH(A32,'4. Base Mestre (845 Produtos)'!$A$4:$A$848,0)),"Localizado por Código ("&amp;A32&amp;") na Base Mestre",IF(ISNUMBER(MATCH(B32,'4. Base Mestre (845 Produtos)'!$B$4:$B$848,0)),"Localizado por Descrição na Base Mestre",IF(ISNUMBER(MATCH(D32,'3. Dicionario Principios Ativos'!$A$4:$A$245,0)),"Produto Novo — Validado pelo Dicionário de P.A.","Não Localizado — Revisar Código/P.A."))))</f>
        <v>Localizado por Código (1934) na Base Mestre</v>
      </c>
      <c r="J32" s="20" t="str">
        <f aca="false">IF(B32="","",IF(IF(ISNUMBER(MATCH(A32,'4.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Produtos)'!$I$4:$I$848,IF(ISNUMBER(MATCH(A32,'4. Base Mestre (845 Produtos)'!$A$4:$A$848,0)),MATCH(A32,'4. Base Mestre (845 Produtos)'!$A$4:$A$848,0),IF(ISNUMBER(MATCH(B32,'4. Base Mestre (845 Produtos)'!$B$4:$B$848,0)),MATCH(B32,'4. Base Mestre (845 Produtos)'!$B$4:$B$848,0),0))),IF(ISNUMBER(MATCH(D32,'3. Dicionario Principios Ativos'!$A$4:$A$245,0)),INDEX('3. Dicionario Principios Ativos'!$B$4:$B$245,MATCH(D32,'3. Dicionario Principios Ativos'!$A$4:$A$245,0)),"Revisar Classificação")))</f>
        <v>Fertilizantes — Fertilizante Mineral Simples (Potássico / Magnesiano)</v>
      </c>
      <c r="K32" s="21" t="n">
        <f aca="false">IF(B32="","",IF(G32&lt;&gt;"",G32,IF(OR(ISNUMBER(SEARCH("PRINCIPIO ATIVO",B32)),ISNUMBER(SEARCH("PRINC. ATIVO",B32)),ISNUMBER(SEARCH("PR. ATIVO",B32)),ISNUMBER(SEARCH("PR.AT.",B32)),ISNUMBER(SEARCH("(P.A",B32)),ISNUMBER(SEARCH("(P. A",B32))),0,IF(OR(ISNUMBER(SEARCH("0,100KG",B32)),ISNUMBER(SEARCH("0,1KG",B32)),ISNUMBER(SEARCH("0,100L",B32))),0.1,IF(OR(ISNUMBER(SEARCH("0,200L",B32)),ISNUMBER(SEARCH("0,2L",B32)),ISNUMBER(SEARCH("0,200KG",B32)),ISNUMBER(SEARCH("0,2KG",B32))),0.2,IF(OR(ISNUMBER(SEARCH("0,240KG",B32)),ISNUMBER(SEARCH("0,250L",B32))),0.24,IF(OR(ISNUMBER(SEARCH("0,300KG",B32)),ISNUMBER(SEARCH("0,3KG",B32))),0.3,IF(OR(ISNUMBER(SEARCH("0,500L",B32)),ISNUMBER(SEARCH("0,5L",B32)),ISNUMBER(SEARCH("0,5KG",B32))),0.5,IF(ISNUMBER(SEARCH("0,8KG",B32)),0.8,IF(OR(ISNUMBER(SEARCH("1,5L",B32)),ISNUMBER(SEARCH("1,5KG",B32))),1.5,IF(OR(ISNUMBER(SEARCH("1,75L",B32)),ISNUMBER(SEARCH("1,8L",B32)),ISNUMBER(SEARCH("1.8L",B32))),1.8,IF(ISNUMBER(SEARCH("4,5KG",B32)),4.5,IF(ISNUMBER(SEARCH("7,5KG",B32)),7.5,IF(OR(ISNUMBER(SEARCH("1000L",B32)),ISNUMBER(SEARCH("1000KG",B32)),ISNUMBER(SEARCH("1.000KG",B32)),ISNUMBER(SEARCH("1.000L",B32)),ISNUMBER(SEARCH("1000 KG",B32)),ISNUMBER(SEARCH("GRANEL",B32)),ISNUMBER(SEARCH("(TON)",B32))),1000,IF(ISNUMBER(SEARCH("200L",B32)),200,IF(OR(ISNUMBER(SEARCH("25KG",B32)),ISNUMBER(SEARCH("25L",B32))),25,IF(OR(ISNUMBER(SEARCH("20L",B32)),ISNUMBER(SEARCH("20KG",B32))),20,IF(ISNUMBER(SEARCH("15KG",B32)),15,IF(OR(ISNUMBER(SEARCH("10L",B32)),ISNUMBER(SEARCH("10KG",B32))),10,IF(OR(ISNUMBER(SEARCH("5L",B32)),ISNUMBER(SEARCH("5KG",B32)),ISNUMBER(SEARCH("5LT",B32))),5,IF(OR(ISNUMBER(SEARCH("3KG",B32)),ISNUMBER(SEARCH("3L",B32))),3,IF(OR(ISNUMBER(SEARCH("2L",B32)),ISNUMBER(SEARCH("2KG",B32))),2,IF(OR(ISNUMBER(SEARCH("1L",B32)),ISNUMBER(SEARCH("1KG",B32)),ISNUMBER(SEARCH("1LT",B32))),1,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Produtos)'!$D$4:$D$848,IF(ISNUMBER(MATCH(A32,'4. Base Mestre (845 Produtos)'!$A$4:$A$848,0)),MATCH(A32,'4. Base Mestre (845 Produtos)'!$A$4:$A$848,0),IF(ISNUMBER(MATCH(B32,'4. Base Mestre (845 Produtos)'!$B$4:$B$848,0)),MATCH(B32,'4. Base Mestre (845 Produtos)'!$B$4:$B$848,0),0))),1))))))))))))))))))))))))</f>
        <v>25</v>
      </c>
      <c r="L32" s="22" t="str">
        <f aca="false">IF(B32="","",IF(OR(ISNUMBER(SEARCH("KG",B32)),ISNUMBER(SEARCH("GR",B32))),"KG",IF(OR(ISNUMBER(SEARCH("0,200L",B32)),ISNUMBER(SEARCH("0,2L",B32)),ISNUMBER(SEARCH("0,5L",B32)),ISNUMBER(SEARCH("1,5L",B32)),ISNUMBER(SEARCH("1,8L",B32)),ISNUMBER(SEARCH("1.8L",B32)),ISNUMBER(SEARCH("1L",B32)),ISNUMBER(SEARCH("2L",B32)),ISNUMBER(SEARCH("3L",B32)),ISNUMBER(SEARCH("5L",B32)),ISNUMBER(SEARCH("10L",B32)),ISNUMBER(SEARCH("20L",B32)),ISNUMBER(SEARCH("25L",B32)),ISNUMBER(SEARCH("200L",B32)),ISNUMBER(SEARCH("1000L",B32)),ISNUMBER(SEARCH("LT",B32))),"L",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Produtos)'!$E$4:$E$848,IF(ISNUMBER(MATCH(A32,'4. Base Mestre (845 Produtos)'!$A$4:$A$848,0)),MATCH(A32,'4. Base Mestre (845 Produtos)'!$A$4:$A$848,0),IF(ISNUMBER(MATCH(B32,'4. Base Mestre (845 Produtos)'!$B$4:$B$848,0)),MATCH(B32,'4. Base Mestre (845 Produtos)'!$B$4:$B$848,0),0))),C32))))</f>
        <v>KG</v>
      </c>
      <c r="M32" s="20" t="str">
        <f aca="false">IF(B32="","",IF(C32=L32,"CONFORME — Unidade ("&amp;C32&amp;") compatível c/ Embalagem","DIVERGENTE — Embalagem em "&amp;L32&amp;", mas cadastrado em "&amp;C32))</f>
        <v>CONFORME — Unidade (KG) compatível c/ Embalagem</v>
      </c>
      <c r="N32" s="20" t="str">
        <f aca="false">IF(B32="","",IF(K32=0,"Granel / Produto Técnico (Sem Embalagem Comercial)",IF(K32&lt;=0.3001,"Faixa 1 TIPI: Até 300g/mL (3808.61.00 / 3105.10.00)",IF(K32&lt;=7.5001,"Faixa 2 TIPI: De 300g a 7,5kg/L (3808.62.90 / 3105.10.00)",IF(K32&lt;=10.0001,"Faixa 3 TIPI: De 7,5kg a 10kg/L (3808.69.90 / 3105.10.00)","Faixa 4 TIPI: Acima de 10kg/L (3808.69.90 / Cap. 31 Geral)")))))</f>
        <v>Faixa 4 TIPI: Acima de 10kg/L (3808.69.90 / Cap. 31 Geral)</v>
      </c>
      <c r="O32" s="23" t="str">
        <f aca="false">IF(B32="","",IF(IF(ISNUMBER(MATCH(A32,'4.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Produtos)'!$H$4:$H$848,IF(ISNUMBER(MATCH(A32,'4. Base Mestre (845 Produtos)'!$A$4:$A$848,0)),MATCH(A32,'4. Base Mestre (845 Produtos)'!$A$4:$A$848,0),IF(ISNUMBER(MATCH(B32,'4. Base Mestre (845 Produtos)'!$B$4:$B$848,0)),MATCH(B32,'4. Base Mestre (845 Produtos)'!$B$4:$B$848,0),0))),IF(ISNUMBER(MATCH(D32,'3. Dicionario Principios Ativos'!$A$4:$A$245,0)),INDEX('3. Dicionario Principios Ativos'!$A$4:$A$245,MATCH(D32,'3. Dicionario Principios Ativos'!$A$4:$A$245,0)),D32)))</f>
        <v>SULFATO DE MAGNESIO (MG 16% + S 13%)</v>
      </c>
      <c r="P32" s="20" t="str">
        <f aca="false">IF(B32="","",IF(D32=O32,"CONFORME — Princípio Ativo Validado","DIVERGENTE — Substituir por: "&amp;O32))</f>
        <v>DIVERGENTE — Substituir por: SULFATO DE MAGNESIO (MG 16% + S 13%)</v>
      </c>
      <c r="Q32" s="24" t="str">
        <f aca="false">IF(B32="","",IF(IF(IF(ISNUMBER(MATCH(A32,'4.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Produtos)'!$J$4:$J$848,IF(ISNUMBER(MATCH(A32,'4. Base Mestre (845 Produtos)'!$A$4:$A$848,0)),MATCH(A32,'4. Base Mestre (845 Produtos)'!$A$4:$A$848,0),IF(ISNUMBER(MATCH(B32,'4. Base Mestre (845 Produtos)'!$B$4:$B$848,0)),MATCH(B32,'4. Base Mestre (845 Produtos)'!$B$4:$B$848,0),0)))="SIM",IF(ISNUMBER(MATCH(D32,'3. Dicionario Principios Ativos'!$A$4:$A$245,0)),INDEX('3. Dicionario Principios Ativos'!$C$4:$C$245,MATCH(D32,'3. Dicionario Principios Ativos'!$A$4:$A$245,0))="SIM",FALSE())),IF(AND(K32&gt;0,K32&lt;=0.3001),"3808.61.00",IF(AND(K32&gt;0.3001,K32&lt;=7.5001),"3808.62.90","3808.69.90")),IF(AND(LEFT(IF(IF(ISNUMBER(MATCH(A32,'4.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Produtos)'!$L$4:$L$848,IF(ISNUMBER(MATCH(A32,'4. Base Mestre (845 Produtos)'!$A$4:$A$848,0)),MATCH(A32,'4. Base Mestre (845 Produtos)'!$A$4:$A$848,0),IF(ISNUMBER(MATCH(B32,'4. Base Mestre (845 Produtos)'!$B$4:$B$848,0)),MATCH(B32,'4. Base Mestre (845 Produtos)'!$B$4:$B$848,0),0))),IF(ISNUMBER(MATCH(D32,'3. Dicionario Principios Ativos'!$A$4:$A$245,0)),INDEX('3. Dicionario Principios Ativos'!$D$4:$D$245,MATCH(D32,'3. Dicionario Principios Ativos'!$A$4:$A$245,0)),E32)),2)="31",E32="3105.10.00",K32&gt;0,K32&lt;=10.0001),"3105.10.00",IF(AND(IF(IF(ISNUMBER(MATCH(A32,'4.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Produtos)'!$L$4:$L$848,IF(ISNUMBER(MATCH(A32,'4. Base Mestre (845 Produtos)'!$A$4:$A$848,0)),MATCH(A32,'4. Base Mestre (845 Produtos)'!$A$4:$A$848,0),IF(ISNUMBER(MATCH(B32,'4. Base Mestre (845 Produtos)'!$B$4:$B$848,0)),MATCH(B32,'4. Base Mestre (845 Produtos)'!$B$4:$B$848,0),0))),IF(ISNUMBER(MATCH(D32,'3. Dicionario Principios Ativos'!$A$4:$A$245,0)),INDEX('3. Dicionario Principios Ativos'!$D$4:$D$245,MATCH(D32,'3. Dicionario Principios Ativos'!$A$4:$A$245,0)),E32))="3105.10.00",K32&gt;10.0001),"3105.90.90",IF(IF(ISNUMBER(MATCH(A32,'4.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Produtos)'!$L$4:$L$848,IF(ISNUMBER(MATCH(A32,'4. Base Mestre (845 Produtos)'!$A$4:$A$848,0)),MATCH(A32,'4. Base Mestre (845 Produtos)'!$A$4:$A$848,0),IF(ISNUMBER(MATCH(B32,'4. Base Mestre (845 Produtos)'!$B$4:$B$848,0)),MATCH(B32,'4. Base Mestre (845 Produtos)'!$B$4:$B$848,0),0))),IF(ISNUMBER(MATCH(D32,'3. Dicionario Principios Ativos'!$A$4:$A$245,0)),INDEX('3. Dicionario Principios Ativos'!$D$4:$D$245,MATCH(D32,'3. Dicionario Principios Ativos'!$A$4:$A$245,0)),E32))))))</f>
        <v>3105.90.90</v>
      </c>
      <c r="R32" s="20" t="str">
        <f aca="false">IF(B32="","",IF(OR(E32=Q32,AND(Q32="3002.49.99",E32="3002.90.00")),"CONFORME — NCM "&amp;E32&amp;" Correta na TIPI","DIVERGENTE — Substituir "&amp;E32&amp;" por "&amp;Q32))</f>
        <v>DIVERGENTE — Substituir 3104.90.90 por 3105.90.90</v>
      </c>
      <c r="S32" s="20" t="str">
        <f aca="false">IF(B32="","",IF(AND(E32="3808.61.00",OR(K32&gt;0.3001,K32=0)),"INCOMPATÍVEL — NCM 3808.61.00 exige emb. &lt;= 0,3kg/L (Emb. atual: "&amp;K32&amp;" "&amp;L32&amp;" -&gt; usar "&amp;Q32&amp;")",IF(AND(LEFT(E32,7)="3808.62",OR(K32&lt;=0.3001,K32&gt;7.5001)),"INCOMPATÍVEL — NCM 3808.62 exige emb. de 0,3 a 7,5kg/L (Emb. atual: "&amp;K32&amp;" "&amp;L32&amp;" -&gt; usar "&amp;Q32&amp;")",IF(AND(LEFT(E32,7)="3808.69",K32&gt;0,K32&lt;=7.5001),"INCOMPATÍVEL — NCM 3808.69 exige emb. &gt; 7,5kg/L (Emb. atual: "&amp;K32&amp;" "&amp;L32&amp;" -&gt; usar "&amp;Q32&amp;")",IF(AND(LEFT(Q32,6)="3808.6",LEFT(E32,6)&lt;&gt;"3808.6"),"INCOMPATÍVEL — Molécula Nota Subpos. 2 c/ emb. "&amp;K32&amp;" "&amp;L32&amp;" exige NCM "&amp;Q32,IF(AND(OR(E32="3808.91.19",E32="3808.92.19",E32="3808.93.19",E32="3808.99.19"),K32&gt;=1),"INCOMPATÍVEL — Subitem .19 (Domissanitário) vedado p/ emb. agrícola de "&amp;K32&amp;" "&amp;L32,IF(AND(E32="3105.10.00",K32&gt;10.0001),"INCOMPATÍVEL — NCM 3105.10.00 exige peso bruto &lt;= 10kg (Emb. atual: "&amp;K32&amp;" "&amp;L32&amp;" -&gt; usar 3105.90.90)",IF(AND(LEFT(E32,2)="29",LEFT(Q32,4)="3808",K32&gt;0),"INCOMPATÍVEL — Produto formulado em emb. comercial ("&amp;K32&amp;" "&amp;L32&amp;") vedado no Cap. 29 -&gt; usar "&amp;Q32,"CONFORME — Embalagem ("&amp;K32&amp;" "&amp;L32&amp;") compatível c/ a NCM"))))))))</f>
        <v>CONFORME — Embalagem (25 KG) compatível c/ a NCM</v>
      </c>
      <c r="T32" s="24" t="str">
        <f aca="false">IF(B32="","",IF(IF(ISNUMBER(MATCH(A32,'4.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Produtos)'!$P$4:$P$848,IF(ISNUMBER(MATCH(A32,'4. Base Mestre (845 Produtos)'!$A$4:$A$848,0)),MATCH(A32,'4. Base Mestre (845 Produtos)'!$A$4:$A$848,0),IF(ISNUMBER(MATCH(B32,'4. Base Mestre (845 Produtos)'!$B$4:$B$848,0)),MATCH(B32,'4. Base Mestre (845 Produtos)'!$B$4:$B$848,0),0))),IF(ISNUMBER(MATCH(D32,'3. Dicionario Principios Ativos'!$A$4:$A$245,0)),INDEX('3. Dicionario Principios Ativos'!$K$4:$K$245,MATCH(D32,'3. Dicionario Principios Ativos'!$A$4:$A$245,0)),"VERIFICAR BULA")))</f>
        <v>SIPEAGRO (UF-XXXXX)</v>
      </c>
      <c r="U32" s="20" t="str">
        <f aca="false">IF(B32="","",IF(ISNUMBER(SEARCH("ISENTO",T32)),IF(OR(F32=0,F32="0",F32="ISENTO",F32=""),"CONFORME (DISPENSADO) — Isento pelo Ato SDA/MAPA nº 104/2017","INCORRETO — Produto isento de registro MAPA (usar 0 ou ISENTO)"),IF(ISNUMBER(SEARCH("SIPEAGRO",T32)),IF(ISNUMBER(SEARCH("-",F32)),"CONFORME — Registro SIPEAGRO ("&amp;F32&amp;") Preenchido","ADEQUAR P/ SIPEAGRO — Substituir 0 pelo Registro (UF-XXXXX-XXXXX.X)"),IF(ISNUMBER(SEARCH("VINCULAR",T32)),IF(AND(F32&lt;&gt;0,F32&lt;&gt;"0",F32&lt;&gt;""),"INCORRETO / TROCADO — Código "&amp;F32&amp;" pertence a outro produto (Vincular bula da marca)","VINCULAR MARCA — Cadastro de P.A. s/ marca fixa (Vincular registro na NF-e)"),IF(OR(F32=0,F32="0",F32=""),"AUSENTE (ZERO) — Preencher Registro Oficial MAPA nº "&amp;T32,IF(TEXT(F32,"0")=TEXT(T32,"0"),"CONFORME — Registro MAPA nº "&amp;T32&amp;" Validado na Bula","INCORRETO / TROCADO — Substituir "&amp;F32&amp;" pelo Registro Oficial nº "&amp;T32))))))</f>
        <v>CONFORME — Registro SIPEAGRO (SC-00311-10004.1) Preenchido</v>
      </c>
      <c r="V32" s="20" t="str">
        <f aca="false">IF(B32="","",IF(IF(ISNUMBER(MATCH(A32,'4.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Produtos)'!$S$4:$S$848,IF(ISNUMBER(MATCH(A32,'4. Base Mestre (845 Produtos)'!$A$4:$A$848,0)),MATCH(A32,'4. Base Mestre (845 Produtos)'!$A$4:$A$848,0),IF(ISNUMBER(MATCH(B32,'4. Base Mestre (845 Produtos)'!$B$4:$B$848,0)),MATCH(B32,'4. Base Mestre (845 Produtos)'!$B$4:$B$848,0),0))),IF(ISNUMBER(MATCH(D32,'3. Dicionario Principios Ativos'!$A$4:$A$245,0)),INDEX('3. Dicionario Principios Ativos'!$L$4:$L$245,MATCH(D32,'3. Dicionario Principios Ativos'!$A$4:$A$245,0)),"Verificar NCM")))</f>
        <v>Beneficiado (Lei 10.925/04): 0% até Mar/26 | 0,925% Real / 0,365% Pres. pós-Abr/26 (LC 224/25)</v>
      </c>
      <c r="W32" s="20" t="str">
        <f aca="false">IF(B32="","",IF(IF(ISNUMBER(MATCH(A32,'4. Base Mestre (845 Produtos)'!$A$4:$A$848,0)),MATCH(A32,'4. Base Mestre (845 Produtos)'!$A$4:$A$848,0),IF(ISNUMBER(MATCH(B32,'4. Base Mestre (845 Produtos)'!$B$4:$B$848,0)),MATCH(B32,'4. Base Mestre (845 Produtos)'!$B$4:$B$848,0),0))&gt;0,INDEX('4. Base Mestre (845 Produtos)'!$T$4:$T$848,IF(ISNUMBER(MATCH(A32,'4. Base Mestre (845 Produtos)'!$A$4:$A$848,0)),MATCH(A32,'4. Base Mestre (845 Produtos)'!$A$4:$A$848,0),IF(ISNUMBER(MATCH(B32,'4. Base Mestre (845 Produtos)'!$B$4:$B$848,0)),MATCH(B32,'4. Base Mestre (845 Produtos)'!$B$4:$B$848,0),0))),IF(ISNUMBER(MATCH(D32,'3. Dicionario Principios Ativos'!$A$4:$A$245,0)),INDEX('3. Dicionario Principios Ativos'!$M$4:$M$245,MATCH(D32,'3. Dicionario Principios Ativos'!$A$4:$A$245,0)),"Verificar CST")))</f>
        <v>Saída: CST 06 (c/ Ajuste M220/M620 pós-Abr/26) | Entrada Revenda: CST 73</v>
      </c>
      <c r="X32" s="23" t="str">
        <f aca="false">IF(B32="","",IF(AND(LEFT(M32,8)="CONFORME",LEFT(P32,8)="CONFORME",LEFT(R32,8)="CONFORME",LEFT(S32,8)="CONFORME",LEFT(U32,8)="CONFORME"),"CADASTRO 100% CONFORME — LIBERADO P/ ERP",IF(AND(LEFT(M32,8)="CONFORME",LEFT(P32,8)="CONFORME",LEFT(R32,8)="CONFORME",LEFT(S32,8)="CONFORME",OR(LEFT(U32,7)="ADEQUAR",LEFT(U32,8)="VINCULAR")),"FISCAL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33" customFormat="false" ht="21.75" hidden="false" customHeight="true" outlineLevel="0" collapsed="false">
      <c r="A33" s="10" t="n">
        <v>2684</v>
      </c>
      <c r="B33" s="11" t="s">
        <v>126</v>
      </c>
      <c r="C33" s="12" t="s">
        <v>63</v>
      </c>
      <c r="D33" s="13" t="s">
        <v>127</v>
      </c>
      <c r="E33" s="12" t="s">
        <v>128</v>
      </c>
      <c r="F33" s="12" t="s">
        <v>129</v>
      </c>
      <c r="G33" s="14"/>
      <c r="H33" s="13" t="s">
        <v>130</v>
      </c>
      <c r="I33" s="15" t="str">
        <f aca="false">IF(B33="","",IF(ISNUMBER(MATCH(A33,'4. Base Mestre (845 Produtos)'!$A$4:$A$848,0)),"Localizado por Código ("&amp;A33&amp;") na Base Mestre",IF(ISNUMBER(MATCH(B33,'4. Base Mestre (845 Produtos)'!$B$4:$B$848,0)),"Localizado por Descrição na Base Mestre",IF(ISNUMBER(MATCH(D33,'3. Dicionario Principios Ativos'!$A$4:$A$245,0)),"Produto Novo — Validado pelo Dicionário de P.A.","Não Localizado — Revisar Código/P.A."))))</f>
        <v>Localizado por Código (2684) na Base Mestre</v>
      </c>
      <c r="J33" s="15" t="str">
        <f aca="false">IF(B33="","",IF(IF(ISNUMBER(MATCH(A33,'4.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Produtos)'!$I$4:$I$848,IF(ISNUMBER(MATCH(A33,'4. Base Mestre (845 Produtos)'!$A$4:$A$848,0)),MATCH(A33,'4. Base Mestre (845 Produtos)'!$A$4:$A$848,0),IF(ISNUMBER(MATCH(B33,'4. Base Mestre (845 Produtos)'!$B$4:$B$848,0)),MATCH(B33,'4. Base Mestre (845 Produtos)'!$B$4:$B$848,0),0))),IF(ISNUMBER(MATCH(D33,'3. Dicionario Principios Ativos'!$A$4:$A$245,0)),INDEX('3. Dicionario Principios Ativos'!$B$4:$B$245,MATCH(D33,'3. Dicionario Principios Ativos'!$A$4:$A$245,0)),"Revisar Classificação")))</f>
        <v>Fertilizantes — Fertilizante Mineral Simples (Fosfatado)</v>
      </c>
      <c r="K33" s="16" t="n">
        <f aca="false">IF(B33="","",IF(G33&lt;&gt;"",G33,IF(OR(ISNUMBER(SEARCH("PRINCIPIO ATIVO",B33)),ISNUMBER(SEARCH("PRINC. ATIVO",B33)),ISNUMBER(SEARCH("PR. ATIVO",B33)),ISNUMBER(SEARCH("PR.AT.",B33)),ISNUMBER(SEARCH("(P.A",B33)),ISNUMBER(SEARCH("(P. A",B33))),0,IF(OR(ISNUMBER(SEARCH("0,100KG",B33)),ISNUMBER(SEARCH("0,1KG",B33)),ISNUMBER(SEARCH("0,100L",B33))),0.1,IF(OR(ISNUMBER(SEARCH("0,200L",B33)),ISNUMBER(SEARCH("0,2L",B33)),ISNUMBER(SEARCH("0,200KG",B33)),ISNUMBER(SEARCH("0,2KG",B33))),0.2,IF(OR(ISNUMBER(SEARCH("0,240KG",B33)),ISNUMBER(SEARCH("0,250L",B33))),0.24,IF(OR(ISNUMBER(SEARCH("0,300KG",B33)),ISNUMBER(SEARCH("0,3KG",B33))),0.3,IF(OR(ISNUMBER(SEARCH("0,500L",B33)),ISNUMBER(SEARCH("0,5L",B33)),ISNUMBER(SEARCH("0,5KG",B33))),0.5,IF(ISNUMBER(SEARCH("0,8KG",B33)),0.8,IF(OR(ISNUMBER(SEARCH("1,5L",B33)),ISNUMBER(SEARCH("1,5KG",B33))),1.5,IF(OR(ISNUMBER(SEARCH("1,75L",B33)),ISNUMBER(SEARCH("1,8L",B33)),ISNUMBER(SEARCH("1.8L",B33))),1.8,IF(ISNUMBER(SEARCH("4,5KG",B33)),4.5,IF(ISNUMBER(SEARCH("7,5KG",B33)),7.5,IF(OR(ISNUMBER(SEARCH("1000L",B33)),ISNUMBER(SEARCH("1000KG",B33)),ISNUMBER(SEARCH("1.000KG",B33)),ISNUMBER(SEARCH("1.000L",B33)),ISNUMBER(SEARCH("1000 KG",B33)),ISNUMBER(SEARCH("GRANEL",B33)),ISNUMBER(SEARCH("(TON)",B33))),1000,IF(ISNUMBER(SEARCH("200L",B33)),200,IF(OR(ISNUMBER(SEARCH("25KG",B33)),ISNUMBER(SEARCH("25L",B33))),25,IF(OR(ISNUMBER(SEARCH("20L",B33)),ISNUMBER(SEARCH("20KG",B33))),20,IF(ISNUMBER(SEARCH("15KG",B33)),15,IF(OR(ISNUMBER(SEARCH("10L",B33)),ISNUMBER(SEARCH("10KG",B33))),10,IF(OR(ISNUMBER(SEARCH("5L",B33)),ISNUMBER(SEARCH("5KG",B33)),ISNUMBER(SEARCH("5LT",B33))),5,IF(OR(ISNUMBER(SEARCH("3KG",B33)),ISNUMBER(SEARCH("3L",B33))),3,IF(OR(ISNUMBER(SEARCH("2L",B33)),ISNUMBER(SEARCH("2KG",B33))),2,IF(OR(ISNUMBER(SEARCH("1L",B33)),ISNUMBER(SEARCH("1KG",B33)),ISNUMBER(SEARCH("1LT",B33))),1,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Produtos)'!$D$4:$D$848,IF(ISNUMBER(MATCH(A33,'4. Base Mestre (845 Produtos)'!$A$4:$A$848,0)),MATCH(A33,'4. Base Mestre (845 Produtos)'!$A$4:$A$848,0),IF(ISNUMBER(MATCH(B33,'4. Base Mestre (845 Produtos)'!$B$4:$B$848,0)),MATCH(B33,'4. Base Mestre (845 Produtos)'!$B$4:$B$848,0),0))),1))))))))))))))))))))))))</f>
        <v>25</v>
      </c>
      <c r="L33" s="17" t="str">
        <f aca="false">IF(B33="","",IF(OR(ISNUMBER(SEARCH("KG",B33)),ISNUMBER(SEARCH("GR",B33))),"KG",IF(OR(ISNUMBER(SEARCH("0,200L",B33)),ISNUMBER(SEARCH("0,2L",B33)),ISNUMBER(SEARCH("0,5L",B33)),ISNUMBER(SEARCH("1,5L",B33)),ISNUMBER(SEARCH("1,8L",B33)),ISNUMBER(SEARCH("1.8L",B33)),ISNUMBER(SEARCH("1L",B33)),ISNUMBER(SEARCH("2L",B33)),ISNUMBER(SEARCH("3L",B33)),ISNUMBER(SEARCH("5L",B33)),ISNUMBER(SEARCH("10L",B33)),ISNUMBER(SEARCH("20L",B33)),ISNUMBER(SEARCH("25L",B33)),ISNUMBER(SEARCH("200L",B33)),ISNUMBER(SEARCH("1000L",B33)),ISNUMBER(SEARCH("LT",B33))),"L",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Produtos)'!$E$4:$E$848,IF(ISNUMBER(MATCH(A33,'4. Base Mestre (845 Produtos)'!$A$4:$A$848,0)),MATCH(A33,'4. Base Mestre (845 Produtos)'!$A$4:$A$848,0),IF(ISNUMBER(MATCH(B33,'4. Base Mestre (845 Produtos)'!$B$4:$B$848,0)),MATCH(B33,'4. Base Mestre (845 Produtos)'!$B$4:$B$848,0),0))),C33))))</f>
        <v>KG</v>
      </c>
      <c r="M33" s="15" t="str">
        <f aca="false">IF(B33="","",IF(C33=L33,"CONFORME — Unidade ("&amp;C33&amp;") compatível c/ Embalagem","DIVERGENTE — Embalagem em "&amp;L33&amp;", mas cadastrado em "&amp;C33))</f>
        <v>CONFORME — Unidade (KG) compatível c/ Embalagem</v>
      </c>
      <c r="N33" s="15" t="str">
        <f aca="false">IF(B33="","",IF(K33=0,"Granel / Produto Técnico (Sem Embalagem Comercial)",IF(K33&lt;=0.3001,"Faixa 1 TIPI: Até 300g/mL (3808.61.00 / 3105.10.00)",IF(K33&lt;=7.5001,"Faixa 2 TIPI: De 300g a 7,5kg/L (3808.62.90 / 3105.10.00)",IF(K33&lt;=10.0001,"Faixa 3 TIPI: De 7,5kg a 10kg/L (3808.69.90 / 3105.10.00)","Faixa 4 TIPI: Acima de 10kg/L (3808.69.90 / Cap. 31 Geral)")))))</f>
        <v>Faixa 4 TIPI: Acima de 10kg/L (3808.69.90 / Cap. 31 Geral)</v>
      </c>
      <c r="O33" s="18" t="str">
        <f aca="false">IF(B33="","",IF(IF(ISNUMBER(MATCH(A33,'4.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Produtos)'!$H$4:$H$848,IF(ISNUMBER(MATCH(A33,'4. Base Mestre (845 Produtos)'!$A$4:$A$848,0)),MATCH(A33,'4. Base Mestre (845 Produtos)'!$A$4:$A$848,0),IF(ISNUMBER(MATCH(B33,'4. Base Mestre (845 Produtos)'!$B$4:$B$848,0)),MATCH(B33,'4. Base Mestre (845 Produtos)'!$B$4:$B$848,0),0))),IF(ISNUMBER(MATCH(D33,'3. Dicionario Principios Ativos'!$A$4:$A$245,0)),INDEX('3. Dicionario Principios Ativos'!$A$4:$A$245,MATCH(D33,'3. Dicionario Principios Ativos'!$A$4:$A$245,0)),D33)))</f>
        <v>SUPERFOSFATO SIMPLES - SSP (P2O5 18-21% + CA + S)</v>
      </c>
      <c r="P33" s="15" t="str">
        <f aca="false">IF(B33="","",IF(D33=O33,"CONFORME — Princípio Ativo Validado","DIVERGENTE — Substituir por: "&amp;O33))</f>
        <v>DIVERGENTE — Substituir por: SUPERFOSFATO SIMPLES - SSP (P2O5 18-21% + CA + S)</v>
      </c>
      <c r="Q33" s="19" t="str">
        <f aca="false">IF(B33="","",IF(IF(IF(ISNUMBER(MATCH(A33,'4.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Produtos)'!$J$4:$J$848,IF(ISNUMBER(MATCH(A33,'4. Base Mestre (845 Produtos)'!$A$4:$A$848,0)),MATCH(A33,'4. Base Mestre (845 Produtos)'!$A$4:$A$848,0),IF(ISNUMBER(MATCH(B33,'4. Base Mestre (845 Produtos)'!$B$4:$B$848,0)),MATCH(B33,'4. Base Mestre (845 Produtos)'!$B$4:$B$848,0),0)))="SIM",IF(ISNUMBER(MATCH(D33,'3. Dicionario Principios Ativos'!$A$4:$A$245,0)),INDEX('3. Dicionario Principios Ativos'!$C$4:$C$245,MATCH(D33,'3. Dicionario Principios Ativos'!$A$4:$A$245,0))="SIM",FALSE())),IF(AND(K33&gt;0,K33&lt;=0.3001),"3808.61.00",IF(AND(K33&gt;0.3001,K33&lt;=7.5001),"3808.62.90","3808.69.90")),IF(AND(LEFT(IF(IF(ISNUMBER(MATCH(A33,'4.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Produtos)'!$L$4:$L$848,IF(ISNUMBER(MATCH(A33,'4. Base Mestre (845 Produtos)'!$A$4:$A$848,0)),MATCH(A33,'4. Base Mestre (845 Produtos)'!$A$4:$A$848,0),IF(ISNUMBER(MATCH(B33,'4. Base Mestre (845 Produtos)'!$B$4:$B$848,0)),MATCH(B33,'4. Base Mestre (845 Produtos)'!$B$4:$B$848,0),0))),IF(ISNUMBER(MATCH(D33,'3. Dicionario Principios Ativos'!$A$4:$A$245,0)),INDEX('3. Dicionario Principios Ativos'!$D$4:$D$245,MATCH(D33,'3. Dicionario Principios Ativos'!$A$4:$A$245,0)),E33)),2)="31",E33="3105.10.00",K33&gt;0,K33&lt;=10.0001),"3105.10.00",IF(AND(IF(IF(ISNUMBER(MATCH(A33,'4.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Produtos)'!$L$4:$L$848,IF(ISNUMBER(MATCH(A33,'4. Base Mestre (845 Produtos)'!$A$4:$A$848,0)),MATCH(A33,'4. Base Mestre (845 Produtos)'!$A$4:$A$848,0),IF(ISNUMBER(MATCH(B33,'4. Base Mestre (845 Produtos)'!$B$4:$B$848,0)),MATCH(B33,'4. Base Mestre (845 Produtos)'!$B$4:$B$848,0),0))),IF(ISNUMBER(MATCH(D33,'3. Dicionario Principios Ativos'!$A$4:$A$245,0)),INDEX('3. Dicionario Principios Ativos'!$D$4:$D$245,MATCH(D33,'3. Dicionario Principios Ativos'!$A$4:$A$245,0)),E33))="3105.10.00",K33&gt;10.0001),"3105.90.90",IF(IF(ISNUMBER(MATCH(A33,'4.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Produtos)'!$L$4:$L$848,IF(ISNUMBER(MATCH(A33,'4. Base Mestre (845 Produtos)'!$A$4:$A$848,0)),MATCH(A33,'4. Base Mestre (845 Produtos)'!$A$4:$A$848,0),IF(ISNUMBER(MATCH(B33,'4. Base Mestre (845 Produtos)'!$B$4:$B$848,0)),MATCH(B33,'4. Base Mestre (845 Produtos)'!$B$4:$B$848,0),0))),IF(ISNUMBER(MATCH(D33,'3. Dicionario Principios Ativos'!$A$4:$A$245,0)),INDEX('3. Dicionario Principios Ativos'!$D$4:$D$245,MATCH(D33,'3. Dicionario Principios Ativos'!$A$4:$A$245,0)),E33))))))</f>
        <v>3103.19.00</v>
      </c>
      <c r="R33" s="15" t="str">
        <f aca="false">IF(B33="","",IF(OR(E33=Q33,AND(Q33="3002.49.99",E33="3002.90.00")),"CONFORME — NCM "&amp;E33&amp;" Correta na TIPI","DIVERGENTE — Substituir "&amp;E33&amp;" por "&amp;Q33))</f>
        <v>DIVERGENTE — Substituir 3105.40.00 por 3103.19.00</v>
      </c>
      <c r="S33" s="15" t="str">
        <f aca="false">IF(B33="","",IF(AND(E33="3808.61.00",OR(K33&gt;0.3001,K33=0)),"INCOMPATÍVEL — NCM 3808.61.00 exige emb. &lt;= 0,3kg/L (Emb. atual: "&amp;K33&amp;" "&amp;L33&amp;" -&gt; usar "&amp;Q33&amp;")",IF(AND(LEFT(E33,7)="3808.62",OR(K33&lt;=0.3001,K33&gt;7.5001)),"INCOMPATÍVEL — NCM 3808.62 exige emb. de 0,3 a 7,5kg/L (Emb. atual: "&amp;K33&amp;" "&amp;L33&amp;" -&gt; usar "&amp;Q33&amp;")",IF(AND(LEFT(E33,7)="3808.69",K33&gt;0,K33&lt;=7.5001),"INCOMPATÍVEL — NCM 3808.69 exige emb. &gt; 7,5kg/L (Emb. atual: "&amp;K33&amp;" "&amp;L33&amp;" -&gt; usar "&amp;Q33&amp;")",IF(AND(LEFT(Q33,6)="3808.6",LEFT(E33,6)&lt;&gt;"3808.6"),"INCOMPATÍVEL — Molécula Nota Subpos. 2 c/ emb. "&amp;K33&amp;" "&amp;L33&amp;" exige NCM "&amp;Q33,IF(AND(OR(E33="3808.91.19",E33="3808.92.19",E33="3808.93.19",E33="3808.99.19"),K33&gt;=1),"INCOMPATÍVEL — Subitem .19 (Domissanitário) vedado p/ emb. agrícola de "&amp;K33&amp;" "&amp;L33,IF(AND(E33="3105.10.00",K33&gt;10.0001),"INCOMPATÍVEL — NCM 3105.10.00 exige peso bruto &lt;= 10kg (Emb. atual: "&amp;K33&amp;" "&amp;L33&amp;" -&gt; usar 3105.90.90)",IF(AND(LEFT(E33,2)="29",LEFT(Q33,4)="3808",K33&gt;0),"INCOMPATÍVEL — Produto formulado em emb. comercial ("&amp;K33&amp;" "&amp;L33&amp;") vedado no Cap. 29 -&gt; usar "&amp;Q33,"CONFORME — Embalagem ("&amp;K33&amp;" "&amp;L33&amp;") compatível c/ a NCM"))))))))</f>
        <v>CONFORME — Embalagem (25 KG) compatível c/ a NCM</v>
      </c>
      <c r="T33" s="19" t="str">
        <f aca="false">IF(B33="","",IF(IF(ISNUMBER(MATCH(A33,'4.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Produtos)'!$P$4:$P$848,IF(ISNUMBER(MATCH(A33,'4. Base Mestre (845 Produtos)'!$A$4:$A$848,0)),MATCH(A33,'4. Base Mestre (845 Produtos)'!$A$4:$A$848,0),IF(ISNUMBER(MATCH(B33,'4. Base Mestre (845 Produtos)'!$B$4:$B$848,0)),MATCH(B33,'4. Base Mestre (845 Produtos)'!$B$4:$B$848,0),0))),IF(ISNUMBER(MATCH(D33,'3. Dicionario Principios Ativos'!$A$4:$A$245,0)),INDEX('3. Dicionario Principios Ativos'!$K$4:$K$245,MATCH(D33,'3. Dicionario Principios Ativos'!$A$4:$A$245,0)),"VERIFICAR BULA")))</f>
        <v>SIPEAGRO (UF-XXXXX)</v>
      </c>
      <c r="U33" s="15" t="str">
        <f aca="false">IF(B33="","",IF(ISNUMBER(SEARCH("ISENTO",T33)),IF(OR(F33=0,F33="0",F33="ISENTO",F33=""),"CONFORME (DISPENSADO) — Isento pelo Ato SDA/MAPA nº 104/2017","INCORRETO — Produto isento de registro MAPA (usar 0 ou ISENTO)"),IF(ISNUMBER(SEARCH("SIPEAGRO",T33)),IF(ISNUMBER(SEARCH("-",F33)),"CONFORME — Registro SIPEAGRO ("&amp;F33&amp;") Preenchido","ADEQUAR P/ SIPEAGRO — Substituir 0 pelo Registro (UF-XXXXX-XXXXX.X)"),IF(ISNUMBER(SEARCH("VINCULAR",T33)),IF(AND(F33&lt;&gt;0,F33&lt;&gt;"0",F33&lt;&gt;""),"INCORRETO / TROCADO — Código "&amp;F33&amp;" pertence a outro produto (Vincular bula da marca)","VINCULAR MARCA — Cadastro de P.A. s/ marca fixa (Vincular registro na NF-e)"),IF(OR(F33=0,F33="0",F33=""),"AUSENTE (ZERO) — Preencher Registro Oficial MAPA nº "&amp;T33,IF(TEXT(F33,"0")=TEXT(T33,"0"),"CONFORME — Registro MAPA nº "&amp;T33&amp;" Validado na Bula","INCORRETO / TROCADO — Substituir "&amp;F33&amp;" pelo Registro Oficial nº "&amp;T33))))))</f>
        <v>CONFORME — Registro SIPEAGRO (MT-00910-10002.1) Preenchido</v>
      </c>
      <c r="V33" s="15" t="str">
        <f aca="false">IF(B33="","",IF(IF(ISNUMBER(MATCH(A33,'4.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Produtos)'!$S$4:$S$848,IF(ISNUMBER(MATCH(A33,'4. Base Mestre (845 Produtos)'!$A$4:$A$848,0)),MATCH(A33,'4. Base Mestre (845 Produtos)'!$A$4:$A$848,0),IF(ISNUMBER(MATCH(B33,'4. Base Mestre (845 Produtos)'!$B$4:$B$848,0)),MATCH(B33,'4. Base Mestre (845 Produtos)'!$B$4:$B$848,0),0))),IF(ISNUMBER(MATCH(D33,'3. Dicionario Principios Ativos'!$A$4:$A$245,0)),INDEX('3. Dicionario Principios Ativos'!$L$4:$L$245,MATCH(D33,'3. Dicionario Principios Ativos'!$A$4:$A$245,0)),"Verificar NCM")))</f>
        <v>Beneficiado (Lei 10.925/04): 0% até Mar/26 | 0,925% Real / 0,365% Pres. pós-Abr/26 (LC 224/25)</v>
      </c>
      <c r="W33" s="15" t="str">
        <f aca="false">IF(B33="","",IF(IF(ISNUMBER(MATCH(A33,'4. Base Mestre (845 Produtos)'!$A$4:$A$848,0)),MATCH(A33,'4. Base Mestre (845 Produtos)'!$A$4:$A$848,0),IF(ISNUMBER(MATCH(B33,'4. Base Mestre (845 Produtos)'!$B$4:$B$848,0)),MATCH(B33,'4. Base Mestre (845 Produtos)'!$B$4:$B$848,0),0))&gt;0,INDEX('4. Base Mestre (845 Produtos)'!$T$4:$T$848,IF(ISNUMBER(MATCH(A33,'4. Base Mestre (845 Produtos)'!$A$4:$A$848,0)),MATCH(A33,'4. Base Mestre (845 Produtos)'!$A$4:$A$848,0),IF(ISNUMBER(MATCH(B33,'4. Base Mestre (845 Produtos)'!$B$4:$B$848,0)),MATCH(B33,'4. Base Mestre (845 Produtos)'!$B$4:$B$848,0),0))),IF(ISNUMBER(MATCH(D33,'3. Dicionario Principios Ativos'!$A$4:$A$245,0)),INDEX('3. Dicionario Principios Ativos'!$M$4:$M$245,MATCH(D33,'3. Dicionario Principios Ativos'!$A$4:$A$245,0)),"Verificar CST")))</f>
        <v>Saída: CST 06 (c/ Ajuste M220/M620 pós-Abr/26) | Entrada Revenda: CST 73</v>
      </c>
      <c r="X33" s="18" t="str">
        <f aca="false">IF(B33="","",IF(AND(LEFT(M33,8)="CONFORME",LEFT(P33,8)="CONFORME",LEFT(R33,8)="CONFORME",LEFT(S33,8)="CONFORME",LEFT(U33,8)="CONFORME"),"CADASTRO 100% CONFORME — LIBERADO P/ ERP",IF(AND(LEFT(M33,8)="CONFORME",LEFT(P33,8)="CONFORME",LEFT(R33,8)="CONFORME",LEFT(S33,8)="CONFORME",OR(LEFT(U33,7)="ADEQUAR",LEFT(U33,8)="VINCULAR")),"FISCAL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34" customFormat="false" ht="21.75" hidden="false" customHeight="true" outlineLevel="0" collapsed="false">
      <c r="A34" s="10" t="n">
        <v>6184</v>
      </c>
      <c r="B34" s="11" t="s">
        <v>131</v>
      </c>
      <c r="C34" s="12" t="s">
        <v>63</v>
      </c>
      <c r="D34" s="13" t="s">
        <v>132</v>
      </c>
      <c r="E34" s="12" t="s">
        <v>111</v>
      </c>
      <c r="F34" s="12" t="n">
        <v>13520</v>
      </c>
      <c r="G34" s="14"/>
      <c r="H34" s="13" t="s">
        <v>133</v>
      </c>
      <c r="I34" s="20" t="str">
        <f aca="false">IF(B34="","",IF(ISNUMBER(MATCH(A34,'4. Base Mestre (845 Produtos)'!$A$4:$A$848,0)),"Localizado por Código ("&amp;A34&amp;") na Base Mestre",IF(ISNUMBER(MATCH(B34,'4. Base Mestre (845 Produtos)'!$B$4:$B$848,0)),"Localizado por Descrição na Base Mestre",IF(ISNUMBER(MATCH(D34,'3. Dicionario Principios Ativos'!$A$4:$A$245,0)),"Produto Novo — Validado pelo Dicionário de P.A.","Não Localizado — Revisar Código/P.A."))))</f>
        <v>Localizado por Código (6184) na Base Mestre</v>
      </c>
      <c r="J34" s="20" t="str">
        <f aca="false">IF(B34="","",IF(IF(ISNUMBER(MATCH(A34,'4.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Produtos)'!$I$4:$I$848,IF(ISNUMBER(MATCH(A34,'4. Base Mestre (845 Produtos)'!$A$4:$A$848,0)),MATCH(A34,'4. Base Mestre (845 Produtos)'!$A$4:$A$848,0),IF(ISNUMBER(MATCH(B34,'4. Base Mestre (845 Produtos)'!$B$4:$B$848,0)),MATCH(B34,'4. Base Mestre (845 Produtos)'!$B$4:$B$848,0),0))),IF(ISNUMBER(MATCH(D34,'3. Dicionario Principios Ativos'!$A$4:$A$245,0)),INDEX('3. Dicionario Principios Ativos'!$B$4:$B$245,MATCH(D34,'3. Dicionario Principios Ativos'!$A$4:$A$245,0)),"Revisar Classificação")))</f>
        <v>Defensivos — Herbicida (Princípio Ativo / Técnico)</v>
      </c>
      <c r="K34" s="21" t="n">
        <f aca="false">IF(B34="","",IF(G34&lt;&gt;"",G34,IF(OR(ISNUMBER(SEARCH("PRINCIPIO ATIVO",B34)),ISNUMBER(SEARCH("PRINC. ATIVO",B34)),ISNUMBER(SEARCH("PR. ATIVO",B34)),ISNUMBER(SEARCH("PR.AT.",B34)),ISNUMBER(SEARCH("(P.A",B34)),ISNUMBER(SEARCH("(P. A",B34))),0,IF(OR(ISNUMBER(SEARCH("0,100KG",B34)),ISNUMBER(SEARCH("0,1KG",B34)),ISNUMBER(SEARCH("0,100L",B34))),0.1,IF(OR(ISNUMBER(SEARCH("0,200L",B34)),ISNUMBER(SEARCH("0,2L",B34)),ISNUMBER(SEARCH("0,200KG",B34)),ISNUMBER(SEARCH("0,2KG",B34))),0.2,IF(OR(ISNUMBER(SEARCH("0,240KG",B34)),ISNUMBER(SEARCH("0,250L",B34))),0.24,IF(OR(ISNUMBER(SEARCH("0,300KG",B34)),ISNUMBER(SEARCH("0,3KG",B34))),0.3,IF(OR(ISNUMBER(SEARCH("0,500L",B34)),ISNUMBER(SEARCH("0,5L",B34)),ISNUMBER(SEARCH("0,5KG",B34))),0.5,IF(ISNUMBER(SEARCH("0,8KG",B34)),0.8,IF(OR(ISNUMBER(SEARCH("1,5L",B34)),ISNUMBER(SEARCH("1,5KG",B34))),1.5,IF(OR(ISNUMBER(SEARCH("1,75L",B34)),ISNUMBER(SEARCH("1,8L",B34)),ISNUMBER(SEARCH("1.8L",B34))),1.8,IF(ISNUMBER(SEARCH("4,5KG",B34)),4.5,IF(ISNUMBER(SEARCH("7,5KG",B34)),7.5,IF(OR(ISNUMBER(SEARCH("1000L",B34)),ISNUMBER(SEARCH("1000KG",B34)),ISNUMBER(SEARCH("1.000KG",B34)),ISNUMBER(SEARCH("1.000L",B34)),ISNUMBER(SEARCH("1000 KG",B34)),ISNUMBER(SEARCH("GRANEL",B34)),ISNUMBER(SEARCH("(TON)",B34))),1000,IF(ISNUMBER(SEARCH("200L",B34)),200,IF(OR(ISNUMBER(SEARCH("25KG",B34)),ISNUMBER(SEARCH("25L",B34))),25,IF(OR(ISNUMBER(SEARCH("20L",B34)),ISNUMBER(SEARCH("20KG",B34))),20,IF(ISNUMBER(SEARCH("15KG",B34)),15,IF(OR(ISNUMBER(SEARCH("10L",B34)),ISNUMBER(SEARCH("10KG",B34))),10,IF(OR(ISNUMBER(SEARCH("5L",B34)),ISNUMBER(SEARCH("5KG",B34)),ISNUMBER(SEARCH("5LT",B34))),5,IF(OR(ISNUMBER(SEARCH("3KG",B34)),ISNUMBER(SEARCH("3L",B34))),3,IF(OR(ISNUMBER(SEARCH("2L",B34)),ISNUMBER(SEARCH("2KG",B34))),2,IF(OR(ISNUMBER(SEARCH("1L",B34)),ISNUMBER(SEARCH("1KG",B34)),ISNUMBER(SEARCH("1LT",B34))),1,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Produtos)'!$D$4:$D$848,IF(ISNUMBER(MATCH(A34,'4. Base Mestre (845 Produtos)'!$A$4:$A$848,0)),MATCH(A34,'4. Base Mestre (845 Produtos)'!$A$4:$A$848,0),IF(ISNUMBER(MATCH(B34,'4. Base Mestre (845 Produtos)'!$B$4:$B$848,0)),MATCH(B34,'4. Base Mestre (845 Produtos)'!$B$4:$B$848,0),0))),1))))))))))))))))))))))))</f>
        <v>0</v>
      </c>
      <c r="L34" s="22" t="str">
        <f aca="false">IF(B34="","",IF(OR(ISNUMBER(SEARCH("KG",B34)),ISNUMBER(SEARCH("GR",B34))),"KG",IF(OR(ISNUMBER(SEARCH("0,200L",B34)),ISNUMBER(SEARCH("0,2L",B34)),ISNUMBER(SEARCH("0,5L",B34)),ISNUMBER(SEARCH("1,5L",B34)),ISNUMBER(SEARCH("1,8L",B34)),ISNUMBER(SEARCH("1.8L",B34)),ISNUMBER(SEARCH("1L",B34)),ISNUMBER(SEARCH("2L",B34)),ISNUMBER(SEARCH("3L",B34)),ISNUMBER(SEARCH("5L",B34)),ISNUMBER(SEARCH("10L",B34)),ISNUMBER(SEARCH("20L",B34)),ISNUMBER(SEARCH("25L",B34)),ISNUMBER(SEARCH("200L",B34)),ISNUMBER(SEARCH("1000L",B34)),ISNUMBER(SEARCH("LT",B34))),"L",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Produtos)'!$E$4:$E$848,IF(ISNUMBER(MATCH(A34,'4. Base Mestre (845 Produtos)'!$A$4:$A$848,0)),MATCH(A34,'4. Base Mestre (845 Produtos)'!$A$4:$A$848,0),IF(ISNUMBER(MATCH(B34,'4. Base Mestre (845 Produtos)'!$B$4:$B$848,0)),MATCH(B34,'4. Base Mestre (845 Produtos)'!$B$4:$B$848,0),0))),C34))))</f>
        <v>KG</v>
      </c>
      <c r="M34" s="20" t="str">
        <f aca="false">IF(B34="","",IF(C34=L34,"CONFORME — Unidade ("&amp;C34&amp;") compatível c/ Embalagem","DIVERGENTE — Embalagem em "&amp;L34&amp;", mas cadastrado em "&amp;C34))</f>
        <v>CONFORME — Unidade (KG) compatível c/ Embalagem</v>
      </c>
      <c r="N34" s="20" t="str">
        <f aca="false">IF(B34="","",IF(K34=0,"Granel / Produto Técnico (Sem Embalagem Comercial)",IF(K34&lt;=0.3001,"Faixa 1 TIPI: Até 300g/mL (3808.61.00 / 3105.10.00)",IF(K34&lt;=7.5001,"Faixa 2 TIPI: De 300g a 7,5kg/L (3808.62.90 / 3105.10.00)",IF(K34&lt;=10.0001,"Faixa 3 TIPI: De 7,5kg a 10kg/L (3808.69.90 / 3105.10.00)","Faixa 4 TIPI: Acima de 10kg/L (3808.69.90 / Cap. 31 Geral)")))))</f>
        <v>Granel / Produto Técnico (Sem Embalagem Comercial)</v>
      </c>
      <c r="O34" s="23" t="str">
        <f aca="false">IF(B34="","",IF(IF(ISNUMBER(MATCH(A34,'4.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Produtos)'!$H$4:$H$848,IF(ISNUMBER(MATCH(A34,'4. Base Mestre (845 Produtos)'!$A$4:$A$848,0)),MATCH(A34,'4. Base Mestre (845 Produtos)'!$A$4:$A$848,0),IF(ISNUMBER(MATCH(B34,'4. Base Mestre (845 Produtos)'!$B$4:$B$848,0)),MATCH(B34,'4. Base Mestre (845 Produtos)'!$B$4:$B$848,0),0))),IF(ISNUMBER(MATCH(D34,'3. Dicionario Principios Ativos'!$A$4:$A$245,0)),INDEX('3. Dicionario Principios Ativos'!$A$4:$A$245,MATCH(D34,'3. Dicionario Principios Ativos'!$A$4:$A$245,0)),D34)))</f>
        <v>FLUMIOXAZINA 500 + DICLOSULAM 340</v>
      </c>
      <c r="P34" s="20" t="str">
        <f aca="false">IF(B34="","",IF(D34=O34,"CONFORME — Princípio Ativo Validado","DIVERGENTE — Substituir por: "&amp;O34))</f>
        <v>DIVERGENTE — Substituir por: FLUMIOXAZINA 500 + DICLOSULAM 340</v>
      </c>
      <c r="Q34" s="24" t="str">
        <f aca="false">IF(B34="","",IF(IF(IF(ISNUMBER(MATCH(A34,'4.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Produtos)'!$J$4:$J$848,IF(ISNUMBER(MATCH(A34,'4. Base Mestre (845 Produtos)'!$A$4:$A$848,0)),MATCH(A34,'4. Base Mestre (845 Produtos)'!$A$4:$A$848,0),IF(ISNUMBER(MATCH(B34,'4. Base Mestre (845 Produtos)'!$B$4:$B$848,0)),MATCH(B34,'4. Base Mestre (845 Produtos)'!$B$4:$B$848,0),0)))="SIM",IF(ISNUMBER(MATCH(D34,'3. Dicionario Principios Ativos'!$A$4:$A$245,0)),INDEX('3. Dicionario Principios Ativos'!$C$4:$C$245,MATCH(D34,'3. Dicionario Principios Ativos'!$A$4:$A$245,0))="SIM",FALSE())),IF(AND(K34&gt;0,K34&lt;=0.3001),"3808.61.00",IF(AND(K34&gt;0.3001,K34&lt;=7.5001),"3808.62.90","3808.69.90")),IF(AND(LEFT(IF(IF(ISNUMBER(MATCH(A34,'4.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Produtos)'!$L$4:$L$848,IF(ISNUMBER(MATCH(A34,'4. Base Mestre (845 Produtos)'!$A$4:$A$848,0)),MATCH(A34,'4. Base Mestre (845 Produtos)'!$A$4:$A$848,0),IF(ISNUMBER(MATCH(B34,'4. Base Mestre (845 Produtos)'!$B$4:$B$848,0)),MATCH(B34,'4. Base Mestre (845 Produtos)'!$B$4:$B$848,0),0))),IF(ISNUMBER(MATCH(D34,'3. Dicionario Principios Ativos'!$A$4:$A$245,0)),INDEX('3. Dicionario Principios Ativos'!$D$4:$D$245,MATCH(D34,'3. Dicionario Principios Ativos'!$A$4:$A$245,0)),E34)),2)="31",E34="3105.10.00",K34&gt;0,K34&lt;=10.0001),"3105.10.00",IF(AND(IF(IF(ISNUMBER(MATCH(A34,'4.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Produtos)'!$L$4:$L$848,IF(ISNUMBER(MATCH(A34,'4. Base Mestre (845 Produtos)'!$A$4:$A$848,0)),MATCH(A34,'4. Base Mestre (845 Produtos)'!$A$4:$A$848,0),IF(ISNUMBER(MATCH(B34,'4. Base Mestre (845 Produtos)'!$B$4:$B$848,0)),MATCH(B34,'4. Base Mestre (845 Produtos)'!$B$4:$B$848,0),0))),IF(ISNUMBER(MATCH(D34,'3. Dicionario Principios Ativos'!$A$4:$A$245,0)),INDEX('3. Dicionario Principios Ativos'!$D$4:$D$245,MATCH(D34,'3. Dicionario Principios Ativos'!$A$4:$A$245,0)),E34))="3105.10.00",K34&gt;10.0001),"3105.90.90",IF(IF(ISNUMBER(MATCH(A34,'4.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Produtos)'!$L$4:$L$848,IF(ISNUMBER(MATCH(A34,'4. Base Mestre (845 Produtos)'!$A$4:$A$848,0)),MATCH(A34,'4. Base Mestre (845 Produtos)'!$A$4:$A$848,0),IF(ISNUMBER(MATCH(B34,'4. Base Mestre (845 Produtos)'!$B$4:$B$848,0)),MATCH(B34,'4. Base Mestre (845 Produtos)'!$B$4:$B$848,0),0))),IF(ISNUMBER(MATCH(D34,'3. Dicionario Principios Ativos'!$A$4:$A$245,0)),INDEX('3. Dicionario Principios Ativos'!$D$4:$D$245,MATCH(D34,'3. Dicionario Principios Ativos'!$A$4:$A$245,0)),E34))))))</f>
        <v>3808.93.29</v>
      </c>
      <c r="R34" s="20" t="str">
        <f aca="false">IF(B34="","",IF(OR(E34=Q34,AND(Q34="3002.49.99",E34="3002.90.00")),"CONFORME — NCM "&amp;E34&amp;" Correta na TIPI","DIVERGENTE — Substituir "&amp;E34&amp;" por "&amp;Q34))</f>
        <v>CONFORME — NCM 3808.93.29 Correta na TIPI</v>
      </c>
      <c r="S34" s="20" t="str">
        <f aca="false">IF(B34="","",IF(AND(E34="3808.61.00",OR(K34&gt;0.3001,K34=0)),"INCOMPATÍVEL — NCM 3808.61.00 exige emb. &lt;= 0,3kg/L (Emb. atual: "&amp;K34&amp;" "&amp;L34&amp;" -&gt; usar "&amp;Q34&amp;")",IF(AND(LEFT(E34,7)="3808.62",OR(K34&lt;=0.3001,K34&gt;7.5001)),"INCOMPATÍVEL — NCM 3808.62 exige emb. de 0,3 a 7,5kg/L (Emb. atual: "&amp;K34&amp;" "&amp;L34&amp;" -&gt; usar "&amp;Q34&amp;")",IF(AND(LEFT(E34,7)="3808.69",K34&gt;0,K34&lt;=7.5001),"INCOMPATÍVEL — NCM 3808.69 exige emb. &gt; 7,5kg/L (Emb. atual: "&amp;K34&amp;" "&amp;L34&amp;" -&gt; usar "&amp;Q34&amp;")",IF(AND(LEFT(Q34,6)="3808.6",LEFT(E34,6)&lt;&gt;"3808.6"),"INCOMPATÍVEL — Molécula Nota Subpos. 2 c/ emb. "&amp;K34&amp;" "&amp;L34&amp;" exige NCM "&amp;Q34,IF(AND(OR(E34="3808.91.19",E34="3808.92.19",E34="3808.93.19",E34="3808.99.19"),K34&gt;=1),"INCOMPATÍVEL — Subitem .19 (Domissanitário) vedado p/ emb. agrícola de "&amp;K34&amp;" "&amp;L34,IF(AND(E34="3105.10.00",K34&gt;10.0001),"INCOMPATÍVEL — NCM 3105.10.00 exige peso bruto &lt;= 10kg (Emb. atual: "&amp;K34&amp;" "&amp;L34&amp;" -&gt; usar 3105.90.90)",IF(AND(LEFT(E34,2)="29",LEFT(Q34,4)="3808",K34&gt;0),"INCOMPATÍVEL — Produto formulado em emb. comercial ("&amp;K34&amp;" "&amp;L34&amp;") vedado no Cap. 29 -&gt; usar "&amp;Q34,"CONFORME — Embalagem ("&amp;K34&amp;" "&amp;L34&amp;") compatível c/ a NCM"))))))))</f>
        <v>CONFORME — Embalagem (0 KG) compatível c/ a NCM</v>
      </c>
      <c r="T34" s="24" t="str">
        <f aca="false">IF(B34="","",IF(IF(ISNUMBER(MATCH(A34,'4.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Produtos)'!$P$4:$P$848,IF(ISNUMBER(MATCH(A34,'4. Base Mestre (845 Produtos)'!$A$4:$A$848,0)),MATCH(A34,'4. Base Mestre (845 Produtos)'!$A$4:$A$848,0),IF(ISNUMBER(MATCH(B34,'4. Base Mestre (845 Produtos)'!$B$4:$B$848,0)),MATCH(B34,'4. Base Mestre (845 Produtos)'!$B$4:$B$848,0),0))),IF(ISNUMBER(MATCH(D34,'3. Dicionario Principios Ativos'!$A$4:$A$245,0)),INDEX('3. Dicionario Principios Ativos'!$K$4:$K$245,MATCH(D34,'3. Dicionario Principios Ativos'!$A$4:$A$245,0)),"VERIFICAR BULA")))</f>
        <v>VINCULAR MARCA</v>
      </c>
      <c r="U34" s="20" t="str">
        <f aca="false">IF(B34="","",IF(ISNUMBER(SEARCH("ISENTO",T34)),IF(OR(F34=0,F34="0",F34="ISENTO",F34=""),"CONFORME (DISPENSADO) — Isento pelo Ato SDA/MAPA nº 104/2017","INCORRETO — Produto isento de registro MAPA (usar 0 ou ISENTO)"),IF(ISNUMBER(SEARCH("SIPEAGRO",T34)),IF(ISNUMBER(SEARCH("-",F34)),"CONFORME — Registro SIPEAGRO ("&amp;F34&amp;") Preenchido","ADEQUAR P/ SIPEAGRO — Substituir 0 pelo Registro (UF-XXXXX-XXXXX.X)"),IF(ISNUMBER(SEARCH("VINCULAR",T34)),IF(AND(F34&lt;&gt;0,F34&lt;&gt;"0",F34&lt;&gt;""),"INCORRETO / TROCADO — Código "&amp;F34&amp;" pertence a outro produto (Vincular bula da marca)","VINCULAR MARCA — Cadastro de P.A. s/ marca fixa (Vincular registro na NF-e)"),IF(OR(F34=0,F34="0",F34=""),"AUSENTE (ZERO) — Preencher Registro Oficial MAPA nº "&amp;T34,IF(TEXT(F34,"0")=TEXT(T34,"0"),"CONFORME — Registro MAPA nº "&amp;T34&amp;" Validado na Bula","INCORRETO / TROCADO — Substituir "&amp;F34&amp;" pelo Registro Oficial nº "&amp;T34))))))</f>
        <v>INCORRETO / TROCADO — Código 13520 pertence a outro produto (Vincular bula da marca)</v>
      </c>
      <c r="V34" s="20" t="str">
        <f aca="false">IF(B34="","",IF(IF(ISNUMBER(MATCH(A34,'4.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Produtos)'!$S$4:$S$848,IF(ISNUMBER(MATCH(A34,'4. Base Mestre (845 Produtos)'!$A$4:$A$848,0)),MATCH(A34,'4. Base Mestre (845 Produtos)'!$A$4:$A$848,0),IF(ISNUMBER(MATCH(B34,'4. Base Mestre (845 Produtos)'!$B$4:$B$848,0)),MATCH(B34,'4. Base Mestre (845 Produtos)'!$B$4:$B$848,0),0))),IF(ISNUMBER(MATCH(D34,'3. Dicionario Principios Ativos'!$A$4:$A$245,0)),INDEX('3. Dicionario Principios Ativos'!$L$4:$L$245,MATCH(D34,'3. Dicionario Principios Ativos'!$A$4:$A$245,0)),"Verificar NCM")))</f>
        <v>Benefício Condicional à Destinação Agrícola: 0% até Mar/26 | 0,925% Real pós-Abr/26 (Dec. 5.630/05)</v>
      </c>
      <c r="W34" s="20" t="str">
        <f aca="false">IF(B34="","",IF(IF(ISNUMBER(MATCH(A34,'4. Base Mestre (845 Produtos)'!$A$4:$A$848,0)),MATCH(A34,'4. Base Mestre (845 Produtos)'!$A$4:$A$848,0),IF(ISNUMBER(MATCH(B34,'4. Base Mestre (845 Produtos)'!$B$4:$B$848,0)),MATCH(B34,'4. Base Mestre (845 Produtos)'!$B$4:$B$848,0),0))&gt;0,INDEX('4. Base Mestre (845 Produtos)'!$T$4:$T$848,IF(ISNUMBER(MATCH(A34,'4. Base Mestre (845 Produtos)'!$A$4:$A$848,0)),MATCH(A34,'4. Base Mestre (845 Produtos)'!$A$4:$A$848,0),IF(ISNUMBER(MATCH(B34,'4. Base Mestre (845 Produtos)'!$B$4:$B$848,0)),MATCH(B34,'4. Base Mestre (845 Produtos)'!$B$4:$B$848,0),0))),IF(ISNUMBER(MATCH(D34,'3. Dicionario Principios Ativos'!$A$4:$A$245,0)),INDEX('3. Dicionario Principios Ativos'!$M$4:$M$245,MATCH(D34,'3. Dicionario Principios Ativos'!$A$4:$A$245,0)),"Verificar CST")))</f>
        <v>Saída: CST 06 (c/ Ajuste M220/M620 pós-Abr/26) | Entrada Revenda: CST 73</v>
      </c>
      <c r="X34" s="23" t="str">
        <f aca="false">IF(B34="","",IF(AND(LEFT(M34,8)="CONFORME",LEFT(P34,8)="CONFORME",LEFT(R34,8)="CONFORME",LEFT(S34,8)="CONFORME",LEFT(U34,8)="CONFORME"),"CADASTRO 100% CONFORME — LIBERADO P/ ERP",IF(AND(LEFT(M34,8)="CONFORME",LEFT(P34,8)="CONFORME",LEFT(R34,8)="CONFORME",LEFT(S34,8)="CONFORME",OR(LEFT(U34,7)="ADEQUAR",LEFT(U34,8)="VINCULAR")),"FISCAL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35" customFormat="false" ht="21.75" hidden="false" customHeight="true" outlineLevel="0" collapsed="false">
      <c r="A35" s="10" t="n">
        <v>109</v>
      </c>
      <c r="B35" s="11" t="s">
        <v>134</v>
      </c>
      <c r="C35" s="12" t="s">
        <v>39</v>
      </c>
      <c r="D35" s="13" t="s">
        <v>135</v>
      </c>
      <c r="E35" s="12" t="s">
        <v>136</v>
      </c>
      <c r="F35" s="12" t="n">
        <v>26320</v>
      </c>
      <c r="G35" s="14"/>
      <c r="H35" s="13" t="s">
        <v>137</v>
      </c>
      <c r="I35" s="15" t="str">
        <f aca="false">IF(B35="","",IF(ISNUMBER(MATCH(A35,'4. Base Mestre (845 Produtos)'!$A$4:$A$848,0)),"Localizado por Código ("&amp;A35&amp;") na Base Mestre",IF(ISNUMBER(MATCH(B35,'4. Base Mestre (845 Produtos)'!$B$4:$B$848,0)),"Localizado por Descrição na Base Mestre",IF(ISNUMBER(MATCH(D35,'3. Dicionario Principios Ativos'!$A$4:$A$245,0)),"Produto Novo — Validado pelo Dicionário de P.A.","Não Localizado — Revisar Código/P.A."))))</f>
        <v>Localizado por Código (109) na Base Mestre</v>
      </c>
      <c r="J35" s="15" t="str">
        <f aca="false">IF(B35="","",IF(IF(ISNUMBER(MATCH(A35,'4.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Produtos)'!$I$4:$I$848,IF(ISNUMBER(MATCH(A35,'4. Base Mestre (845 Produtos)'!$A$4:$A$848,0)),MATCH(A35,'4. Base Mestre (845 Produtos)'!$A$4:$A$848,0),IF(ISNUMBER(MATCH(B35,'4. Base Mestre (845 Produtos)'!$B$4:$B$848,0)),MATCH(B35,'4. Base Mestre (845 Produtos)'!$B$4:$B$848,0),0))),IF(ISNUMBER(MATCH(D35,'3. Dicionario Principios Ativos'!$A$4:$A$245,0)),INDEX('3. Dicionario Principios Ativos'!$B$4:$B$245,MATCH(D35,'3. Dicionario Principios Ativos'!$A$4:$A$245,0)),"Revisar Classificação")))</f>
        <v>Defensivos — Fungicida</v>
      </c>
      <c r="K35" s="16" t="n">
        <f aca="false">IF(B35="","",IF(G35&lt;&gt;"",G35,IF(OR(ISNUMBER(SEARCH("PRINCIPIO ATIVO",B35)),ISNUMBER(SEARCH("PRINC. ATIVO",B35)),ISNUMBER(SEARCH("PR. ATIVO",B35)),ISNUMBER(SEARCH("PR.AT.",B35)),ISNUMBER(SEARCH("(P.A",B35)),ISNUMBER(SEARCH("(P. A",B35))),0,IF(OR(ISNUMBER(SEARCH("0,100KG",B35)),ISNUMBER(SEARCH("0,1KG",B35)),ISNUMBER(SEARCH("0,100L",B35))),0.1,IF(OR(ISNUMBER(SEARCH("0,200L",B35)),ISNUMBER(SEARCH("0,2L",B35)),ISNUMBER(SEARCH("0,200KG",B35)),ISNUMBER(SEARCH("0,2KG",B35))),0.2,IF(OR(ISNUMBER(SEARCH("0,240KG",B35)),ISNUMBER(SEARCH("0,250L",B35))),0.24,IF(OR(ISNUMBER(SEARCH("0,300KG",B35)),ISNUMBER(SEARCH("0,3KG",B35))),0.3,IF(OR(ISNUMBER(SEARCH("0,500L",B35)),ISNUMBER(SEARCH("0,5L",B35)),ISNUMBER(SEARCH("0,5KG",B35))),0.5,IF(ISNUMBER(SEARCH("0,8KG",B35)),0.8,IF(OR(ISNUMBER(SEARCH("1,5L",B35)),ISNUMBER(SEARCH("1,5KG",B35))),1.5,IF(OR(ISNUMBER(SEARCH("1,75L",B35)),ISNUMBER(SEARCH("1,8L",B35)),ISNUMBER(SEARCH("1.8L",B35))),1.8,IF(ISNUMBER(SEARCH("4,5KG",B35)),4.5,IF(ISNUMBER(SEARCH("7,5KG",B35)),7.5,IF(OR(ISNUMBER(SEARCH("1000L",B35)),ISNUMBER(SEARCH("1000KG",B35)),ISNUMBER(SEARCH("1.000KG",B35)),ISNUMBER(SEARCH("1.000L",B35)),ISNUMBER(SEARCH("1000 KG",B35)),ISNUMBER(SEARCH("GRANEL",B35)),ISNUMBER(SEARCH("(TON)",B35))),1000,IF(ISNUMBER(SEARCH("200L",B35)),200,IF(OR(ISNUMBER(SEARCH("25KG",B35)),ISNUMBER(SEARCH("25L",B35))),25,IF(OR(ISNUMBER(SEARCH("20L",B35)),ISNUMBER(SEARCH("20KG",B35))),20,IF(ISNUMBER(SEARCH("15KG",B35)),15,IF(OR(ISNUMBER(SEARCH("10L",B35)),ISNUMBER(SEARCH("10KG",B35))),10,IF(OR(ISNUMBER(SEARCH("5L",B35)),ISNUMBER(SEARCH("5KG",B35)),ISNUMBER(SEARCH("5LT",B35))),5,IF(OR(ISNUMBER(SEARCH("3KG",B35)),ISNUMBER(SEARCH("3L",B35))),3,IF(OR(ISNUMBER(SEARCH("2L",B35)),ISNUMBER(SEARCH("2KG",B35))),2,IF(OR(ISNUMBER(SEARCH("1L",B35)),ISNUMBER(SEARCH("1KG",B35)),ISNUMBER(SEARCH("1LT",B35))),1,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Produtos)'!$D$4:$D$848,IF(ISNUMBER(MATCH(A35,'4. Base Mestre (845 Produtos)'!$A$4:$A$848,0)),MATCH(A35,'4. Base Mestre (845 Produtos)'!$A$4:$A$848,0),IF(ISNUMBER(MATCH(B35,'4. Base Mestre (845 Produtos)'!$B$4:$B$848,0)),MATCH(B35,'4. Base Mestre (845 Produtos)'!$B$4:$B$848,0),0))),1))))))))))))))))))))))))</f>
        <v>20</v>
      </c>
      <c r="L35" s="17" t="str">
        <f aca="false">IF(B35="","",IF(OR(ISNUMBER(SEARCH("KG",B35)),ISNUMBER(SEARCH("GR",B35))),"KG",IF(OR(ISNUMBER(SEARCH("0,200L",B35)),ISNUMBER(SEARCH("0,2L",B35)),ISNUMBER(SEARCH("0,5L",B35)),ISNUMBER(SEARCH("1,5L",B35)),ISNUMBER(SEARCH("1,8L",B35)),ISNUMBER(SEARCH("1.8L",B35)),ISNUMBER(SEARCH("1L",B35)),ISNUMBER(SEARCH("2L",B35)),ISNUMBER(SEARCH("3L",B35)),ISNUMBER(SEARCH("5L",B35)),ISNUMBER(SEARCH("10L",B35)),ISNUMBER(SEARCH("20L",B35)),ISNUMBER(SEARCH("25L",B35)),ISNUMBER(SEARCH("200L",B35)),ISNUMBER(SEARCH("1000L",B35)),ISNUMBER(SEARCH("LT",B35))),"L",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Produtos)'!$E$4:$E$848,IF(ISNUMBER(MATCH(A35,'4. Base Mestre (845 Produtos)'!$A$4:$A$848,0)),MATCH(A35,'4. Base Mestre (845 Produtos)'!$A$4:$A$848,0),IF(ISNUMBER(MATCH(B35,'4. Base Mestre (845 Produtos)'!$B$4:$B$848,0)),MATCH(B35,'4. Base Mestre (845 Produtos)'!$B$4:$B$848,0),0))),C35))))</f>
        <v>L</v>
      </c>
      <c r="M35" s="15" t="str">
        <f aca="false">IF(B35="","",IF(C35=L35,"CONFORME — Unidade ("&amp;C35&amp;") compatível c/ Embalagem","DIVERGENTE — Embalagem em "&amp;L35&amp;", mas cadastrado em "&amp;C35))</f>
        <v>CONFORME — Unidade (L) compatível c/ Embalagem</v>
      </c>
      <c r="N35" s="15" t="str">
        <f aca="false">IF(B35="","",IF(K35=0,"Granel / Produto Técnico (Sem Embalagem Comercial)",IF(K35&lt;=0.3001,"Faixa 1 TIPI: Até 300g/mL (3808.61.00 / 3105.10.00)",IF(K35&lt;=7.5001,"Faixa 2 TIPI: De 300g a 7,5kg/L (3808.62.90 / 3105.10.00)",IF(K35&lt;=10.0001,"Faixa 3 TIPI: De 7,5kg a 10kg/L (3808.69.90 / 3105.10.00)","Faixa 4 TIPI: Acima de 10kg/L (3808.69.90 / Cap. 31 Geral)")))))</f>
        <v>Faixa 4 TIPI: Acima de 10kg/L (3808.69.90 / Cap. 31 Geral)</v>
      </c>
      <c r="O35" s="18" t="str">
        <f aca="false">IF(B35="","",IF(IF(ISNUMBER(MATCH(A35,'4.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Produtos)'!$H$4:$H$848,IF(ISNUMBER(MATCH(A35,'4. Base Mestre (845 Produtos)'!$A$4:$A$848,0)),MATCH(A35,'4. Base Mestre (845 Produtos)'!$A$4:$A$848,0),IF(ISNUMBER(MATCH(B35,'4. Base Mestre (845 Produtos)'!$B$4:$B$848,0)),MATCH(B35,'4. Base Mestre (845 Produtos)'!$B$4:$B$848,0),0))),IF(ISNUMBER(MATCH(D35,'3. Dicionario Principios Ativos'!$A$4:$A$245,0)),INDEX('3. Dicionario Principios Ativos'!$A$4:$A$245,MATCH(D35,'3. Dicionario Principios Ativos'!$A$4:$A$245,0)),D35)))</f>
        <v>CLOROTALONIL 720</v>
      </c>
      <c r="P35" s="15" t="str">
        <f aca="false">IF(B35="","",IF(D35=O35,"CONFORME — Princípio Ativo Validado","DIVERGENTE — Substituir por: "&amp;O35))</f>
        <v>CONFORME — Princípio Ativo Validado</v>
      </c>
      <c r="Q35" s="19" t="str">
        <f aca="false">IF(B35="","",IF(IF(IF(ISNUMBER(MATCH(A35,'4.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Produtos)'!$J$4:$J$848,IF(ISNUMBER(MATCH(A35,'4. Base Mestre (845 Produtos)'!$A$4:$A$848,0)),MATCH(A35,'4. Base Mestre (845 Produtos)'!$A$4:$A$848,0),IF(ISNUMBER(MATCH(B35,'4. Base Mestre (845 Produtos)'!$B$4:$B$848,0)),MATCH(B35,'4. Base Mestre (845 Produtos)'!$B$4:$B$848,0),0)))="SIM",IF(ISNUMBER(MATCH(D35,'3. Dicionario Principios Ativos'!$A$4:$A$245,0)),INDEX('3. Dicionario Principios Ativos'!$C$4:$C$245,MATCH(D35,'3. Dicionario Principios Ativos'!$A$4:$A$245,0))="SIM",FALSE())),IF(AND(K35&gt;0,K35&lt;=0.3001),"3808.61.00",IF(AND(K35&gt;0.3001,K35&lt;=7.5001),"3808.62.90","3808.69.90")),IF(AND(LEFT(IF(IF(ISNUMBER(MATCH(A35,'4.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Produtos)'!$L$4:$L$848,IF(ISNUMBER(MATCH(A35,'4. Base Mestre (845 Produtos)'!$A$4:$A$848,0)),MATCH(A35,'4. Base Mestre (845 Produtos)'!$A$4:$A$848,0),IF(ISNUMBER(MATCH(B35,'4. Base Mestre (845 Produtos)'!$B$4:$B$848,0)),MATCH(B35,'4. Base Mestre (845 Produtos)'!$B$4:$B$848,0),0))),IF(ISNUMBER(MATCH(D35,'3. Dicionario Principios Ativos'!$A$4:$A$245,0)),INDEX('3. Dicionario Principios Ativos'!$D$4:$D$245,MATCH(D35,'3. Dicionario Principios Ativos'!$A$4:$A$245,0)),E35)),2)="31",E35="3105.10.00",K35&gt;0,K35&lt;=10.0001),"3105.10.00",IF(AND(IF(IF(ISNUMBER(MATCH(A35,'4.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Produtos)'!$L$4:$L$848,IF(ISNUMBER(MATCH(A35,'4. Base Mestre (845 Produtos)'!$A$4:$A$848,0)),MATCH(A35,'4. Base Mestre (845 Produtos)'!$A$4:$A$848,0),IF(ISNUMBER(MATCH(B35,'4. Base Mestre (845 Produtos)'!$B$4:$B$848,0)),MATCH(B35,'4. Base Mestre (845 Produtos)'!$B$4:$B$848,0),0))),IF(ISNUMBER(MATCH(D35,'3. Dicionario Principios Ativos'!$A$4:$A$245,0)),INDEX('3. Dicionario Principios Ativos'!$D$4:$D$245,MATCH(D35,'3. Dicionario Principios Ativos'!$A$4:$A$245,0)),E35))="3105.10.00",K35&gt;10.0001),"3105.90.90",IF(IF(ISNUMBER(MATCH(A35,'4.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Produtos)'!$L$4:$L$848,IF(ISNUMBER(MATCH(A35,'4. Base Mestre (845 Produtos)'!$A$4:$A$848,0)),MATCH(A35,'4. Base Mestre (845 Produtos)'!$A$4:$A$848,0),IF(ISNUMBER(MATCH(B35,'4. Base Mestre (845 Produtos)'!$B$4:$B$848,0)),MATCH(B35,'4. Base Mestre (845 Produtos)'!$B$4:$B$848,0),0))),IF(ISNUMBER(MATCH(D35,'3. Dicionario Principios Ativos'!$A$4:$A$245,0)),INDEX('3. Dicionario Principios Ativos'!$D$4:$D$245,MATCH(D35,'3. Dicionario Principios Ativos'!$A$4:$A$245,0)),E35))))))</f>
        <v>3808.92.99</v>
      </c>
      <c r="R35" s="15" t="str">
        <f aca="false">IF(B35="","",IF(OR(E35=Q35,AND(Q35="3002.49.99",E35="3002.90.00")),"CONFORME — NCM "&amp;E35&amp;" Correta na TIPI","DIVERGENTE — Substituir "&amp;E35&amp;" por "&amp;Q35))</f>
        <v>DIVERGENTE — Substituir 3808.93.24 por 3808.92.99</v>
      </c>
      <c r="S35" s="15" t="str">
        <f aca="false">IF(B35="","",IF(AND(E35="3808.61.00",OR(K35&gt;0.3001,K35=0)),"INCOMPATÍVEL — NCM 3808.61.00 exige emb. &lt;= 0,3kg/L (Emb. atual: "&amp;K35&amp;" "&amp;L35&amp;" -&gt; usar "&amp;Q35&amp;")",IF(AND(LEFT(E35,7)="3808.62",OR(K35&lt;=0.3001,K35&gt;7.5001)),"INCOMPATÍVEL — NCM 3808.62 exige emb. de 0,3 a 7,5kg/L (Emb. atual: "&amp;K35&amp;" "&amp;L35&amp;" -&gt; usar "&amp;Q35&amp;")",IF(AND(LEFT(E35,7)="3808.69",K35&gt;0,K35&lt;=7.5001),"INCOMPATÍVEL — NCM 3808.69 exige emb. &gt; 7,5kg/L (Emb. atual: "&amp;K35&amp;" "&amp;L35&amp;" -&gt; usar "&amp;Q35&amp;")",IF(AND(LEFT(Q35,6)="3808.6",LEFT(E35,6)&lt;&gt;"3808.6"),"INCOMPATÍVEL — Molécula Nota Subpos. 2 c/ emb. "&amp;K35&amp;" "&amp;L35&amp;" exige NCM "&amp;Q35,IF(AND(OR(E35="3808.91.19",E35="3808.92.19",E35="3808.93.19",E35="3808.99.19"),K35&gt;=1),"INCOMPATÍVEL — Subitem .19 (Domissanitário) vedado p/ emb. agrícola de "&amp;K35&amp;" "&amp;L35,IF(AND(E35="3105.10.00",K35&gt;10.0001),"INCOMPATÍVEL — NCM 3105.10.00 exige peso bruto &lt;= 10kg (Emb. atual: "&amp;K35&amp;" "&amp;L35&amp;" -&gt; usar 3105.90.90)",IF(AND(LEFT(E35,2)="29",LEFT(Q35,4)="3808",K35&gt;0),"INCOMPATÍVEL — Produto formulado em emb. comercial ("&amp;K35&amp;" "&amp;L35&amp;") vedado no Cap. 29 -&gt; usar "&amp;Q35,"CONFORME — Embalagem ("&amp;K35&amp;" "&amp;L35&amp;") compatível c/ a NCM"))))))))</f>
        <v>CONFORME — Embalagem (20 L) compatível c/ a NCM</v>
      </c>
      <c r="T35" s="19" t="n">
        <f aca="false">IF(B35="","",IF(IF(ISNUMBER(MATCH(A35,'4.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Produtos)'!$P$4:$P$848,IF(ISNUMBER(MATCH(A35,'4. Base Mestre (845 Produtos)'!$A$4:$A$848,0)),MATCH(A35,'4. Base Mestre (845 Produtos)'!$A$4:$A$848,0),IF(ISNUMBER(MATCH(B35,'4. Base Mestre (845 Produtos)'!$B$4:$B$848,0)),MATCH(B35,'4. Base Mestre (845 Produtos)'!$B$4:$B$848,0),0))),IF(ISNUMBER(MATCH(D35,'3. Dicionario Principios Ativos'!$A$4:$A$245,0)),INDEX('3. Dicionario Principios Ativos'!$K$4:$K$245,MATCH(D35,'3. Dicionario Principios Ativos'!$A$4:$A$245,0)),"VERIFICAR BULA")))</f>
        <v>26321</v>
      </c>
      <c r="U35" s="15" t="str">
        <f aca="false">IF(B35="","",IF(ISNUMBER(SEARCH("ISENTO",T35)),IF(OR(F35=0,F35="0",F35="ISENTO",F35=""),"CONFORME (DISPENSADO) — Isento pelo Ato SDA/MAPA nº 104/2017","INCORRETO — Produto isento de registro MAPA (usar 0 ou ISENTO)"),IF(ISNUMBER(SEARCH("SIPEAGRO",T35)),IF(ISNUMBER(SEARCH("-",F35)),"CONFORME — Registro SIPEAGRO ("&amp;F35&amp;") Preenchido","ADEQUAR P/ SIPEAGRO — Substituir 0 pelo Registro (UF-XXXXX-XXXXX.X)"),IF(ISNUMBER(SEARCH("VINCULAR",T35)),IF(AND(F35&lt;&gt;0,F35&lt;&gt;"0",F35&lt;&gt;""),"INCORRETO / TROCADO — Código "&amp;F35&amp;" pertence a outro produto (Vincular bula da marca)","VINCULAR MARCA — Cadastro de P.A. s/ marca fixa (Vincular registro na NF-e)"),IF(OR(F35=0,F35="0",F35=""),"AUSENTE (ZERO) — Preencher Registro Oficial MAPA nº "&amp;T35,IF(TEXT(F35,"0")=TEXT(T35,"0"),"CONFORME — Registro MAPA nº "&amp;T35&amp;" Validado na Bula","INCORRETO / TROCADO — Substituir "&amp;F35&amp;" pelo Registro Oficial nº "&amp;T35))))))</f>
        <v>INCORRETO / TROCADO — Substituir 26320 pelo Registro Oficial nº 26321</v>
      </c>
      <c r="V35" s="15" t="str">
        <f aca="false">IF(B35="","",IF(IF(ISNUMBER(MATCH(A35,'4.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Produtos)'!$S$4:$S$848,IF(ISNUMBER(MATCH(A35,'4. Base Mestre (845 Produtos)'!$A$4:$A$848,0)),MATCH(A35,'4. Base Mestre (845 Produtos)'!$A$4:$A$848,0),IF(ISNUMBER(MATCH(B35,'4. Base Mestre (845 Produtos)'!$B$4:$B$848,0)),MATCH(B35,'4. Base Mestre (845 Produtos)'!$B$4:$B$848,0),0))),IF(ISNUMBER(MATCH(D35,'3. Dicionario Principios Ativos'!$A$4:$A$245,0)),INDEX('3. Dicionario Principios Ativos'!$L$4:$L$245,MATCH(D35,'3. Dicionario Principios Ativos'!$A$4:$A$245,0)),"Verificar NCM")))</f>
        <v>Beneficiado (Lei 10.925/04): 0% até Mar/26 | 0,925% Real / 0,365% Pres. pós-Abr/26 (LC 224/25)</v>
      </c>
      <c r="W35" s="15" t="str">
        <f aca="false">IF(B35="","",IF(IF(ISNUMBER(MATCH(A35,'4. Base Mestre (845 Produtos)'!$A$4:$A$848,0)),MATCH(A35,'4. Base Mestre (845 Produtos)'!$A$4:$A$848,0),IF(ISNUMBER(MATCH(B35,'4. Base Mestre (845 Produtos)'!$B$4:$B$848,0)),MATCH(B35,'4. Base Mestre (845 Produtos)'!$B$4:$B$848,0),0))&gt;0,INDEX('4. Base Mestre (845 Produtos)'!$T$4:$T$848,IF(ISNUMBER(MATCH(A35,'4. Base Mestre (845 Produtos)'!$A$4:$A$848,0)),MATCH(A35,'4. Base Mestre (845 Produtos)'!$A$4:$A$848,0),IF(ISNUMBER(MATCH(B35,'4. Base Mestre (845 Produtos)'!$B$4:$B$848,0)),MATCH(B35,'4. Base Mestre (845 Produtos)'!$B$4:$B$848,0),0))),IF(ISNUMBER(MATCH(D35,'3. Dicionario Principios Ativos'!$A$4:$A$245,0)),INDEX('3. Dicionario Principios Ativos'!$M$4:$M$245,MATCH(D35,'3. Dicionario Principios Ativos'!$A$4:$A$245,0)),"Verificar CST")))</f>
        <v>Saída: CST 06 (c/ Ajuste M220/M620 pós-Abr/26) | Entrada Revenda: CST 73</v>
      </c>
      <c r="X35" s="18" t="str">
        <f aca="false">IF(B35="","",IF(AND(LEFT(M35,8)="CONFORME",LEFT(P35,8)="CONFORME",LEFT(R35,8)="CONFORME",LEFT(S35,8)="CONFORME",LEFT(U35,8)="CONFORME"),"CADASTRO 100% CONFORME — LIBERADO P/ ERP",IF(AND(LEFT(M35,8)="CONFORME",LEFT(P35,8)="CONFORME",LEFT(R35,8)="CONFORME",LEFT(S35,8)="CONFORME",OR(LEFT(U35,7)="ADEQUAR",LEFT(U35,8)="VINCULAR")),"FISCAL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36" customFormat="false" ht="21.75" hidden="false" customHeight="true" outlineLevel="0" collapsed="false">
      <c r="A36" s="10" t="n">
        <v>1564</v>
      </c>
      <c r="B36" s="11" t="s">
        <v>138</v>
      </c>
      <c r="C36" s="12" t="s">
        <v>39</v>
      </c>
      <c r="D36" s="13" t="s">
        <v>139</v>
      </c>
      <c r="E36" s="12" t="s">
        <v>140</v>
      </c>
      <c r="F36" s="12" t="n">
        <v>24117</v>
      </c>
      <c r="G36" s="14"/>
      <c r="H36" s="13" t="s">
        <v>141</v>
      </c>
      <c r="I36" s="20" t="str">
        <f aca="false">IF(B36="","",IF(ISNUMBER(MATCH(A36,'4. Base Mestre (845 Produtos)'!$A$4:$A$848,0)),"Localizado por Código ("&amp;A36&amp;") na Base Mestre",IF(ISNUMBER(MATCH(B36,'4. Base Mestre (845 Produtos)'!$B$4:$B$848,0)),"Localizado por Descrição na Base Mestre",IF(ISNUMBER(MATCH(D36,'3. Dicionario Principios Ativos'!$A$4:$A$245,0)),"Produto Novo — Validado pelo Dicionário de P.A.","Não Localizado — Revisar Código/P.A."))))</f>
        <v>Localizado por Código (1564) na Base Mestre</v>
      </c>
      <c r="J36" s="20" t="str">
        <f aca="false">IF(B36="","",IF(IF(ISNUMBER(MATCH(A36,'4.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Produtos)'!$I$4:$I$848,IF(ISNUMBER(MATCH(A36,'4. Base Mestre (845 Produtos)'!$A$4:$A$848,0)),MATCH(A36,'4. Base Mestre (845 Produtos)'!$A$4:$A$848,0),IF(ISNUMBER(MATCH(B36,'4. Base Mestre (845 Produtos)'!$B$4:$B$848,0)),MATCH(B36,'4. Base Mestre (845 Produtos)'!$B$4:$B$848,0),0))),IF(ISNUMBER(MATCH(D36,'3. Dicionario Principios Ativos'!$A$4:$A$245,0)),INDEX('3. Dicionario Principios Ativos'!$B$4:$B$245,MATCH(D36,'3. Dicionario Principios Ativos'!$A$4:$A$245,0)),"Revisar Classificação")))</f>
        <v>Defensivos — Biofungicida (Biológico)</v>
      </c>
      <c r="K36" s="21" t="n">
        <f aca="false">IF(B36="","",IF(G36&lt;&gt;"",G36,IF(OR(ISNUMBER(SEARCH("PRINCIPIO ATIVO",B36)),ISNUMBER(SEARCH("PRINC. ATIVO",B36)),ISNUMBER(SEARCH("PR. ATIVO",B36)),ISNUMBER(SEARCH("PR.AT.",B36)),ISNUMBER(SEARCH("(P.A",B36)),ISNUMBER(SEARCH("(P. A",B36))),0,IF(OR(ISNUMBER(SEARCH("0,100KG",B36)),ISNUMBER(SEARCH("0,1KG",B36)),ISNUMBER(SEARCH("0,100L",B36))),0.1,IF(OR(ISNUMBER(SEARCH("0,200L",B36)),ISNUMBER(SEARCH("0,2L",B36)),ISNUMBER(SEARCH("0,200KG",B36)),ISNUMBER(SEARCH("0,2KG",B36))),0.2,IF(OR(ISNUMBER(SEARCH("0,240KG",B36)),ISNUMBER(SEARCH("0,250L",B36))),0.24,IF(OR(ISNUMBER(SEARCH("0,300KG",B36)),ISNUMBER(SEARCH("0,3KG",B36))),0.3,IF(OR(ISNUMBER(SEARCH("0,500L",B36)),ISNUMBER(SEARCH("0,5L",B36)),ISNUMBER(SEARCH("0,5KG",B36))),0.5,IF(ISNUMBER(SEARCH("0,8KG",B36)),0.8,IF(OR(ISNUMBER(SEARCH("1,5L",B36)),ISNUMBER(SEARCH("1,5KG",B36))),1.5,IF(OR(ISNUMBER(SEARCH("1,75L",B36)),ISNUMBER(SEARCH("1,8L",B36)),ISNUMBER(SEARCH("1.8L",B36))),1.8,IF(ISNUMBER(SEARCH("4,5KG",B36)),4.5,IF(ISNUMBER(SEARCH("7,5KG",B36)),7.5,IF(OR(ISNUMBER(SEARCH("1000L",B36)),ISNUMBER(SEARCH("1000KG",B36)),ISNUMBER(SEARCH("1.000KG",B36)),ISNUMBER(SEARCH("1.000L",B36)),ISNUMBER(SEARCH("1000 KG",B36)),ISNUMBER(SEARCH("GRANEL",B36)),ISNUMBER(SEARCH("(TON)",B36))),1000,IF(ISNUMBER(SEARCH("200L",B36)),200,IF(OR(ISNUMBER(SEARCH("25KG",B36)),ISNUMBER(SEARCH("25L",B36))),25,IF(OR(ISNUMBER(SEARCH("20L",B36)),ISNUMBER(SEARCH("20KG",B36))),20,IF(ISNUMBER(SEARCH("15KG",B36)),15,IF(OR(ISNUMBER(SEARCH("10L",B36)),ISNUMBER(SEARCH("10KG",B36))),10,IF(OR(ISNUMBER(SEARCH("5L",B36)),ISNUMBER(SEARCH("5KG",B36)),ISNUMBER(SEARCH("5LT",B36))),5,IF(OR(ISNUMBER(SEARCH("3KG",B36)),ISNUMBER(SEARCH("3L",B36))),3,IF(OR(ISNUMBER(SEARCH("2L",B36)),ISNUMBER(SEARCH("2KG",B36))),2,IF(OR(ISNUMBER(SEARCH("1L",B36)),ISNUMBER(SEARCH("1KG",B36)),ISNUMBER(SEARCH("1LT",B36))),1,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Produtos)'!$D$4:$D$848,IF(ISNUMBER(MATCH(A36,'4. Base Mestre (845 Produtos)'!$A$4:$A$848,0)),MATCH(A36,'4. Base Mestre (845 Produtos)'!$A$4:$A$848,0),IF(ISNUMBER(MATCH(B36,'4. Base Mestre (845 Produtos)'!$B$4:$B$848,0)),MATCH(B36,'4. Base Mestre (845 Produtos)'!$B$4:$B$848,0),0))),1))))))))))))))))))))))))</f>
        <v>5</v>
      </c>
      <c r="L36" s="22" t="str">
        <f aca="false">IF(B36="","",IF(OR(ISNUMBER(SEARCH("KG",B36)),ISNUMBER(SEARCH("GR",B36))),"KG",IF(OR(ISNUMBER(SEARCH("0,200L",B36)),ISNUMBER(SEARCH("0,2L",B36)),ISNUMBER(SEARCH("0,5L",B36)),ISNUMBER(SEARCH("1,5L",B36)),ISNUMBER(SEARCH("1,8L",B36)),ISNUMBER(SEARCH("1.8L",B36)),ISNUMBER(SEARCH("1L",B36)),ISNUMBER(SEARCH("2L",B36)),ISNUMBER(SEARCH("3L",B36)),ISNUMBER(SEARCH("5L",B36)),ISNUMBER(SEARCH("10L",B36)),ISNUMBER(SEARCH("20L",B36)),ISNUMBER(SEARCH("25L",B36)),ISNUMBER(SEARCH("200L",B36)),ISNUMBER(SEARCH("1000L",B36)),ISNUMBER(SEARCH("LT",B36))),"L",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Produtos)'!$E$4:$E$848,IF(ISNUMBER(MATCH(A36,'4. Base Mestre (845 Produtos)'!$A$4:$A$848,0)),MATCH(A36,'4. Base Mestre (845 Produtos)'!$A$4:$A$848,0),IF(ISNUMBER(MATCH(B36,'4. Base Mestre (845 Produtos)'!$B$4:$B$848,0)),MATCH(B36,'4. Base Mestre (845 Produtos)'!$B$4:$B$848,0),0))),C36))))</f>
        <v>L</v>
      </c>
      <c r="M36" s="20" t="str">
        <f aca="false">IF(B36="","",IF(C36=L36,"CONFORME — Unidade ("&amp;C36&amp;") compatível c/ Embalagem","DIVERGENTE — Embalagem em "&amp;L36&amp;", mas cadastrado em "&amp;C36))</f>
        <v>CONFORME — Unidade (L) compatível c/ Embalagem</v>
      </c>
      <c r="N36" s="20" t="str">
        <f aca="false">IF(B36="","",IF(K36=0,"Granel / Produto Técnico (Sem Embalagem Comercial)",IF(K36&lt;=0.3001,"Faixa 1 TIPI: Até 300g/mL (3808.61.00 / 3105.10.00)",IF(K36&lt;=7.5001,"Faixa 2 TIPI: De 300g a 7,5kg/L (3808.62.90 / 3105.10.00)",IF(K36&lt;=10.0001,"Faixa 3 TIPI: De 7,5kg a 10kg/L (3808.69.90 / 3105.10.00)","Faixa 4 TIPI: Acima de 10kg/L (3808.69.90 / Cap. 31 Geral)")))))</f>
        <v>Faixa 2 TIPI: De 300g a 7,5kg/L (3808.62.90 / 3105.10.00)</v>
      </c>
      <c r="O36" s="23" t="str">
        <f aca="false">IF(B36="","",IF(IF(ISNUMBER(MATCH(A36,'4.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Produtos)'!$H$4:$H$848,IF(ISNUMBER(MATCH(A36,'4. Base Mestre (845 Produtos)'!$A$4:$A$848,0)),MATCH(A36,'4. Base Mestre (845 Produtos)'!$A$4:$A$848,0),IF(ISNUMBER(MATCH(B36,'4. Base Mestre (845 Produtos)'!$B$4:$B$848,0)),MATCH(B36,'4. Base Mestre (845 Produtos)'!$B$4:$B$848,0),0))),IF(ISNUMBER(MATCH(D36,'3. Dicionario Principios Ativos'!$A$4:$A$245,0)),INDEX('3. Dicionario Principios Ativos'!$A$4:$A$245,MATCH(D36,'3. Dicionario Principios Ativos'!$A$4:$A$245,0)),D36)))</f>
        <v>TRICHODERMA ASPERELLUM ISOLADO BV -10</v>
      </c>
      <c r="P36" s="20" t="str">
        <f aca="false">IF(B36="","",IF(D36=O36,"CONFORME — Princípio Ativo Validado","DIVERGENTE — Substituir por: "&amp;O36))</f>
        <v>CONFORME — Princípio Ativo Validado</v>
      </c>
      <c r="Q36" s="24" t="str">
        <f aca="false">IF(B36="","",IF(IF(IF(ISNUMBER(MATCH(A36,'4.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Produtos)'!$J$4:$J$848,IF(ISNUMBER(MATCH(A36,'4. Base Mestre (845 Produtos)'!$A$4:$A$848,0)),MATCH(A36,'4. Base Mestre (845 Produtos)'!$A$4:$A$848,0),IF(ISNUMBER(MATCH(B36,'4. Base Mestre (845 Produtos)'!$B$4:$B$848,0)),MATCH(B36,'4. Base Mestre (845 Produtos)'!$B$4:$B$848,0),0)))="SIM",IF(ISNUMBER(MATCH(D36,'3. Dicionario Principios Ativos'!$A$4:$A$245,0)),INDEX('3. Dicionario Principios Ativos'!$C$4:$C$245,MATCH(D36,'3. Dicionario Principios Ativos'!$A$4:$A$245,0))="SIM",FALSE())),IF(AND(K36&gt;0,K36&lt;=0.3001),"3808.61.00",IF(AND(K36&gt;0.3001,K36&lt;=7.5001),"3808.62.90","3808.69.90")),IF(AND(LEFT(IF(IF(ISNUMBER(MATCH(A36,'4.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Produtos)'!$L$4:$L$848,IF(ISNUMBER(MATCH(A36,'4. Base Mestre (845 Produtos)'!$A$4:$A$848,0)),MATCH(A36,'4. Base Mestre (845 Produtos)'!$A$4:$A$848,0),IF(ISNUMBER(MATCH(B36,'4. Base Mestre (845 Produtos)'!$B$4:$B$848,0)),MATCH(B36,'4. Base Mestre (845 Produtos)'!$B$4:$B$848,0),0))),IF(ISNUMBER(MATCH(D36,'3. Dicionario Principios Ativos'!$A$4:$A$245,0)),INDEX('3. Dicionario Principios Ativos'!$D$4:$D$245,MATCH(D36,'3. Dicionario Principios Ativos'!$A$4:$A$245,0)),E36)),2)="31",E36="3105.10.00",K36&gt;0,K36&lt;=10.0001),"3105.10.00",IF(AND(IF(IF(ISNUMBER(MATCH(A36,'4.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Produtos)'!$L$4:$L$848,IF(ISNUMBER(MATCH(A36,'4. Base Mestre (845 Produtos)'!$A$4:$A$848,0)),MATCH(A36,'4. Base Mestre (845 Produtos)'!$A$4:$A$848,0),IF(ISNUMBER(MATCH(B36,'4. Base Mestre (845 Produtos)'!$B$4:$B$848,0)),MATCH(B36,'4. Base Mestre (845 Produtos)'!$B$4:$B$848,0),0))),IF(ISNUMBER(MATCH(D36,'3. Dicionario Principios Ativos'!$A$4:$A$245,0)),INDEX('3. Dicionario Principios Ativos'!$D$4:$D$245,MATCH(D36,'3. Dicionario Principios Ativos'!$A$4:$A$245,0)),E36))="3105.10.00",K36&gt;10.0001),"3105.90.90",IF(IF(ISNUMBER(MATCH(A36,'4.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Produtos)'!$L$4:$L$848,IF(ISNUMBER(MATCH(A36,'4. Base Mestre (845 Produtos)'!$A$4:$A$848,0)),MATCH(A36,'4. Base Mestre (845 Produtos)'!$A$4:$A$848,0),IF(ISNUMBER(MATCH(B36,'4. Base Mestre (845 Produtos)'!$B$4:$B$848,0)),MATCH(B36,'4. Base Mestre (845 Produtos)'!$B$4:$B$848,0),0))),IF(ISNUMBER(MATCH(D36,'3. Dicionario Principios Ativos'!$A$4:$A$245,0)),INDEX('3. Dicionario Principios Ativos'!$D$4:$D$245,MATCH(D36,'3. Dicionario Principios Ativos'!$A$4:$A$245,0)),E36))))))</f>
        <v>3808.92.99</v>
      </c>
      <c r="R36" s="20" t="str">
        <f aca="false">IF(B36="","",IF(OR(E36=Q36,AND(Q36="3002.49.99",E36="3002.90.00")),"CONFORME — NCM "&amp;E36&amp;" Correta na TIPI","DIVERGENTE — Substituir "&amp;E36&amp;" por "&amp;Q36))</f>
        <v>CONFORME — NCM 3808.92.99 Correta na TIPI</v>
      </c>
      <c r="S36" s="20" t="str">
        <f aca="false">IF(B36="","",IF(AND(E36="3808.61.00",OR(K36&gt;0.3001,K36=0)),"INCOMPATÍVEL — NCM 3808.61.00 exige emb. &lt;= 0,3kg/L (Emb. atual: "&amp;K36&amp;" "&amp;L36&amp;" -&gt; usar "&amp;Q36&amp;")",IF(AND(LEFT(E36,7)="3808.62",OR(K36&lt;=0.3001,K36&gt;7.5001)),"INCOMPATÍVEL — NCM 3808.62 exige emb. de 0,3 a 7,5kg/L (Emb. atual: "&amp;K36&amp;" "&amp;L36&amp;" -&gt; usar "&amp;Q36&amp;")",IF(AND(LEFT(E36,7)="3808.69",K36&gt;0,K36&lt;=7.5001),"INCOMPATÍVEL — NCM 3808.69 exige emb. &gt; 7,5kg/L (Emb. atual: "&amp;K36&amp;" "&amp;L36&amp;" -&gt; usar "&amp;Q36&amp;")",IF(AND(LEFT(Q36,6)="3808.6",LEFT(E36,6)&lt;&gt;"3808.6"),"INCOMPATÍVEL — Molécula Nota Subpos. 2 c/ emb. "&amp;K36&amp;" "&amp;L36&amp;" exige NCM "&amp;Q36,IF(AND(OR(E36="3808.91.19",E36="3808.92.19",E36="3808.93.19",E36="3808.99.19"),K36&gt;=1),"INCOMPATÍVEL — Subitem .19 (Domissanitário) vedado p/ emb. agrícola de "&amp;K36&amp;" "&amp;L36,IF(AND(E36="3105.10.00",K36&gt;10.0001),"INCOMPATÍVEL — NCM 3105.10.00 exige peso bruto &lt;= 10kg (Emb. atual: "&amp;K36&amp;" "&amp;L36&amp;" -&gt; usar 3105.90.90)",IF(AND(LEFT(E36,2)="29",LEFT(Q36,4)="3808",K36&gt;0),"INCOMPATÍVEL — Produto formulado em emb. comercial ("&amp;K36&amp;" "&amp;L36&amp;") vedado no Cap. 29 -&gt; usar "&amp;Q36,"CONFORME — Embalagem ("&amp;K36&amp;" "&amp;L36&amp;") compatível c/ a NCM"))))))))</f>
        <v>CONFORME — Embalagem (5 L) compatível c/ a NCM</v>
      </c>
      <c r="T36" s="24" t="n">
        <f aca="false">IF(B36="","",IF(IF(ISNUMBER(MATCH(A36,'4.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Produtos)'!$P$4:$P$848,IF(ISNUMBER(MATCH(A36,'4. Base Mestre (845 Produtos)'!$A$4:$A$848,0)),MATCH(A36,'4. Base Mestre (845 Produtos)'!$A$4:$A$848,0),IF(ISNUMBER(MATCH(B36,'4. Base Mestre (845 Produtos)'!$B$4:$B$848,0)),MATCH(B36,'4. Base Mestre (845 Produtos)'!$B$4:$B$848,0),0))),IF(ISNUMBER(MATCH(D36,'3. Dicionario Principios Ativos'!$A$4:$A$245,0)),INDEX('3. Dicionario Principios Ativos'!$K$4:$K$245,MATCH(D36,'3. Dicionario Principios Ativos'!$A$4:$A$245,0)),"VERIFICAR BULA")))</f>
        <v>34018</v>
      </c>
      <c r="U36" s="20" t="str">
        <f aca="false">IF(B36="","",IF(ISNUMBER(SEARCH("ISENTO",T36)),IF(OR(F36=0,F36="0",F36="ISENTO",F36=""),"CONFORME (DISPENSADO) — Isento pelo Ato SDA/MAPA nº 104/2017","INCORRETO — Produto isento de registro MAPA (usar 0 ou ISENTO)"),IF(ISNUMBER(SEARCH("SIPEAGRO",T36)),IF(ISNUMBER(SEARCH("-",F36)),"CONFORME — Registro SIPEAGRO ("&amp;F36&amp;") Preenchido","ADEQUAR P/ SIPEAGRO — Substituir 0 pelo Registro (UF-XXXXX-XXXXX.X)"),IF(ISNUMBER(SEARCH("VINCULAR",T36)),IF(AND(F36&lt;&gt;0,F36&lt;&gt;"0",F36&lt;&gt;""),"INCORRETO / TROCADO — Código "&amp;F36&amp;" pertence a outro produto (Vincular bula da marca)","VINCULAR MARCA — Cadastro de P.A. s/ marca fixa (Vincular registro na NF-e)"),IF(OR(F36=0,F36="0",F36=""),"AUSENTE (ZERO) — Preencher Registro Oficial MAPA nº "&amp;T36,IF(TEXT(F36,"0")=TEXT(T36,"0"),"CONFORME — Registro MAPA nº "&amp;T36&amp;" Validado na Bula","INCORRETO / TROCADO — Substituir "&amp;F36&amp;" pelo Registro Oficial nº "&amp;T36))))))</f>
        <v>INCORRETO / TROCADO — Substituir 24117 pelo Registro Oficial nº 34018</v>
      </c>
      <c r="V36" s="20" t="str">
        <f aca="false">IF(B36="","",IF(IF(ISNUMBER(MATCH(A36,'4.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Produtos)'!$S$4:$S$848,IF(ISNUMBER(MATCH(A36,'4. Base Mestre (845 Produtos)'!$A$4:$A$848,0)),MATCH(A36,'4. Base Mestre (845 Produtos)'!$A$4:$A$848,0),IF(ISNUMBER(MATCH(B36,'4. Base Mestre (845 Produtos)'!$B$4:$B$848,0)),MATCH(B36,'4. Base Mestre (845 Produtos)'!$B$4:$B$848,0),0))),IF(ISNUMBER(MATCH(D36,'3. Dicionario Principios Ativos'!$A$4:$A$245,0)),INDEX('3. Dicionario Principios Ativos'!$L$4:$L$245,MATCH(D36,'3. Dicionario Principios Ativos'!$A$4:$A$245,0)),"Verificar NCM")))</f>
        <v>Beneficiado (Lei 10.925/04): 0% até Mar/26 | 0,925% Real / 0,365% Pres. pós-Abr/26 (LC 224/25)</v>
      </c>
      <c r="W36" s="20" t="str">
        <f aca="false">IF(B36="","",IF(IF(ISNUMBER(MATCH(A36,'4. Base Mestre (845 Produtos)'!$A$4:$A$848,0)),MATCH(A36,'4. Base Mestre (845 Produtos)'!$A$4:$A$848,0),IF(ISNUMBER(MATCH(B36,'4. Base Mestre (845 Produtos)'!$B$4:$B$848,0)),MATCH(B36,'4. Base Mestre (845 Produtos)'!$B$4:$B$848,0),0))&gt;0,INDEX('4. Base Mestre (845 Produtos)'!$T$4:$T$848,IF(ISNUMBER(MATCH(A36,'4. Base Mestre (845 Produtos)'!$A$4:$A$848,0)),MATCH(A36,'4. Base Mestre (845 Produtos)'!$A$4:$A$848,0),IF(ISNUMBER(MATCH(B36,'4. Base Mestre (845 Produtos)'!$B$4:$B$848,0)),MATCH(B36,'4. Base Mestre (845 Produtos)'!$B$4:$B$848,0),0))),IF(ISNUMBER(MATCH(D36,'3. Dicionario Principios Ativos'!$A$4:$A$245,0)),INDEX('3. Dicionario Principios Ativos'!$M$4:$M$245,MATCH(D36,'3. Dicionario Principios Ativos'!$A$4:$A$245,0)),"Verificar CST")))</f>
        <v>Saída: CST 06 (c/ Ajuste M220/M620 pós-Abr/26) | Entrada Revenda: CST 73</v>
      </c>
      <c r="X36" s="23" t="str">
        <f aca="false">IF(B36="","",IF(AND(LEFT(M36,8)="CONFORME",LEFT(P36,8)="CONFORME",LEFT(R36,8)="CONFORME",LEFT(S36,8)="CONFORME",LEFT(U36,8)="CONFORME"),"CADASTRO 100% CONFORME — LIBERADO P/ ERP",IF(AND(LEFT(M36,8)="CONFORME",LEFT(P36,8)="CONFORME",LEFT(R36,8)="CONFORME",LEFT(S36,8)="CONFORME",OR(LEFT(U36,7)="ADEQUAR",LEFT(U36,8)="VINCULAR")),"FISCAL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37" customFormat="false" ht="21.75" hidden="false" customHeight="true" outlineLevel="0" collapsed="false">
      <c r="A37" s="10" t="n">
        <v>2656</v>
      </c>
      <c r="B37" s="11" t="s">
        <v>138</v>
      </c>
      <c r="C37" s="12" t="s">
        <v>39</v>
      </c>
      <c r="D37" s="13" t="s">
        <v>139</v>
      </c>
      <c r="E37" s="12" t="s">
        <v>142</v>
      </c>
      <c r="F37" s="12" t="n">
        <v>24117</v>
      </c>
      <c r="G37" s="14"/>
      <c r="H37" s="13" t="s">
        <v>143</v>
      </c>
      <c r="I37" s="15" t="str">
        <f aca="false">IF(B37="","",IF(ISNUMBER(MATCH(A37,'4. Base Mestre (845 Produtos)'!$A$4:$A$848,0)),"Localizado por Código ("&amp;A37&amp;") na Base Mestre",IF(ISNUMBER(MATCH(B37,'4. Base Mestre (845 Produtos)'!$B$4:$B$848,0)),"Localizado por Descrição na Base Mestre",IF(ISNUMBER(MATCH(D37,'3. Dicionario Principios Ativos'!$A$4:$A$245,0)),"Produto Novo — Validado pelo Dicionário de P.A.","Não Localizado — Revisar Código/P.A."))))</f>
        <v>Localizado por Código (2656) na Base Mestre</v>
      </c>
      <c r="J37" s="15" t="str">
        <f aca="false">IF(B37="","",IF(IF(ISNUMBER(MATCH(A37,'4.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Produtos)'!$I$4:$I$848,IF(ISNUMBER(MATCH(A37,'4. Base Mestre (845 Produtos)'!$A$4:$A$848,0)),MATCH(A37,'4. Base Mestre (845 Produtos)'!$A$4:$A$848,0),IF(ISNUMBER(MATCH(B37,'4. Base Mestre (845 Produtos)'!$B$4:$B$848,0)),MATCH(B37,'4. Base Mestre (845 Produtos)'!$B$4:$B$848,0),0))),IF(ISNUMBER(MATCH(D37,'3. Dicionario Principios Ativos'!$A$4:$A$245,0)),INDEX('3. Dicionario Principios Ativos'!$B$4:$B$245,MATCH(D37,'3. Dicionario Principios Ativos'!$A$4:$A$245,0)),"Revisar Classificação")))</f>
        <v>Defensivos — Biofungicida (Biológico)</v>
      </c>
      <c r="K37" s="16" t="n">
        <f aca="false">IF(B37="","",IF(G37&lt;&gt;"",G37,IF(OR(ISNUMBER(SEARCH("PRINCIPIO ATIVO",B37)),ISNUMBER(SEARCH("PRINC. ATIVO",B37)),ISNUMBER(SEARCH("PR. ATIVO",B37)),ISNUMBER(SEARCH("PR.AT.",B37)),ISNUMBER(SEARCH("(P.A",B37)),ISNUMBER(SEARCH("(P. A",B37))),0,IF(OR(ISNUMBER(SEARCH("0,100KG",B37)),ISNUMBER(SEARCH("0,1KG",B37)),ISNUMBER(SEARCH("0,100L",B37))),0.1,IF(OR(ISNUMBER(SEARCH("0,200L",B37)),ISNUMBER(SEARCH("0,2L",B37)),ISNUMBER(SEARCH("0,200KG",B37)),ISNUMBER(SEARCH("0,2KG",B37))),0.2,IF(OR(ISNUMBER(SEARCH("0,240KG",B37)),ISNUMBER(SEARCH("0,250L",B37))),0.24,IF(OR(ISNUMBER(SEARCH("0,300KG",B37)),ISNUMBER(SEARCH("0,3KG",B37))),0.3,IF(OR(ISNUMBER(SEARCH("0,500L",B37)),ISNUMBER(SEARCH("0,5L",B37)),ISNUMBER(SEARCH("0,5KG",B37))),0.5,IF(ISNUMBER(SEARCH("0,8KG",B37)),0.8,IF(OR(ISNUMBER(SEARCH("1,5L",B37)),ISNUMBER(SEARCH("1,5KG",B37))),1.5,IF(OR(ISNUMBER(SEARCH("1,75L",B37)),ISNUMBER(SEARCH("1,8L",B37)),ISNUMBER(SEARCH("1.8L",B37))),1.8,IF(ISNUMBER(SEARCH("4,5KG",B37)),4.5,IF(ISNUMBER(SEARCH("7,5KG",B37)),7.5,IF(OR(ISNUMBER(SEARCH("1000L",B37)),ISNUMBER(SEARCH("1000KG",B37)),ISNUMBER(SEARCH("1.000KG",B37)),ISNUMBER(SEARCH("1.000L",B37)),ISNUMBER(SEARCH("1000 KG",B37)),ISNUMBER(SEARCH("GRANEL",B37)),ISNUMBER(SEARCH("(TON)",B37))),1000,IF(ISNUMBER(SEARCH("200L",B37)),200,IF(OR(ISNUMBER(SEARCH("25KG",B37)),ISNUMBER(SEARCH("25L",B37))),25,IF(OR(ISNUMBER(SEARCH("20L",B37)),ISNUMBER(SEARCH("20KG",B37))),20,IF(ISNUMBER(SEARCH("15KG",B37)),15,IF(OR(ISNUMBER(SEARCH("10L",B37)),ISNUMBER(SEARCH("10KG",B37))),10,IF(OR(ISNUMBER(SEARCH("5L",B37)),ISNUMBER(SEARCH("5KG",B37)),ISNUMBER(SEARCH("5LT",B37))),5,IF(OR(ISNUMBER(SEARCH("3KG",B37)),ISNUMBER(SEARCH("3L",B37))),3,IF(OR(ISNUMBER(SEARCH("2L",B37)),ISNUMBER(SEARCH("2KG",B37))),2,IF(OR(ISNUMBER(SEARCH("1L",B37)),ISNUMBER(SEARCH("1KG",B37)),ISNUMBER(SEARCH("1LT",B37))),1,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Produtos)'!$D$4:$D$848,IF(ISNUMBER(MATCH(A37,'4. Base Mestre (845 Produtos)'!$A$4:$A$848,0)),MATCH(A37,'4. Base Mestre (845 Produtos)'!$A$4:$A$848,0),IF(ISNUMBER(MATCH(B37,'4. Base Mestre (845 Produtos)'!$B$4:$B$848,0)),MATCH(B37,'4. Base Mestre (845 Produtos)'!$B$4:$B$848,0),0))),1))))))))))))))))))))))))</f>
        <v>5</v>
      </c>
      <c r="L37" s="17" t="str">
        <f aca="false">IF(B37="","",IF(OR(ISNUMBER(SEARCH("KG",B37)),ISNUMBER(SEARCH("GR",B37))),"KG",IF(OR(ISNUMBER(SEARCH("0,200L",B37)),ISNUMBER(SEARCH("0,2L",B37)),ISNUMBER(SEARCH("0,5L",B37)),ISNUMBER(SEARCH("1,5L",B37)),ISNUMBER(SEARCH("1,8L",B37)),ISNUMBER(SEARCH("1.8L",B37)),ISNUMBER(SEARCH("1L",B37)),ISNUMBER(SEARCH("2L",B37)),ISNUMBER(SEARCH("3L",B37)),ISNUMBER(SEARCH("5L",B37)),ISNUMBER(SEARCH("10L",B37)),ISNUMBER(SEARCH("20L",B37)),ISNUMBER(SEARCH("25L",B37)),ISNUMBER(SEARCH("200L",B37)),ISNUMBER(SEARCH("1000L",B37)),ISNUMBER(SEARCH("LT",B37))),"L",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Produtos)'!$E$4:$E$848,IF(ISNUMBER(MATCH(A37,'4. Base Mestre (845 Produtos)'!$A$4:$A$848,0)),MATCH(A37,'4. Base Mestre (845 Produtos)'!$A$4:$A$848,0),IF(ISNUMBER(MATCH(B37,'4. Base Mestre (845 Produtos)'!$B$4:$B$848,0)),MATCH(B37,'4. Base Mestre (845 Produtos)'!$B$4:$B$848,0),0))),C37))))</f>
        <v>L</v>
      </c>
      <c r="M37" s="15" t="str">
        <f aca="false">IF(B37="","",IF(C37=L37,"CONFORME — Unidade ("&amp;C37&amp;") compatível c/ Embalagem","DIVERGENTE — Embalagem em "&amp;L37&amp;", mas cadastrado em "&amp;C37))</f>
        <v>CONFORME — Unidade (L) compatível c/ Embalagem</v>
      </c>
      <c r="N37" s="15" t="str">
        <f aca="false">IF(B37="","",IF(K37=0,"Granel / Produto Técnico (Sem Embalagem Comercial)",IF(K37&lt;=0.3001,"Faixa 1 TIPI: Até 300g/mL (3808.61.00 / 3105.10.00)",IF(K37&lt;=7.5001,"Faixa 2 TIPI: De 300g a 7,5kg/L (3808.62.90 / 3105.10.00)",IF(K37&lt;=10.0001,"Faixa 3 TIPI: De 7,5kg a 10kg/L (3808.69.90 / 3105.10.00)","Faixa 4 TIPI: Acima de 10kg/L (3808.69.90 / Cap. 31 Geral)")))))</f>
        <v>Faixa 2 TIPI: De 300g a 7,5kg/L (3808.62.90 / 3105.10.00)</v>
      </c>
      <c r="O37" s="18" t="str">
        <f aca="false">IF(B37="","",IF(IF(ISNUMBER(MATCH(A37,'4.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Produtos)'!$H$4:$H$848,IF(ISNUMBER(MATCH(A37,'4. Base Mestre (845 Produtos)'!$A$4:$A$848,0)),MATCH(A37,'4. Base Mestre (845 Produtos)'!$A$4:$A$848,0),IF(ISNUMBER(MATCH(B37,'4. Base Mestre (845 Produtos)'!$B$4:$B$848,0)),MATCH(B37,'4. Base Mestre (845 Produtos)'!$B$4:$B$848,0),0))),IF(ISNUMBER(MATCH(D37,'3. Dicionario Principios Ativos'!$A$4:$A$245,0)),INDEX('3. Dicionario Principios Ativos'!$A$4:$A$245,MATCH(D37,'3. Dicionario Principios Ativos'!$A$4:$A$245,0)),D37)))</f>
        <v>TRICHODERMA ASPERELLUM ISOLADO BV -10</v>
      </c>
      <c r="P37" s="15" t="str">
        <f aca="false">IF(B37="","",IF(D37=O37,"CONFORME — Princípio Ativo Validado","DIVERGENTE — Substituir por: "&amp;O37))</f>
        <v>CONFORME — Princípio Ativo Validado</v>
      </c>
      <c r="Q37" s="19" t="str">
        <f aca="false">IF(B37="","",IF(IF(IF(ISNUMBER(MATCH(A37,'4.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Produtos)'!$J$4:$J$848,IF(ISNUMBER(MATCH(A37,'4. Base Mestre (845 Produtos)'!$A$4:$A$848,0)),MATCH(A37,'4. Base Mestre (845 Produtos)'!$A$4:$A$848,0),IF(ISNUMBER(MATCH(B37,'4. Base Mestre (845 Produtos)'!$B$4:$B$848,0)),MATCH(B37,'4. Base Mestre (845 Produtos)'!$B$4:$B$848,0),0)))="SIM",IF(ISNUMBER(MATCH(D37,'3. Dicionario Principios Ativos'!$A$4:$A$245,0)),INDEX('3. Dicionario Principios Ativos'!$C$4:$C$245,MATCH(D37,'3. Dicionario Principios Ativos'!$A$4:$A$245,0))="SIM",FALSE())),IF(AND(K37&gt;0,K37&lt;=0.3001),"3808.61.00",IF(AND(K37&gt;0.3001,K37&lt;=7.5001),"3808.62.90","3808.69.90")),IF(AND(LEFT(IF(IF(ISNUMBER(MATCH(A37,'4.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Produtos)'!$L$4:$L$848,IF(ISNUMBER(MATCH(A37,'4. Base Mestre (845 Produtos)'!$A$4:$A$848,0)),MATCH(A37,'4. Base Mestre (845 Produtos)'!$A$4:$A$848,0),IF(ISNUMBER(MATCH(B37,'4. Base Mestre (845 Produtos)'!$B$4:$B$848,0)),MATCH(B37,'4. Base Mestre (845 Produtos)'!$B$4:$B$848,0),0))),IF(ISNUMBER(MATCH(D37,'3. Dicionario Principios Ativos'!$A$4:$A$245,0)),INDEX('3. Dicionario Principios Ativos'!$D$4:$D$245,MATCH(D37,'3. Dicionario Principios Ativos'!$A$4:$A$245,0)),E37)),2)="31",E37="3105.10.00",K37&gt;0,K37&lt;=10.0001),"3105.10.00",IF(AND(IF(IF(ISNUMBER(MATCH(A37,'4.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Produtos)'!$L$4:$L$848,IF(ISNUMBER(MATCH(A37,'4. Base Mestre (845 Produtos)'!$A$4:$A$848,0)),MATCH(A37,'4. Base Mestre (845 Produtos)'!$A$4:$A$848,0),IF(ISNUMBER(MATCH(B37,'4. Base Mestre (845 Produtos)'!$B$4:$B$848,0)),MATCH(B37,'4. Base Mestre (845 Produtos)'!$B$4:$B$848,0),0))),IF(ISNUMBER(MATCH(D37,'3. Dicionario Principios Ativos'!$A$4:$A$245,0)),INDEX('3. Dicionario Principios Ativos'!$D$4:$D$245,MATCH(D37,'3. Dicionario Principios Ativos'!$A$4:$A$245,0)),E37))="3105.10.00",K37&gt;10.0001),"3105.90.90",IF(IF(ISNUMBER(MATCH(A37,'4.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Produtos)'!$L$4:$L$848,IF(ISNUMBER(MATCH(A37,'4. Base Mestre (845 Produtos)'!$A$4:$A$848,0)),MATCH(A37,'4. Base Mestre (845 Produtos)'!$A$4:$A$848,0),IF(ISNUMBER(MATCH(B37,'4. Base Mestre (845 Produtos)'!$B$4:$B$848,0)),MATCH(B37,'4. Base Mestre (845 Produtos)'!$B$4:$B$848,0),0))),IF(ISNUMBER(MATCH(D37,'3. Dicionario Principios Ativos'!$A$4:$A$245,0)),INDEX('3. Dicionario Principios Ativos'!$D$4:$D$245,MATCH(D37,'3. Dicionario Principios Ativos'!$A$4:$A$245,0)),E37))))))</f>
        <v>3808.92.99</v>
      </c>
      <c r="R37" s="15" t="str">
        <f aca="false">IF(B37="","",IF(OR(E37=Q37,AND(Q37="3002.49.99",E37="3002.90.00")),"CONFORME — NCM "&amp;E37&amp;" Correta na TIPI","DIVERGENTE — Substituir "&amp;E37&amp;" por "&amp;Q37))</f>
        <v>DIVERGENTE — Substituir 3002.90.00 por 3808.92.99</v>
      </c>
      <c r="S37" s="15" t="str">
        <f aca="false">IF(B37="","",IF(AND(E37="3808.61.00",OR(K37&gt;0.3001,K37=0)),"INCOMPATÍVEL — NCM 3808.61.00 exige emb. &lt;= 0,3kg/L (Emb. atual: "&amp;K37&amp;" "&amp;L37&amp;" -&gt; usar "&amp;Q37&amp;")",IF(AND(LEFT(E37,7)="3808.62",OR(K37&lt;=0.3001,K37&gt;7.5001)),"INCOMPATÍVEL — NCM 3808.62 exige emb. de 0,3 a 7,5kg/L (Emb. atual: "&amp;K37&amp;" "&amp;L37&amp;" -&gt; usar "&amp;Q37&amp;")",IF(AND(LEFT(E37,7)="3808.69",K37&gt;0,K37&lt;=7.5001),"INCOMPATÍVEL — NCM 3808.69 exige emb. &gt; 7,5kg/L (Emb. atual: "&amp;K37&amp;" "&amp;L37&amp;" -&gt; usar "&amp;Q37&amp;")",IF(AND(LEFT(Q37,6)="3808.6",LEFT(E37,6)&lt;&gt;"3808.6"),"INCOMPATÍVEL — Molécula Nota Subpos. 2 c/ emb. "&amp;K37&amp;" "&amp;L37&amp;" exige NCM "&amp;Q37,IF(AND(OR(E37="3808.91.19",E37="3808.92.19",E37="3808.93.19",E37="3808.99.19"),K37&gt;=1),"INCOMPATÍVEL — Subitem .19 (Domissanitário) vedado p/ emb. agrícola de "&amp;K37&amp;" "&amp;L37,IF(AND(E37="3105.10.00",K37&gt;10.0001),"INCOMPATÍVEL — NCM 3105.10.00 exige peso bruto &lt;= 10kg (Emb. atual: "&amp;K37&amp;" "&amp;L37&amp;" -&gt; usar 3105.90.90)",IF(AND(LEFT(E37,2)="29",LEFT(Q37,4)="3808",K37&gt;0),"INCOMPATÍVEL — Produto formulado em emb. comercial ("&amp;K37&amp;" "&amp;L37&amp;") vedado no Cap. 29 -&gt; usar "&amp;Q37,"CONFORME — Embalagem ("&amp;K37&amp;" "&amp;L37&amp;") compatível c/ a NCM"))))))))</f>
        <v>CONFORME — Embalagem (5 L) compatível c/ a NCM</v>
      </c>
      <c r="T37" s="19" t="n">
        <f aca="false">IF(B37="","",IF(IF(ISNUMBER(MATCH(A37,'4.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Produtos)'!$P$4:$P$848,IF(ISNUMBER(MATCH(A37,'4. Base Mestre (845 Produtos)'!$A$4:$A$848,0)),MATCH(A37,'4. Base Mestre (845 Produtos)'!$A$4:$A$848,0),IF(ISNUMBER(MATCH(B37,'4. Base Mestre (845 Produtos)'!$B$4:$B$848,0)),MATCH(B37,'4. Base Mestre (845 Produtos)'!$B$4:$B$848,0),0))),IF(ISNUMBER(MATCH(D37,'3. Dicionario Principios Ativos'!$A$4:$A$245,0)),INDEX('3. Dicionario Principios Ativos'!$K$4:$K$245,MATCH(D37,'3. Dicionario Principios Ativos'!$A$4:$A$245,0)),"VERIFICAR BULA")))</f>
        <v>34018</v>
      </c>
      <c r="U37" s="15" t="str">
        <f aca="false">IF(B37="","",IF(ISNUMBER(SEARCH("ISENTO",T37)),IF(OR(F37=0,F37="0",F37="ISENTO",F37=""),"CONFORME (DISPENSADO) — Isento pelo Ato SDA/MAPA nº 104/2017","INCORRETO — Produto isento de registro MAPA (usar 0 ou ISENTO)"),IF(ISNUMBER(SEARCH("SIPEAGRO",T37)),IF(ISNUMBER(SEARCH("-",F37)),"CONFORME — Registro SIPEAGRO ("&amp;F37&amp;") Preenchido","ADEQUAR P/ SIPEAGRO — Substituir 0 pelo Registro (UF-XXXXX-XXXXX.X)"),IF(ISNUMBER(SEARCH("VINCULAR",T37)),IF(AND(F37&lt;&gt;0,F37&lt;&gt;"0",F37&lt;&gt;""),"INCORRETO / TROCADO — Código "&amp;F37&amp;" pertence a outro produto (Vincular bula da marca)","VINCULAR MARCA — Cadastro de P.A. s/ marca fixa (Vincular registro na NF-e)"),IF(OR(F37=0,F37="0",F37=""),"AUSENTE (ZERO) — Preencher Registro Oficial MAPA nº "&amp;T37,IF(TEXT(F37,"0")=TEXT(T37,"0"),"CONFORME — Registro MAPA nº "&amp;T37&amp;" Validado na Bula","INCORRETO / TROCADO — Substituir "&amp;F37&amp;" pelo Registro Oficial nº "&amp;T37))))))</f>
        <v>INCORRETO / TROCADO — Substituir 24117 pelo Registro Oficial nº 34018</v>
      </c>
      <c r="V37" s="15" t="str">
        <f aca="false">IF(B37="","",IF(IF(ISNUMBER(MATCH(A37,'4.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Produtos)'!$S$4:$S$848,IF(ISNUMBER(MATCH(A37,'4. Base Mestre (845 Produtos)'!$A$4:$A$848,0)),MATCH(A37,'4. Base Mestre (845 Produtos)'!$A$4:$A$848,0),IF(ISNUMBER(MATCH(B37,'4. Base Mestre (845 Produtos)'!$B$4:$B$848,0)),MATCH(B37,'4. Base Mestre (845 Produtos)'!$B$4:$B$848,0),0))),IF(ISNUMBER(MATCH(D37,'3. Dicionario Principios Ativos'!$A$4:$A$245,0)),INDEX('3. Dicionario Principios Ativos'!$L$4:$L$245,MATCH(D37,'3. Dicionario Principios Ativos'!$A$4:$A$245,0)),"Verificar NCM")))</f>
        <v>Alerta Fiscal NCM: Tributado (9,25%) na NCM atual fora de 38.08 | Beneficiado (0,925%) se corrigido p/ 38.08</v>
      </c>
      <c r="W37" s="15" t="str">
        <f aca="false">IF(B37="","",IF(IF(ISNUMBER(MATCH(A37,'4. Base Mestre (845 Produtos)'!$A$4:$A$848,0)),MATCH(A37,'4. Base Mestre (845 Produtos)'!$A$4:$A$848,0),IF(ISNUMBER(MATCH(B37,'4. Base Mestre (845 Produtos)'!$B$4:$B$848,0)),MATCH(B37,'4. Base Mestre (845 Produtos)'!$B$4:$B$848,0),0))&gt;0,INDEX('4. Base Mestre (845 Produtos)'!$T$4:$T$848,IF(ISNUMBER(MATCH(A37,'4. Base Mestre (845 Produtos)'!$A$4:$A$848,0)),MATCH(A37,'4. Base Mestre (845 Produtos)'!$A$4:$A$848,0),IF(ISNUMBER(MATCH(B37,'4. Base Mestre (845 Produtos)'!$B$4:$B$848,0)),MATCH(B37,'4. Base Mestre (845 Produtos)'!$B$4:$B$848,0),0))),IF(ISNUMBER(MATCH(D37,'3. Dicionario Principios Ativos'!$A$4:$A$245,0)),INDEX('3. Dicionario Principios Ativos'!$M$4:$M$245,MATCH(D37,'3. Dicionario Principios Ativos'!$A$4:$A$245,0)),"Verificar CST")))</f>
        <v>Após correção NCM p/ 38.08: Saída CST 06 | Entrada Revenda CST 73</v>
      </c>
      <c r="X37" s="18" t="str">
        <f aca="false">IF(B37="","",IF(AND(LEFT(M37,8)="CONFORME",LEFT(P37,8)="CONFORME",LEFT(R37,8)="CONFORME",LEFT(S37,8)="CONFORME",LEFT(U37,8)="CONFORME"),"CADASTRO 100% CONFORME — LIBERADO P/ ERP",IF(AND(LEFT(M37,8)="CONFORME",LEFT(P37,8)="CONFORME",LEFT(R37,8)="CONFORME",LEFT(S37,8)="CONFORME",OR(LEFT(U37,7)="ADEQUAR",LEFT(U37,8)="VINCULAR")),"FISCAL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38" customFormat="false" ht="21.75" hidden="false" customHeight="true" outlineLevel="0" collapsed="false">
      <c r="A38" s="10" t="n">
        <v>48</v>
      </c>
      <c r="B38" s="11" t="s">
        <v>144</v>
      </c>
      <c r="C38" s="12" t="s">
        <v>63</v>
      </c>
      <c r="D38" s="13" t="s">
        <v>145</v>
      </c>
      <c r="E38" s="12" t="s">
        <v>146</v>
      </c>
      <c r="F38" s="12" t="n">
        <v>26320</v>
      </c>
      <c r="G38" s="14"/>
      <c r="H38" s="13" t="s">
        <v>147</v>
      </c>
      <c r="I38" s="20" t="str">
        <f aca="false">IF(B38="","",IF(ISNUMBER(MATCH(A38,'4. Base Mestre (845 Produtos)'!$A$4:$A$848,0)),"Localizado por Código ("&amp;A38&amp;") na Base Mestre",IF(ISNUMBER(MATCH(B38,'4. Base Mestre (845 Produtos)'!$B$4:$B$848,0)),"Localizado por Descrição na Base Mestre",IF(ISNUMBER(MATCH(D38,'3. Dicionario Principios Ativos'!$A$4:$A$245,0)),"Produto Novo — Validado pelo Dicionário de P.A.","Não Localizado — Revisar Código/P.A."))))</f>
        <v>Localizado por Código (48) na Base Mestre</v>
      </c>
      <c r="J38" s="20" t="str">
        <f aca="false">IF(B38="","",IF(IF(ISNUMBER(MATCH(A38,'4.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Produtos)'!$I$4:$I$848,IF(ISNUMBER(MATCH(A38,'4. Base Mestre (845 Produtos)'!$A$4:$A$848,0)),MATCH(A38,'4. Base Mestre (845 Produtos)'!$A$4:$A$848,0),IF(ISNUMBER(MATCH(B38,'4. Base Mestre (845 Produtos)'!$B$4:$B$848,0)),MATCH(B38,'4. Base Mestre (845 Produtos)'!$B$4:$B$848,0),0))),IF(ISNUMBER(MATCH(D38,'3. Dicionario Principios Ativos'!$A$4:$A$245,0)),INDEX('3. Dicionario Principios Ativos'!$B$4:$B$245,MATCH(D38,'3. Dicionario Principios Ativos'!$A$4:$A$245,0)),"Revisar Classificação")))</f>
        <v>Defensivos — Herbicida</v>
      </c>
      <c r="K38" s="21" t="n">
        <f aca="false">IF(B38="","",IF(G38&lt;&gt;"",G38,IF(OR(ISNUMBER(SEARCH("PRINCIPIO ATIVO",B38)),ISNUMBER(SEARCH("PRINC. ATIVO",B38)),ISNUMBER(SEARCH("PR. ATIVO",B38)),ISNUMBER(SEARCH("PR.AT.",B38)),ISNUMBER(SEARCH("(P.A",B38)),ISNUMBER(SEARCH("(P. A",B38))),0,IF(OR(ISNUMBER(SEARCH("0,100KG",B38)),ISNUMBER(SEARCH("0,1KG",B38)),ISNUMBER(SEARCH("0,100L",B38))),0.1,IF(OR(ISNUMBER(SEARCH("0,200L",B38)),ISNUMBER(SEARCH("0,2L",B38)),ISNUMBER(SEARCH("0,200KG",B38)),ISNUMBER(SEARCH("0,2KG",B38))),0.2,IF(OR(ISNUMBER(SEARCH("0,240KG",B38)),ISNUMBER(SEARCH("0,250L",B38))),0.24,IF(OR(ISNUMBER(SEARCH("0,300KG",B38)),ISNUMBER(SEARCH("0,3KG",B38))),0.3,IF(OR(ISNUMBER(SEARCH("0,500L",B38)),ISNUMBER(SEARCH("0,5L",B38)),ISNUMBER(SEARCH("0,5KG",B38))),0.5,IF(ISNUMBER(SEARCH("0,8KG",B38)),0.8,IF(OR(ISNUMBER(SEARCH("1,5L",B38)),ISNUMBER(SEARCH("1,5KG",B38))),1.5,IF(OR(ISNUMBER(SEARCH("1,75L",B38)),ISNUMBER(SEARCH("1,8L",B38)),ISNUMBER(SEARCH("1.8L",B38))),1.8,IF(ISNUMBER(SEARCH("4,5KG",B38)),4.5,IF(ISNUMBER(SEARCH("7,5KG",B38)),7.5,IF(OR(ISNUMBER(SEARCH("1000L",B38)),ISNUMBER(SEARCH("1000KG",B38)),ISNUMBER(SEARCH("1.000KG",B38)),ISNUMBER(SEARCH("1.000L",B38)),ISNUMBER(SEARCH("1000 KG",B38)),ISNUMBER(SEARCH("GRANEL",B38)),ISNUMBER(SEARCH("(TON)",B38))),1000,IF(ISNUMBER(SEARCH("200L",B38)),200,IF(OR(ISNUMBER(SEARCH("25KG",B38)),ISNUMBER(SEARCH("25L",B38))),25,IF(OR(ISNUMBER(SEARCH("20L",B38)),ISNUMBER(SEARCH("20KG",B38))),20,IF(ISNUMBER(SEARCH("15KG",B38)),15,IF(OR(ISNUMBER(SEARCH("10L",B38)),ISNUMBER(SEARCH("10KG",B38))),10,IF(OR(ISNUMBER(SEARCH("5L",B38)),ISNUMBER(SEARCH("5KG",B38)),ISNUMBER(SEARCH("5LT",B38))),5,IF(OR(ISNUMBER(SEARCH("3KG",B38)),ISNUMBER(SEARCH("3L",B38))),3,IF(OR(ISNUMBER(SEARCH("2L",B38)),ISNUMBER(SEARCH("2KG",B38))),2,IF(OR(ISNUMBER(SEARCH("1L",B38)),ISNUMBER(SEARCH("1KG",B38)),ISNUMBER(SEARCH("1LT",B38))),1,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Produtos)'!$D$4:$D$848,IF(ISNUMBER(MATCH(A38,'4. Base Mestre (845 Produtos)'!$A$4:$A$848,0)),MATCH(A38,'4. Base Mestre (845 Produtos)'!$A$4:$A$848,0),IF(ISNUMBER(MATCH(B38,'4. Base Mestre (845 Produtos)'!$B$4:$B$848,0)),MATCH(B38,'4. Base Mestre (845 Produtos)'!$B$4:$B$848,0),0))),1))))))))))))))))))))))))</f>
        <v>5</v>
      </c>
      <c r="L38" s="22" t="str">
        <f aca="false">IF(B38="","",IF(OR(ISNUMBER(SEARCH("KG",B38)),ISNUMBER(SEARCH("GR",B38))),"KG",IF(OR(ISNUMBER(SEARCH("0,200L",B38)),ISNUMBER(SEARCH("0,2L",B38)),ISNUMBER(SEARCH("0,5L",B38)),ISNUMBER(SEARCH("1,5L",B38)),ISNUMBER(SEARCH("1,8L",B38)),ISNUMBER(SEARCH("1.8L",B38)),ISNUMBER(SEARCH("1L",B38)),ISNUMBER(SEARCH("2L",B38)),ISNUMBER(SEARCH("3L",B38)),ISNUMBER(SEARCH("5L",B38)),ISNUMBER(SEARCH("10L",B38)),ISNUMBER(SEARCH("20L",B38)),ISNUMBER(SEARCH("25L",B38)),ISNUMBER(SEARCH("200L",B38)),ISNUMBER(SEARCH("1000L",B38)),ISNUMBER(SEARCH("LT",B38))),"L",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Produtos)'!$E$4:$E$848,IF(ISNUMBER(MATCH(A38,'4. Base Mestre (845 Produtos)'!$A$4:$A$848,0)),MATCH(A38,'4. Base Mestre (845 Produtos)'!$A$4:$A$848,0),IF(ISNUMBER(MATCH(B38,'4. Base Mestre (845 Produtos)'!$B$4:$B$848,0)),MATCH(B38,'4. Base Mestre (845 Produtos)'!$B$4:$B$848,0),0))),C38))))</f>
        <v>KG</v>
      </c>
      <c r="M38" s="20" t="str">
        <f aca="false">IF(B38="","",IF(C38=L38,"CONFORME — Unidade ("&amp;C38&amp;") compatível c/ Embalagem","DIVERGENTE — Embalagem em "&amp;L38&amp;", mas cadastrado em "&amp;C38))</f>
        <v>CONFORME — Unidade (KG) compatível c/ Embalagem</v>
      </c>
      <c r="N38" s="20" t="str">
        <f aca="false">IF(B38="","",IF(K38=0,"Granel / Produto Técnico (Sem Embalagem Comercial)",IF(K38&lt;=0.3001,"Faixa 1 TIPI: Até 300g/mL (3808.61.00 / 3105.10.00)",IF(K38&lt;=7.5001,"Faixa 2 TIPI: De 300g a 7,5kg/L (3808.62.90 / 3105.10.00)",IF(K38&lt;=10.0001,"Faixa 3 TIPI: De 7,5kg a 10kg/L (3808.69.90 / 3105.10.00)","Faixa 4 TIPI: Acima de 10kg/L (3808.69.90 / Cap. 31 Geral)")))))</f>
        <v>Faixa 2 TIPI: De 300g a 7,5kg/L (3808.62.90 / 3105.10.00)</v>
      </c>
      <c r="O38" s="23" t="str">
        <f aca="false">IF(B38="","",IF(IF(ISNUMBER(MATCH(A38,'4.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Produtos)'!$H$4:$H$848,IF(ISNUMBER(MATCH(A38,'4. Base Mestre (845 Produtos)'!$A$4:$A$848,0)),MATCH(A38,'4. Base Mestre (845 Produtos)'!$A$4:$A$848,0),IF(ISNUMBER(MATCH(B38,'4. Base Mestre (845 Produtos)'!$B$4:$B$848,0)),MATCH(B38,'4. Base Mestre (845 Produtos)'!$B$4:$B$848,0),0))),IF(ISNUMBER(MATCH(D38,'3. Dicionario Principios Ativos'!$A$4:$A$245,0)),INDEX('3. Dicionario Principios Ativos'!$A$4:$A$245,MATCH(D38,'3. Dicionario Principios Ativos'!$A$4:$A$245,0)),D38)))</f>
        <v>ATRAZINA 900</v>
      </c>
      <c r="P38" s="20" t="str">
        <f aca="false">IF(B38="","",IF(D38=O38,"CONFORME — Princípio Ativo Validado","DIVERGENTE — Substituir por: "&amp;O38))</f>
        <v>CONFORME — Princípio Ativo Validado</v>
      </c>
      <c r="Q38" s="24" t="str">
        <f aca="false">IF(B38="","",IF(IF(IF(ISNUMBER(MATCH(A38,'4.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Produtos)'!$J$4:$J$848,IF(ISNUMBER(MATCH(A38,'4. Base Mestre (845 Produtos)'!$A$4:$A$848,0)),MATCH(A38,'4. Base Mestre (845 Produtos)'!$A$4:$A$848,0),IF(ISNUMBER(MATCH(B38,'4. Base Mestre (845 Produtos)'!$B$4:$B$848,0)),MATCH(B38,'4. Base Mestre (845 Produtos)'!$B$4:$B$848,0),0)))="SIM",IF(ISNUMBER(MATCH(D38,'3. Dicionario Principios Ativos'!$A$4:$A$245,0)),INDEX('3. Dicionario Principios Ativos'!$C$4:$C$245,MATCH(D38,'3. Dicionario Principios Ativos'!$A$4:$A$245,0))="SIM",FALSE())),IF(AND(K38&gt;0,K38&lt;=0.3001),"3808.61.00",IF(AND(K38&gt;0.3001,K38&lt;=7.5001),"3808.62.90","3808.69.90")),IF(AND(LEFT(IF(IF(ISNUMBER(MATCH(A38,'4.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Produtos)'!$L$4:$L$848,IF(ISNUMBER(MATCH(A38,'4. Base Mestre (845 Produtos)'!$A$4:$A$848,0)),MATCH(A38,'4. Base Mestre (845 Produtos)'!$A$4:$A$848,0),IF(ISNUMBER(MATCH(B38,'4. Base Mestre (845 Produtos)'!$B$4:$B$848,0)),MATCH(B38,'4. Base Mestre (845 Produtos)'!$B$4:$B$848,0),0))),IF(ISNUMBER(MATCH(D38,'3. Dicionario Principios Ativos'!$A$4:$A$245,0)),INDEX('3. Dicionario Principios Ativos'!$D$4:$D$245,MATCH(D38,'3. Dicionario Principios Ativos'!$A$4:$A$245,0)),E38)),2)="31",E38="3105.10.00",K38&gt;0,K38&lt;=10.0001),"3105.10.00",IF(AND(IF(IF(ISNUMBER(MATCH(A38,'4.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Produtos)'!$L$4:$L$848,IF(ISNUMBER(MATCH(A38,'4. Base Mestre (845 Produtos)'!$A$4:$A$848,0)),MATCH(A38,'4. Base Mestre (845 Produtos)'!$A$4:$A$848,0),IF(ISNUMBER(MATCH(B38,'4. Base Mestre (845 Produtos)'!$B$4:$B$848,0)),MATCH(B38,'4. Base Mestre (845 Produtos)'!$B$4:$B$848,0),0))),IF(ISNUMBER(MATCH(D38,'3. Dicionario Principios Ativos'!$A$4:$A$245,0)),INDEX('3. Dicionario Principios Ativos'!$D$4:$D$245,MATCH(D38,'3. Dicionario Principios Ativos'!$A$4:$A$245,0)),E38))="3105.10.00",K38&gt;10.0001),"3105.90.90",IF(IF(ISNUMBER(MATCH(A38,'4.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Produtos)'!$L$4:$L$848,IF(ISNUMBER(MATCH(A38,'4. Base Mestre (845 Produtos)'!$A$4:$A$848,0)),MATCH(A38,'4. Base Mestre (845 Produtos)'!$A$4:$A$848,0),IF(ISNUMBER(MATCH(B38,'4. Base Mestre (845 Produtos)'!$B$4:$B$848,0)),MATCH(B38,'4. Base Mestre (845 Produtos)'!$B$4:$B$848,0),0))),IF(ISNUMBER(MATCH(D38,'3. Dicionario Principios Ativos'!$A$4:$A$245,0)),INDEX('3. Dicionario Principios Ativos'!$D$4:$D$245,MATCH(D38,'3. Dicionario Principios Ativos'!$A$4:$A$245,0)),E38))))))</f>
        <v>3808.93.23</v>
      </c>
      <c r="R38" s="20" t="str">
        <f aca="false">IF(B38="","",IF(OR(E38=Q38,AND(Q38="3002.49.99",E38="3002.90.00")),"CONFORME — NCM "&amp;E38&amp;" Correta na TIPI","DIVERGENTE — Substituir "&amp;E38&amp;" por "&amp;Q38))</f>
        <v>CONFORME — NCM 3808.93.23 Correta na TIPI</v>
      </c>
      <c r="S38" s="20" t="str">
        <f aca="false">IF(B38="","",IF(AND(E38="3808.61.00",OR(K38&gt;0.3001,K38=0)),"INCOMPATÍVEL — NCM 3808.61.00 exige emb. &lt;= 0,3kg/L (Emb. atual: "&amp;K38&amp;" "&amp;L38&amp;" -&gt; usar "&amp;Q38&amp;")",IF(AND(LEFT(E38,7)="3808.62",OR(K38&lt;=0.3001,K38&gt;7.5001)),"INCOMPATÍVEL — NCM 3808.62 exige emb. de 0,3 a 7,5kg/L (Emb. atual: "&amp;K38&amp;" "&amp;L38&amp;" -&gt; usar "&amp;Q38&amp;")",IF(AND(LEFT(E38,7)="3808.69",K38&gt;0,K38&lt;=7.5001),"INCOMPATÍVEL — NCM 3808.69 exige emb. &gt; 7,5kg/L (Emb. atual: "&amp;K38&amp;" "&amp;L38&amp;" -&gt; usar "&amp;Q38&amp;")",IF(AND(LEFT(Q38,6)="3808.6",LEFT(E38,6)&lt;&gt;"3808.6"),"INCOMPATÍVEL — Molécula Nota Subpos. 2 c/ emb. "&amp;K38&amp;" "&amp;L38&amp;" exige NCM "&amp;Q38,IF(AND(OR(E38="3808.91.19",E38="3808.92.19",E38="3808.93.19",E38="3808.99.19"),K38&gt;=1),"INCOMPATÍVEL — Subitem .19 (Domissanitário) vedado p/ emb. agrícola de "&amp;K38&amp;" "&amp;L38,IF(AND(E38="3105.10.00",K38&gt;10.0001),"INCOMPATÍVEL — NCM 3105.10.00 exige peso bruto &lt;= 10kg (Emb. atual: "&amp;K38&amp;" "&amp;L38&amp;" -&gt; usar 3105.90.90)",IF(AND(LEFT(E38,2)="29",LEFT(Q38,4)="3808",K38&gt;0),"INCOMPATÍVEL — Produto formulado em emb. comercial ("&amp;K38&amp;" "&amp;L38&amp;") vedado no Cap. 29 -&gt; usar "&amp;Q38,"CONFORME — Embalagem ("&amp;K38&amp;" "&amp;L38&amp;") compatível c/ a NCM"))))))))</f>
        <v>CONFORME — Embalagem (5 KG) compatível c/ a NCM</v>
      </c>
      <c r="T38" s="24" t="n">
        <f aca="false">IF(B38="","",IF(IF(ISNUMBER(MATCH(A38,'4.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Produtos)'!$P$4:$P$848,IF(ISNUMBER(MATCH(A38,'4. Base Mestre (845 Produtos)'!$A$4:$A$848,0)),MATCH(A38,'4. Base Mestre (845 Produtos)'!$A$4:$A$848,0),IF(ISNUMBER(MATCH(B38,'4. Base Mestre (845 Produtos)'!$B$4:$B$848,0)),MATCH(B38,'4. Base Mestre (845 Produtos)'!$B$4:$B$848,0),0))),IF(ISNUMBER(MATCH(D38,'3. Dicionario Principios Ativos'!$A$4:$A$245,0)),INDEX('3. Dicionario Principios Ativos'!$K$4:$K$245,MATCH(D38,'3. Dicionario Principios Ativos'!$A$4:$A$245,0)),"VERIFICAR BULA")))</f>
        <v>12920</v>
      </c>
      <c r="U38" s="20" t="str">
        <f aca="false">IF(B38="","",IF(ISNUMBER(SEARCH("ISENTO",T38)),IF(OR(F38=0,F38="0",F38="ISENTO",F38=""),"CONFORME (DISPENSADO) — Isento pelo Ato SDA/MAPA nº 104/2017","INCORRETO — Produto isento de registro MAPA (usar 0 ou ISENTO)"),IF(ISNUMBER(SEARCH("SIPEAGRO",T38)),IF(ISNUMBER(SEARCH("-",F38)),"CONFORME — Registro SIPEAGRO ("&amp;F38&amp;") Preenchido","ADEQUAR P/ SIPEAGRO — Substituir 0 pelo Registro (UF-XXXXX-XXXXX.X)"),IF(ISNUMBER(SEARCH("VINCULAR",T38)),IF(AND(F38&lt;&gt;0,F38&lt;&gt;"0",F38&lt;&gt;""),"INCORRETO / TROCADO — Código "&amp;F38&amp;" pertence a outro produto (Vincular bula da marca)","VINCULAR MARCA — Cadastro de P.A. s/ marca fixa (Vincular registro na NF-e)"),IF(OR(F38=0,F38="0",F38=""),"AUSENTE (ZERO) — Preencher Registro Oficial MAPA nº "&amp;T38,IF(TEXT(F38,"0")=TEXT(T38,"0"),"CONFORME — Registro MAPA nº "&amp;T38&amp;" Validado na Bula","INCORRETO / TROCADO — Substituir "&amp;F38&amp;" pelo Registro Oficial nº "&amp;T38))))))</f>
        <v>INCORRETO / TROCADO — Substituir 26320 pelo Registro Oficial nº 12920</v>
      </c>
      <c r="V38" s="20" t="str">
        <f aca="false">IF(B38="","",IF(IF(ISNUMBER(MATCH(A38,'4.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Produtos)'!$S$4:$S$848,IF(ISNUMBER(MATCH(A38,'4. Base Mestre (845 Produtos)'!$A$4:$A$848,0)),MATCH(A38,'4. Base Mestre (845 Produtos)'!$A$4:$A$848,0),IF(ISNUMBER(MATCH(B38,'4. Base Mestre (845 Produtos)'!$B$4:$B$848,0)),MATCH(B38,'4. Base Mestre (845 Produtos)'!$B$4:$B$848,0),0))),IF(ISNUMBER(MATCH(D38,'3. Dicionario Principios Ativos'!$A$4:$A$245,0)),INDEX('3. Dicionario Principios Ativos'!$L$4:$L$245,MATCH(D38,'3. Dicionario Principios Ativos'!$A$4:$A$245,0)),"Verificar NCM")))</f>
        <v>Beneficiado (Lei 10.925/04): 0% até Mar/26 | 0,925% Real / 0,365% Pres. pós-Abr/26 (LC 224/25)</v>
      </c>
      <c r="W38" s="20" t="str">
        <f aca="false">IF(B38="","",IF(IF(ISNUMBER(MATCH(A38,'4. Base Mestre (845 Produtos)'!$A$4:$A$848,0)),MATCH(A38,'4. Base Mestre (845 Produtos)'!$A$4:$A$848,0),IF(ISNUMBER(MATCH(B38,'4. Base Mestre (845 Produtos)'!$B$4:$B$848,0)),MATCH(B38,'4. Base Mestre (845 Produtos)'!$B$4:$B$848,0),0))&gt;0,INDEX('4. Base Mestre (845 Produtos)'!$T$4:$T$848,IF(ISNUMBER(MATCH(A38,'4. Base Mestre (845 Produtos)'!$A$4:$A$848,0)),MATCH(A38,'4. Base Mestre (845 Produtos)'!$A$4:$A$848,0),IF(ISNUMBER(MATCH(B38,'4. Base Mestre (845 Produtos)'!$B$4:$B$848,0)),MATCH(B38,'4. Base Mestre (845 Produtos)'!$B$4:$B$848,0),0))),IF(ISNUMBER(MATCH(D38,'3. Dicionario Principios Ativos'!$A$4:$A$245,0)),INDEX('3. Dicionario Principios Ativos'!$M$4:$M$245,MATCH(D38,'3. Dicionario Principios Ativos'!$A$4:$A$245,0)),"Verificar CST")))</f>
        <v>Saída: CST 06 (c/ Ajuste M220/M620 pós-Abr/26) | Entrada Revenda: CST 73</v>
      </c>
      <c r="X38" s="23" t="str">
        <f aca="false">IF(B38="","",IF(AND(LEFT(M38,8)="CONFORME",LEFT(P38,8)="CONFORME",LEFT(R38,8)="CONFORME",LEFT(S38,8)="CONFORME",LEFT(U38,8)="CONFORME"),"CADASTRO 100% CONFORME — LIBERADO P/ ERP",IF(AND(LEFT(M38,8)="CONFORME",LEFT(P38,8)="CONFORME",LEFT(R38,8)="CONFORME",LEFT(S38,8)="CONFORME",OR(LEFT(U38,7)="ADEQUAR",LEFT(U38,8)="VINCULAR")),"FISCAL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39" customFormat="false" ht="21.75" hidden="false" customHeight="true" outlineLevel="0" collapsed="false">
      <c r="A39" s="10" t="n">
        <v>6653</v>
      </c>
      <c r="B39" s="11" t="s">
        <v>148</v>
      </c>
      <c r="C39" s="12" t="s">
        <v>39</v>
      </c>
      <c r="D39" s="13" t="s">
        <v>149</v>
      </c>
      <c r="E39" s="12" t="s">
        <v>140</v>
      </c>
      <c r="F39" s="12" t="n">
        <v>0</v>
      </c>
      <c r="G39" s="14"/>
      <c r="H39" s="13" t="s">
        <v>150</v>
      </c>
      <c r="I39" s="15" t="str">
        <f aca="false">IF(B39="","",IF(ISNUMBER(MATCH(A39,'4. Base Mestre (845 Produtos)'!$A$4:$A$848,0)),"Localizado por Código ("&amp;A39&amp;") na Base Mestre",IF(ISNUMBER(MATCH(B39,'4. Base Mestre (845 Produtos)'!$B$4:$B$848,0)),"Localizado por Descrição na Base Mestre",IF(ISNUMBER(MATCH(D39,'3. Dicionario Principios Ativos'!$A$4:$A$245,0)),"Produto Novo — Validado pelo Dicionário de P.A.","Não Localizado — Revisar Código/P.A."))))</f>
        <v>Localizado por Código (6653) na Base Mestre</v>
      </c>
      <c r="J39" s="15" t="str">
        <f aca="false">IF(B39="","",IF(IF(ISNUMBER(MATCH(A39,'4.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Produtos)'!$I$4:$I$848,IF(ISNUMBER(MATCH(A39,'4. Base Mestre (845 Produtos)'!$A$4:$A$848,0)),MATCH(A39,'4. Base Mestre (845 Produtos)'!$A$4:$A$848,0),IF(ISNUMBER(MATCH(B39,'4. Base Mestre (845 Produtos)'!$B$4:$B$848,0)),MATCH(B39,'4. Base Mestre (845 Produtos)'!$B$4:$B$848,0),0))),IF(ISNUMBER(MATCH(D39,'3. Dicionario Principios Ativos'!$A$4:$A$245,0)),INDEX('3. Dicionario Principios Ativos'!$B$4:$B$245,MATCH(D39,'3. Dicionario Principios Ativos'!$A$4:$A$245,0)),"Revisar Classificação")))</f>
        <v>Defensivos — Fungicida</v>
      </c>
      <c r="K39" s="16" t="n">
        <f aca="false">IF(B39="","",IF(G39&lt;&gt;"",G39,IF(OR(ISNUMBER(SEARCH("PRINCIPIO ATIVO",B39)),ISNUMBER(SEARCH("PRINC. ATIVO",B39)),ISNUMBER(SEARCH("PR. ATIVO",B39)),ISNUMBER(SEARCH("PR.AT.",B39)),ISNUMBER(SEARCH("(P.A",B39)),ISNUMBER(SEARCH("(P. A",B39))),0,IF(OR(ISNUMBER(SEARCH("0,100KG",B39)),ISNUMBER(SEARCH("0,1KG",B39)),ISNUMBER(SEARCH("0,100L",B39))),0.1,IF(OR(ISNUMBER(SEARCH("0,200L",B39)),ISNUMBER(SEARCH("0,2L",B39)),ISNUMBER(SEARCH("0,200KG",B39)),ISNUMBER(SEARCH("0,2KG",B39))),0.2,IF(OR(ISNUMBER(SEARCH("0,240KG",B39)),ISNUMBER(SEARCH("0,250L",B39))),0.24,IF(OR(ISNUMBER(SEARCH("0,300KG",B39)),ISNUMBER(SEARCH("0,3KG",B39))),0.3,IF(OR(ISNUMBER(SEARCH("0,500L",B39)),ISNUMBER(SEARCH("0,5L",B39)),ISNUMBER(SEARCH("0,5KG",B39))),0.5,IF(ISNUMBER(SEARCH("0,8KG",B39)),0.8,IF(OR(ISNUMBER(SEARCH("1,5L",B39)),ISNUMBER(SEARCH("1,5KG",B39))),1.5,IF(OR(ISNUMBER(SEARCH("1,75L",B39)),ISNUMBER(SEARCH("1,8L",B39)),ISNUMBER(SEARCH("1.8L",B39))),1.8,IF(ISNUMBER(SEARCH("4,5KG",B39)),4.5,IF(ISNUMBER(SEARCH("7,5KG",B39)),7.5,IF(OR(ISNUMBER(SEARCH("1000L",B39)),ISNUMBER(SEARCH("1000KG",B39)),ISNUMBER(SEARCH("1.000KG",B39)),ISNUMBER(SEARCH("1.000L",B39)),ISNUMBER(SEARCH("1000 KG",B39)),ISNUMBER(SEARCH("GRANEL",B39)),ISNUMBER(SEARCH("(TON)",B39))),1000,IF(ISNUMBER(SEARCH("200L",B39)),200,IF(OR(ISNUMBER(SEARCH("25KG",B39)),ISNUMBER(SEARCH("25L",B39))),25,IF(OR(ISNUMBER(SEARCH("20L",B39)),ISNUMBER(SEARCH("20KG",B39))),20,IF(ISNUMBER(SEARCH("15KG",B39)),15,IF(OR(ISNUMBER(SEARCH("10L",B39)),ISNUMBER(SEARCH("10KG",B39))),10,IF(OR(ISNUMBER(SEARCH("5L",B39)),ISNUMBER(SEARCH("5KG",B39)),ISNUMBER(SEARCH("5LT",B39))),5,IF(OR(ISNUMBER(SEARCH("3KG",B39)),ISNUMBER(SEARCH("3L",B39))),3,IF(OR(ISNUMBER(SEARCH("2L",B39)),ISNUMBER(SEARCH("2KG",B39))),2,IF(OR(ISNUMBER(SEARCH("1L",B39)),ISNUMBER(SEARCH("1KG",B39)),ISNUMBER(SEARCH("1LT",B39))),1,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Produtos)'!$D$4:$D$848,IF(ISNUMBER(MATCH(A39,'4. Base Mestre (845 Produtos)'!$A$4:$A$848,0)),MATCH(A39,'4. Base Mestre (845 Produtos)'!$A$4:$A$848,0),IF(ISNUMBER(MATCH(B39,'4. Base Mestre (845 Produtos)'!$B$4:$B$848,0)),MATCH(B39,'4. Base Mestre (845 Produtos)'!$B$4:$B$848,0),0))),1))))))))))))))))))))))))</f>
        <v>5</v>
      </c>
      <c r="L39" s="17" t="str">
        <f aca="false">IF(B39="","",IF(OR(ISNUMBER(SEARCH("KG",B39)),ISNUMBER(SEARCH("GR",B39))),"KG",IF(OR(ISNUMBER(SEARCH("0,200L",B39)),ISNUMBER(SEARCH("0,2L",B39)),ISNUMBER(SEARCH("0,5L",B39)),ISNUMBER(SEARCH("1,5L",B39)),ISNUMBER(SEARCH("1,8L",B39)),ISNUMBER(SEARCH("1.8L",B39)),ISNUMBER(SEARCH("1L",B39)),ISNUMBER(SEARCH("2L",B39)),ISNUMBER(SEARCH("3L",B39)),ISNUMBER(SEARCH("5L",B39)),ISNUMBER(SEARCH("10L",B39)),ISNUMBER(SEARCH("20L",B39)),ISNUMBER(SEARCH("25L",B39)),ISNUMBER(SEARCH("200L",B39)),ISNUMBER(SEARCH("1000L",B39)),ISNUMBER(SEARCH("LT",B39))),"L",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Produtos)'!$E$4:$E$848,IF(ISNUMBER(MATCH(A39,'4. Base Mestre (845 Produtos)'!$A$4:$A$848,0)),MATCH(A39,'4. Base Mestre (845 Produtos)'!$A$4:$A$848,0),IF(ISNUMBER(MATCH(B39,'4. Base Mestre (845 Produtos)'!$B$4:$B$848,0)),MATCH(B39,'4. Base Mestre (845 Produtos)'!$B$4:$B$848,0),0))),C39))))</f>
        <v>L</v>
      </c>
      <c r="M39" s="15" t="str">
        <f aca="false">IF(B39="","",IF(C39=L39,"CONFORME — Unidade ("&amp;C39&amp;") compatível c/ Embalagem","DIVERGENTE — Embalagem em "&amp;L39&amp;", mas cadastrado em "&amp;C39))</f>
        <v>CONFORME — Unidade (L) compatível c/ Embalagem</v>
      </c>
      <c r="N39" s="15" t="str">
        <f aca="false">IF(B39="","",IF(K39=0,"Granel / Produto Técnico (Sem Embalagem Comercial)",IF(K39&lt;=0.3001,"Faixa 1 TIPI: Até 300g/mL (3808.61.00 / 3105.10.00)",IF(K39&lt;=7.5001,"Faixa 2 TIPI: De 300g a 7,5kg/L (3808.62.90 / 3105.10.00)",IF(K39&lt;=10.0001,"Faixa 3 TIPI: De 7,5kg a 10kg/L (3808.69.90 / 3105.10.00)","Faixa 4 TIPI: Acima de 10kg/L (3808.69.90 / Cap. 31 Geral)")))))</f>
        <v>Faixa 2 TIPI: De 300g a 7,5kg/L (3808.62.90 / 3105.10.00)</v>
      </c>
      <c r="O39" s="18" t="str">
        <f aca="false">IF(B39="","",IF(IF(ISNUMBER(MATCH(A39,'4.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Produtos)'!$H$4:$H$848,IF(ISNUMBER(MATCH(A39,'4. Base Mestre (845 Produtos)'!$A$4:$A$848,0)),MATCH(A39,'4. Base Mestre (845 Produtos)'!$A$4:$A$848,0),IF(ISNUMBER(MATCH(B39,'4. Base Mestre (845 Produtos)'!$B$4:$B$848,0)),MATCH(B39,'4. Base Mestre (845 Produtos)'!$B$4:$B$848,0),0))),IF(ISNUMBER(MATCH(D39,'3. Dicionario Principios Ativos'!$A$4:$A$245,0)),INDEX('3. Dicionario Principios Ativos'!$A$4:$A$245,MATCH(D39,'3. Dicionario Principios Ativos'!$A$4:$A$245,0)),D39)))</f>
        <v>CIPROCONAZOL 80 + PICOXISTROBINA 200</v>
      </c>
      <c r="P39" s="15" t="str">
        <f aca="false">IF(B39="","",IF(D39=O39,"CONFORME — Princípio Ativo Validado","DIVERGENTE — Substituir por: "&amp;O39))</f>
        <v>CONFORME — Princípio Ativo Validado</v>
      </c>
      <c r="Q39" s="19" t="str">
        <f aca="false">IF(B39="","",IF(IF(IF(ISNUMBER(MATCH(A39,'4.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Produtos)'!$J$4:$J$848,IF(ISNUMBER(MATCH(A39,'4. Base Mestre (845 Produtos)'!$A$4:$A$848,0)),MATCH(A39,'4. Base Mestre (845 Produtos)'!$A$4:$A$848,0),IF(ISNUMBER(MATCH(B39,'4. Base Mestre (845 Produtos)'!$B$4:$B$848,0)),MATCH(B39,'4. Base Mestre (845 Produtos)'!$B$4:$B$848,0),0)))="SIM",IF(ISNUMBER(MATCH(D39,'3. Dicionario Principios Ativos'!$A$4:$A$245,0)),INDEX('3. Dicionario Principios Ativos'!$C$4:$C$245,MATCH(D39,'3. Dicionario Principios Ativos'!$A$4:$A$245,0))="SIM",FALSE())),IF(AND(K39&gt;0,K39&lt;=0.3001),"3808.61.00",IF(AND(K39&gt;0.3001,K39&lt;=7.5001),"3808.62.90","3808.69.90")),IF(AND(LEFT(IF(IF(ISNUMBER(MATCH(A39,'4.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Produtos)'!$L$4:$L$848,IF(ISNUMBER(MATCH(A39,'4. Base Mestre (845 Produtos)'!$A$4:$A$848,0)),MATCH(A39,'4. Base Mestre (845 Produtos)'!$A$4:$A$848,0),IF(ISNUMBER(MATCH(B39,'4. Base Mestre (845 Produtos)'!$B$4:$B$848,0)),MATCH(B39,'4. Base Mestre (845 Produtos)'!$B$4:$B$848,0),0))),IF(ISNUMBER(MATCH(D39,'3. Dicionario Principios Ativos'!$A$4:$A$245,0)),INDEX('3. Dicionario Principios Ativos'!$D$4:$D$245,MATCH(D39,'3. Dicionario Principios Ativos'!$A$4:$A$245,0)),E39)),2)="31",E39="3105.10.00",K39&gt;0,K39&lt;=10.0001),"3105.10.00",IF(AND(IF(IF(ISNUMBER(MATCH(A39,'4.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Produtos)'!$L$4:$L$848,IF(ISNUMBER(MATCH(A39,'4. Base Mestre (845 Produtos)'!$A$4:$A$848,0)),MATCH(A39,'4. Base Mestre (845 Produtos)'!$A$4:$A$848,0),IF(ISNUMBER(MATCH(B39,'4. Base Mestre (845 Produtos)'!$B$4:$B$848,0)),MATCH(B39,'4. Base Mestre (845 Produtos)'!$B$4:$B$848,0),0))),IF(ISNUMBER(MATCH(D39,'3. Dicionario Principios Ativos'!$A$4:$A$245,0)),INDEX('3. Dicionario Principios Ativos'!$D$4:$D$245,MATCH(D39,'3. Dicionario Principios Ativos'!$A$4:$A$245,0)),E39))="3105.10.00",K39&gt;10.0001),"3105.90.90",IF(IF(ISNUMBER(MATCH(A39,'4.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Produtos)'!$L$4:$L$848,IF(ISNUMBER(MATCH(A39,'4. Base Mestre (845 Produtos)'!$A$4:$A$848,0)),MATCH(A39,'4. Base Mestre (845 Produtos)'!$A$4:$A$848,0),IF(ISNUMBER(MATCH(B39,'4. Base Mestre (845 Produtos)'!$B$4:$B$848,0)),MATCH(B39,'4. Base Mestre (845 Produtos)'!$B$4:$B$848,0),0))),IF(ISNUMBER(MATCH(D39,'3. Dicionario Principios Ativos'!$A$4:$A$245,0)),INDEX('3. Dicionario Principios Ativos'!$D$4:$D$245,MATCH(D39,'3. Dicionario Principios Ativos'!$A$4:$A$245,0)),E39))))))</f>
        <v>3808.92.99</v>
      </c>
      <c r="R39" s="15" t="str">
        <f aca="false">IF(B39="","",IF(OR(E39=Q39,AND(Q39="3002.49.99",E39="3002.90.00")),"CONFORME — NCM "&amp;E39&amp;" Correta na TIPI","DIVERGENTE — Substituir "&amp;E39&amp;" por "&amp;Q39))</f>
        <v>CONFORME — NCM 3808.92.99 Correta na TIPI</v>
      </c>
      <c r="S39" s="15" t="str">
        <f aca="false">IF(B39="","",IF(AND(E39="3808.61.00",OR(K39&gt;0.3001,K39=0)),"INCOMPATÍVEL — NCM 3808.61.00 exige emb. &lt;= 0,3kg/L (Emb. atual: "&amp;K39&amp;" "&amp;L39&amp;" -&gt; usar "&amp;Q39&amp;")",IF(AND(LEFT(E39,7)="3808.62",OR(K39&lt;=0.3001,K39&gt;7.5001)),"INCOMPATÍVEL — NCM 3808.62 exige emb. de 0,3 a 7,5kg/L (Emb. atual: "&amp;K39&amp;" "&amp;L39&amp;" -&gt; usar "&amp;Q39&amp;")",IF(AND(LEFT(E39,7)="3808.69",K39&gt;0,K39&lt;=7.5001),"INCOMPATÍVEL — NCM 3808.69 exige emb. &gt; 7,5kg/L (Emb. atual: "&amp;K39&amp;" "&amp;L39&amp;" -&gt; usar "&amp;Q39&amp;")",IF(AND(LEFT(Q39,6)="3808.6",LEFT(E39,6)&lt;&gt;"3808.6"),"INCOMPATÍVEL — Molécula Nota Subpos. 2 c/ emb. "&amp;K39&amp;" "&amp;L39&amp;" exige NCM "&amp;Q39,IF(AND(OR(E39="3808.91.19",E39="3808.92.19",E39="3808.93.19",E39="3808.99.19"),K39&gt;=1),"INCOMPATÍVEL — Subitem .19 (Domissanitário) vedado p/ emb. agrícola de "&amp;K39&amp;" "&amp;L39,IF(AND(E39="3105.10.00",K39&gt;10.0001),"INCOMPATÍVEL — NCM 3105.10.00 exige peso bruto &lt;= 10kg (Emb. atual: "&amp;K39&amp;" "&amp;L39&amp;" -&gt; usar 3105.90.90)",IF(AND(LEFT(E39,2)="29",LEFT(Q39,4)="3808",K39&gt;0),"INCOMPATÍVEL — Produto formulado em emb. comercial ("&amp;K39&amp;" "&amp;L39&amp;") vedado no Cap. 29 -&gt; usar "&amp;Q39,"CONFORME — Embalagem ("&amp;K39&amp;" "&amp;L39&amp;") compatível c/ a NCM"))))))))</f>
        <v>CONFORME — Embalagem (5 L) compatível c/ a NCM</v>
      </c>
      <c r="T39" s="19" t="n">
        <f aca="false">IF(B39="","",IF(IF(ISNUMBER(MATCH(A39,'4.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Produtos)'!$P$4:$P$848,IF(ISNUMBER(MATCH(A39,'4. Base Mestre (845 Produtos)'!$A$4:$A$848,0)),MATCH(A39,'4. Base Mestre (845 Produtos)'!$A$4:$A$848,0),IF(ISNUMBER(MATCH(B39,'4. Base Mestre (845 Produtos)'!$B$4:$B$848,0)),MATCH(B39,'4. Base Mestre (845 Produtos)'!$B$4:$B$848,0),0))),IF(ISNUMBER(MATCH(D39,'3. Dicionario Principios Ativos'!$A$4:$A$245,0)),INDEX('3. Dicionario Principios Ativos'!$K$4:$K$245,MATCH(D39,'3. Dicionario Principios Ativos'!$A$4:$A$245,0)),"VERIFICAR BULA")))</f>
        <v>40024</v>
      </c>
      <c r="U39" s="15" t="str">
        <f aca="false">IF(B39="","",IF(ISNUMBER(SEARCH("ISENTO",T39)),IF(OR(F39=0,F39="0",F39="ISENTO",F39=""),"CONFORME (DISPENSADO) — Isento pelo Ato SDA/MAPA nº 104/2017","INCORRETO — Produto isento de registro MAPA (usar 0 ou ISENTO)"),IF(ISNUMBER(SEARCH("SIPEAGRO",T39)),IF(ISNUMBER(SEARCH("-",F39)),"CONFORME — Registro SIPEAGRO ("&amp;F39&amp;") Preenchido","ADEQUAR P/ SIPEAGRO — Substituir 0 pelo Registro (UF-XXXXX-XXXXX.X)"),IF(ISNUMBER(SEARCH("VINCULAR",T39)),IF(AND(F39&lt;&gt;0,F39&lt;&gt;"0",F39&lt;&gt;""),"INCORRETO / TROCADO — Código "&amp;F39&amp;" pertence a outro produto (Vincular bula da marca)","VINCULAR MARCA — Cadastro de P.A. s/ marca fixa (Vincular registro na NF-e)"),IF(OR(F39=0,F39="0",F39=""),"AUSENTE (ZERO) — Preencher Registro Oficial MAPA nº "&amp;T39,IF(TEXT(F39,"0")=TEXT(T39,"0"),"CONFORME — Registro MAPA nº "&amp;T39&amp;" Validado na Bula","INCORRETO / TROCADO — Substituir "&amp;F39&amp;" pelo Registro Oficial nº "&amp;T39))))))</f>
        <v>AUSENTE (ZERO) — Preencher Registro Oficial MAPA nº 40024</v>
      </c>
      <c r="V39" s="15" t="str">
        <f aca="false">IF(B39="","",IF(IF(ISNUMBER(MATCH(A39,'4.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Produtos)'!$S$4:$S$848,IF(ISNUMBER(MATCH(A39,'4. Base Mestre (845 Produtos)'!$A$4:$A$848,0)),MATCH(A39,'4. Base Mestre (845 Produtos)'!$A$4:$A$848,0),IF(ISNUMBER(MATCH(B39,'4. Base Mestre (845 Produtos)'!$B$4:$B$848,0)),MATCH(B39,'4. Base Mestre (845 Produtos)'!$B$4:$B$848,0),0))),IF(ISNUMBER(MATCH(D39,'3. Dicionario Principios Ativos'!$A$4:$A$245,0)),INDEX('3. Dicionario Principios Ativos'!$L$4:$L$245,MATCH(D39,'3. Dicionario Principios Ativos'!$A$4:$A$245,0)),"Verificar NCM")))</f>
        <v>Beneficiado (Lei 10.925/04): 0% até Mar/26 | 0,925% Real / 0,365% Pres. pós-Abr/26 (LC 224/25)</v>
      </c>
      <c r="W39" s="15" t="str">
        <f aca="false">IF(B39="","",IF(IF(ISNUMBER(MATCH(A39,'4. Base Mestre (845 Produtos)'!$A$4:$A$848,0)),MATCH(A39,'4. Base Mestre (845 Produtos)'!$A$4:$A$848,0),IF(ISNUMBER(MATCH(B39,'4. Base Mestre (845 Produtos)'!$B$4:$B$848,0)),MATCH(B39,'4. Base Mestre (845 Produtos)'!$B$4:$B$848,0),0))&gt;0,INDEX('4. Base Mestre (845 Produtos)'!$T$4:$T$848,IF(ISNUMBER(MATCH(A39,'4. Base Mestre (845 Produtos)'!$A$4:$A$848,0)),MATCH(A39,'4. Base Mestre (845 Produtos)'!$A$4:$A$848,0),IF(ISNUMBER(MATCH(B39,'4. Base Mestre (845 Produtos)'!$B$4:$B$848,0)),MATCH(B39,'4. Base Mestre (845 Produtos)'!$B$4:$B$848,0),0))),IF(ISNUMBER(MATCH(D39,'3. Dicionario Principios Ativos'!$A$4:$A$245,0)),INDEX('3. Dicionario Principios Ativos'!$M$4:$M$245,MATCH(D39,'3. Dicionario Principios Ativos'!$A$4:$A$245,0)),"Verificar CST")))</f>
        <v>Saída: CST 06 (c/ Ajuste M220/M620 pós-Abr/26) | Entrada Revenda: CST 73</v>
      </c>
      <c r="X39" s="18" t="str">
        <f aca="false">IF(B39="","",IF(AND(LEFT(M39,8)="CONFORME",LEFT(P39,8)="CONFORME",LEFT(R39,8)="CONFORME",LEFT(S39,8)="CONFORME",LEFT(U39,8)="CONFORME"),"CADASTRO 100% CONFORME — LIBERADO P/ ERP",IF(AND(LEFT(M39,8)="CONFORME",LEFT(P39,8)="CONFORME",LEFT(R39,8)="CONFORME",LEFT(S39,8)="CONFORME",OR(LEFT(U39,7)="ADEQUAR",LEFT(U39,8)="VINCULAR")),"FISCAL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40" customFormat="false" ht="21.75" hidden="false" customHeight="true" outlineLevel="0" collapsed="false">
      <c r="A40" s="10" t="n">
        <v>6654</v>
      </c>
      <c r="B40" s="11" t="s">
        <v>151</v>
      </c>
      <c r="C40" s="12" t="s">
        <v>39</v>
      </c>
      <c r="D40" s="13" t="s">
        <v>152</v>
      </c>
      <c r="E40" s="12" t="s">
        <v>140</v>
      </c>
      <c r="F40" s="12" t="n">
        <v>0</v>
      </c>
      <c r="G40" s="14"/>
      <c r="H40" s="13" t="s">
        <v>153</v>
      </c>
      <c r="I40" s="20" t="str">
        <f aca="false">IF(B40="","",IF(ISNUMBER(MATCH(A40,'4. Base Mestre (845 Produtos)'!$A$4:$A$848,0)),"Localizado por Código ("&amp;A40&amp;") na Base Mestre",IF(ISNUMBER(MATCH(B40,'4. Base Mestre (845 Produtos)'!$B$4:$B$848,0)),"Localizado por Descrição na Base Mestre",IF(ISNUMBER(MATCH(D40,'3. Dicionario Principios Ativos'!$A$4:$A$245,0)),"Produto Novo — Validado pelo Dicionário de P.A.","Não Localizado — Revisar Código/P.A."))))</f>
        <v>Localizado por Código (6654) na Base Mestre</v>
      </c>
      <c r="J40" s="20" t="str">
        <f aca="false">IF(B40="","",IF(IF(ISNUMBER(MATCH(A40,'4.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Produtos)'!$I$4:$I$848,IF(ISNUMBER(MATCH(A40,'4. Base Mestre (845 Produtos)'!$A$4:$A$848,0)),MATCH(A40,'4. Base Mestre (845 Produtos)'!$A$4:$A$848,0),IF(ISNUMBER(MATCH(B40,'4. Base Mestre (845 Produtos)'!$B$4:$B$848,0)),MATCH(B40,'4. Base Mestre (845 Produtos)'!$B$4:$B$848,0),0))),IF(ISNUMBER(MATCH(D40,'3. Dicionario Principios Ativos'!$A$4:$A$245,0)),INDEX('3. Dicionario Principios Ativos'!$B$4:$B$245,MATCH(D40,'3. Dicionario Principios Ativos'!$A$4:$A$245,0)),"Revisar Classificação")))</f>
        <v>Defensivos — Fungicida</v>
      </c>
      <c r="K40" s="21" t="n">
        <f aca="false">IF(B40="","",IF(G40&lt;&gt;"",G40,IF(OR(ISNUMBER(SEARCH("PRINCIPIO ATIVO",B40)),ISNUMBER(SEARCH("PRINC. ATIVO",B40)),ISNUMBER(SEARCH("PR. ATIVO",B40)),ISNUMBER(SEARCH("PR.AT.",B40)),ISNUMBER(SEARCH("(P.A",B40)),ISNUMBER(SEARCH("(P. A",B40))),0,IF(OR(ISNUMBER(SEARCH("0,100KG",B40)),ISNUMBER(SEARCH("0,1KG",B40)),ISNUMBER(SEARCH("0,100L",B40))),0.1,IF(OR(ISNUMBER(SEARCH("0,200L",B40)),ISNUMBER(SEARCH("0,2L",B40)),ISNUMBER(SEARCH("0,200KG",B40)),ISNUMBER(SEARCH("0,2KG",B40))),0.2,IF(OR(ISNUMBER(SEARCH("0,240KG",B40)),ISNUMBER(SEARCH("0,250L",B40))),0.24,IF(OR(ISNUMBER(SEARCH("0,300KG",B40)),ISNUMBER(SEARCH("0,3KG",B40))),0.3,IF(OR(ISNUMBER(SEARCH("0,500L",B40)),ISNUMBER(SEARCH("0,5L",B40)),ISNUMBER(SEARCH("0,5KG",B40))),0.5,IF(ISNUMBER(SEARCH("0,8KG",B40)),0.8,IF(OR(ISNUMBER(SEARCH("1,5L",B40)),ISNUMBER(SEARCH("1,5KG",B40))),1.5,IF(OR(ISNUMBER(SEARCH("1,75L",B40)),ISNUMBER(SEARCH("1,8L",B40)),ISNUMBER(SEARCH("1.8L",B40))),1.8,IF(ISNUMBER(SEARCH("4,5KG",B40)),4.5,IF(ISNUMBER(SEARCH("7,5KG",B40)),7.5,IF(OR(ISNUMBER(SEARCH("1000L",B40)),ISNUMBER(SEARCH("1000KG",B40)),ISNUMBER(SEARCH("1.000KG",B40)),ISNUMBER(SEARCH("1.000L",B40)),ISNUMBER(SEARCH("1000 KG",B40)),ISNUMBER(SEARCH("GRANEL",B40)),ISNUMBER(SEARCH("(TON)",B40))),1000,IF(ISNUMBER(SEARCH("200L",B40)),200,IF(OR(ISNUMBER(SEARCH("25KG",B40)),ISNUMBER(SEARCH("25L",B40))),25,IF(OR(ISNUMBER(SEARCH("20L",B40)),ISNUMBER(SEARCH("20KG",B40))),20,IF(ISNUMBER(SEARCH("15KG",B40)),15,IF(OR(ISNUMBER(SEARCH("10L",B40)),ISNUMBER(SEARCH("10KG",B40))),10,IF(OR(ISNUMBER(SEARCH("5L",B40)),ISNUMBER(SEARCH("5KG",B40)),ISNUMBER(SEARCH("5LT",B40))),5,IF(OR(ISNUMBER(SEARCH("3KG",B40)),ISNUMBER(SEARCH("3L",B40))),3,IF(OR(ISNUMBER(SEARCH("2L",B40)),ISNUMBER(SEARCH("2KG",B40))),2,IF(OR(ISNUMBER(SEARCH("1L",B40)),ISNUMBER(SEARCH("1KG",B40)),ISNUMBER(SEARCH("1LT",B40))),1,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Produtos)'!$D$4:$D$848,IF(ISNUMBER(MATCH(A40,'4. Base Mestre (845 Produtos)'!$A$4:$A$848,0)),MATCH(A40,'4. Base Mestre (845 Produtos)'!$A$4:$A$848,0),IF(ISNUMBER(MATCH(B40,'4. Base Mestre (845 Produtos)'!$B$4:$B$848,0)),MATCH(B40,'4. Base Mestre (845 Produtos)'!$B$4:$B$848,0),0))),1))))))))))))))))))))))))</f>
        <v>20</v>
      </c>
      <c r="L40" s="22" t="str">
        <f aca="false">IF(B40="","",IF(OR(ISNUMBER(SEARCH("KG",B40)),ISNUMBER(SEARCH("GR",B40))),"KG",IF(OR(ISNUMBER(SEARCH("0,200L",B40)),ISNUMBER(SEARCH("0,2L",B40)),ISNUMBER(SEARCH("0,5L",B40)),ISNUMBER(SEARCH("1,5L",B40)),ISNUMBER(SEARCH("1,8L",B40)),ISNUMBER(SEARCH("1.8L",B40)),ISNUMBER(SEARCH("1L",B40)),ISNUMBER(SEARCH("2L",B40)),ISNUMBER(SEARCH("3L",B40)),ISNUMBER(SEARCH("5L",B40)),ISNUMBER(SEARCH("10L",B40)),ISNUMBER(SEARCH("20L",B40)),ISNUMBER(SEARCH("25L",B40)),ISNUMBER(SEARCH("200L",B40)),ISNUMBER(SEARCH("1000L",B40)),ISNUMBER(SEARCH("LT",B40))),"L",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Produtos)'!$E$4:$E$848,IF(ISNUMBER(MATCH(A40,'4. Base Mestre (845 Produtos)'!$A$4:$A$848,0)),MATCH(A40,'4. Base Mestre (845 Produtos)'!$A$4:$A$848,0),IF(ISNUMBER(MATCH(B40,'4. Base Mestre (845 Produtos)'!$B$4:$B$848,0)),MATCH(B40,'4. Base Mestre (845 Produtos)'!$B$4:$B$848,0),0))),C40))))</f>
        <v>L</v>
      </c>
      <c r="M40" s="20" t="str">
        <f aca="false">IF(B40="","",IF(C40=L40,"CONFORME — Unidade ("&amp;C40&amp;") compatível c/ Embalagem","DIVERGENTE — Embalagem em "&amp;L40&amp;", mas cadastrado em "&amp;C40))</f>
        <v>CONFORME — Unidade (L) compatível c/ Embalagem</v>
      </c>
      <c r="N40" s="20" t="str">
        <f aca="false">IF(B40="","",IF(K40=0,"Granel / Produto Técnico (Sem Embalagem Comercial)",IF(K40&lt;=0.3001,"Faixa 1 TIPI: Até 300g/mL (3808.61.00 / 3105.10.00)",IF(K40&lt;=7.5001,"Faixa 2 TIPI: De 300g a 7,5kg/L (3808.62.90 / 3105.10.00)",IF(K40&lt;=10.0001,"Faixa 3 TIPI: De 7,5kg a 10kg/L (3808.69.90 / 3105.10.00)","Faixa 4 TIPI: Acima de 10kg/L (3808.69.90 / Cap. 31 Geral)")))))</f>
        <v>Faixa 4 TIPI: Acima de 10kg/L (3808.69.90 / Cap. 31 Geral)</v>
      </c>
      <c r="O40" s="23" t="str">
        <f aca="false">IF(B40="","",IF(IF(ISNUMBER(MATCH(A40,'4.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Produtos)'!$H$4:$H$848,IF(ISNUMBER(MATCH(A40,'4. Base Mestre (845 Produtos)'!$A$4:$A$848,0)),MATCH(A40,'4. Base Mestre (845 Produtos)'!$A$4:$A$848,0),IF(ISNUMBER(MATCH(B40,'4. Base Mestre (845 Produtos)'!$B$4:$B$848,0)),MATCH(B40,'4. Base Mestre (845 Produtos)'!$B$4:$B$848,0),0))),IF(ISNUMBER(MATCH(D40,'3. Dicionario Principios Ativos'!$A$4:$A$245,0)),INDEX('3. Dicionario Principios Ativos'!$A$4:$A$245,MATCH(D40,'3. Dicionario Principios Ativos'!$A$4:$A$245,0)),D40)))</f>
        <v>PIRACLOSTROBINA 133 + EPOXICONAZOL 50</v>
      </c>
      <c r="P40" s="20" t="str">
        <f aca="false">IF(B40="","",IF(D40=O40,"CONFORME — Princípio Ativo Validado","DIVERGENTE — Substituir por: "&amp;O40))</f>
        <v>CONFORME — Princípio Ativo Validado</v>
      </c>
      <c r="Q40" s="24" t="str">
        <f aca="false">IF(B40="","",IF(IF(IF(ISNUMBER(MATCH(A40,'4.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Produtos)'!$J$4:$J$848,IF(ISNUMBER(MATCH(A40,'4. Base Mestre (845 Produtos)'!$A$4:$A$848,0)),MATCH(A40,'4. Base Mestre (845 Produtos)'!$A$4:$A$848,0),IF(ISNUMBER(MATCH(B40,'4. Base Mestre (845 Produtos)'!$B$4:$B$848,0)),MATCH(B40,'4. Base Mestre (845 Produtos)'!$B$4:$B$848,0),0)))="SIM",IF(ISNUMBER(MATCH(D40,'3. Dicionario Principios Ativos'!$A$4:$A$245,0)),INDEX('3. Dicionario Principios Ativos'!$C$4:$C$245,MATCH(D40,'3. Dicionario Principios Ativos'!$A$4:$A$245,0))="SIM",FALSE())),IF(AND(K40&gt;0,K40&lt;=0.3001),"3808.61.00",IF(AND(K40&gt;0.3001,K40&lt;=7.5001),"3808.62.90","3808.69.90")),IF(AND(LEFT(IF(IF(ISNUMBER(MATCH(A40,'4.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Produtos)'!$L$4:$L$848,IF(ISNUMBER(MATCH(A40,'4. Base Mestre (845 Produtos)'!$A$4:$A$848,0)),MATCH(A40,'4. Base Mestre (845 Produtos)'!$A$4:$A$848,0),IF(ISNUMBER(MATCH(B40,'4. Base Mestre (845 Produtos)'!$B$4:$B$848,0)),MATCH(B40,'4. Base Mestre (845 Produtos)'!$B$4:$B$848,0),0))),IF(ISNUMBER(MATCH(D40,'3. Dicionario Principios Ativos'!$A$4:$A$245,0)),INDEX('3. Dicionario Principios Ativos'!$D$4:$D$245,MATCH(D40,'3. Dicionario Principios Ativos'!$A$4:$A$245,0)),E40)),2)="31",E40="3105.10.00",K40&gt;0,K40&lt;=10.0001),"3105.10.00",IF(AND(IF(IF(ISNUMBER(MATCH(A40,'4.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Produtos)'!$L$4:$L$848,IF(ISNUMBER(MATCH(A40,'4. Base Mestre (845 Produtos)'!$A$4:$A$848,0)),MATCH(A40,'4. Base Mestre (845 Produtos)'!$A$4:$A$848,0),IF(ISNUMBER(MATCH(B40,'4. Base Mestre (845 Produtos)'!$B$4:$B$848,0)),MATCH(B40,'4. Base Mestre (845 Produtos)'!$B$4:$B$848,0),0))),IF(ISNUMBER(MATCH(D40,'3. Dicionario Principios Ativos'!$A$4:$A$245,0)),INDEX('3. Dicionario Principios Ativos'!$D$4:$D$245,MATCH(D40,'3. Dicionario Principios Ativos'!$A$4:$A$245,0)),E40))="3105.10.00",K40&gt;10.0001),"3105.90.90",IF(IF(ISNUMBER(MATCH(A40,'4.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Produtos)'!$L$4:$L$848,IF(ISNUMBER(MATCH(A40,'4. Base Mestre (845 Produtos)'!$A$4:$A$848,0)),MATCH(A40,'4. Base Mestre (845 Produtos)'!$A$4:$A$848,0),IF(ISNUMBER(MATCH(B40,'4. Base Mestre (845 Produtos)'!$B$4:$B$848,0)),MATCH(B40,'4. Base Mestre (845 Produtos)'!$B$4:$B$848,0),0))),IF(ISNUMBER(MATCH(D40,'3. Dicionario Principios Ativos'!$A$4:$A$245,0)),INDEX('3. Dicionario Principios Ativos'!$D$4:$D$245,MATCH(D40,'3. Dicionario Principios Ativos'!$A$4:$A$245,0)),E40))))))</f>
        <v>3808.92.99</v>
      </c>
      <c r="R40" s="20" t="str">
        <f aca="false">IF(B40="","",IF(OR(E40=Q40,AND(Q40="3002.49.99",E40="3002.90.00")),"CONFORME — NCM "&amp;E40&amp;" Correta na TIPI","DIVERGENTE — Substituir "&amp;E40&amp;" por "&amp;Q40))</f>
        <v>CONFORME — NCM 3808.92.99 Correta na TIPI</v>
      </c>
      <c r="S40" s="20" t="str">
        <f aca="false">IF(B40="","",IF(AND(E40="3808.61.00",OR(K40&gt;0.3001,K40=0)),"INCOMPATÍVEL — NCM 3808.61.00 exige emb. &lt;= 0,3kg/L (Emb. atual: "&amp;K40&amp;" "&amp;L40&amp;" -&gt; usar "&amp;Q40&amp;")",IF(AND(LEFT(E40,7)="3808.62",OR(K40&lt;=0.3001,K40&gt;7.5001)),"INCOMPATÍVEL — NCM 3808.62 exige emb. de 0,3 a 7,5kg/L (Emb. atual: "&amp;K40&amp;" "&amp;L40&amp;" -&gt; usar "&amp;Q40&amp;")",IF(AND(LEFT(E40,7)="3808.69",K40&gt;0,K40&lt;=7.5001),"INCOMPATÍVEL — NCM 3808.69 exige emb. &gt; 7,5kg/L (Emb. atual: "&amp;K40&amp;" "&amp;L40&amp;" -&gt; usar "&amp;Q40&amp;")",IF(AND(LEFT(Q40,6)="3808.6",LEFT(E40,6)&lt;&gt;"3808.6"),"INCOMPATÍVEL — Molécula Nota Subpos. 2 c/ emb. "&amp;K40&amp;" "&amp;L40&amp;" exige NCM "&amp;Q40,IF(AND(OR(E40="3808.91.19",E40="3808.92.19",E40="3808.93.19",E40="3808.99.19"),K40&gt;=1),"INCOMPATÍVEL — Subitem .19 (Domissanitário) vedado p/ emb. agrícola de "&amp;K40&amp;" "&amp;L40,IF(AND(E40="3105.10.00",K40&gt;10.0001),"INCOMPATÍVEL — NCM 3105.10.00 exige peso bruto &lt;= 10kg (Emb. atual: "&amp;K40&amp;" "&amp;L40&amp;" -&gt; usar 3105.90.90)",IF(AND(LEFT(E40,2)="29",LEFT(Q40,4)="3808",K40&gt;0),"INCOMPATÍVEL — Produto formulado em emb. comercial ("&amp;K40&amp;" "&amp;L40&amp;") vedado no Cap. 29 -&gt; usar "&amp;Q40,"CONFORME — Embalagem ("&amp;K40&amp;" "&amp;L40&amp;") compatível c/ a NCM"))))))))</f>
        <v>CONFORME — Embalagem (20 L) compatível c/ a NCM</v>
      </c>
      <c r="T40" s="24" t="n">
        <f aca="false">IF(B40="","",IF(IF(ISNUMBER(MATCH(A40,'4.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Produtos)'!$P$4:$P$848,IF(ISNUMBER(MATCH(A40,'4. Base Mestre (845 Produtos)'!$A$4:$A$848,0)),MATCH(A40,'4. Base Mestre (845 Produtos)'!$A$4:$A$848,0),IF(ISNUMBER(MATCH(B40,'4. Base Mestre (845 Produtos)'!$B$4:$B$848,0)),MATCH(B40,'4. Base Mestre (845 Produtos)'!$B$4:$B$848,0),0))),IF(ISNUMBER(MATCH(D40,'3. Dicionario Principios Ativos'!$A$4:$A$245,0)),INDEX('3. Dicionario Principios Ativos'!$K$4:$K$245,MATCH(D40,'3. Dicionario Principios Ativos'!$A$4:$A$245,0)),"VERIFICAR BULA")))</f>
        <v>11325</v>
      </c>
      <c r="U40" s="20" t="str">
        <f aca="false">IF(B40="","",IF(ISNUMBER(SEARCH("ISENTO",T40)),IF(OR(F40=0,F40="0",F40="ISENTO",F40=""),"CONFORME (DISPENSADO) — Isento pelo Ato SDA/MAPA nº 104/2017","INCORRETO — Produto isento de registro MAPA (usar 0 ou ISENTO)"),IF(ISNUMBER(SEARCH("SIPEAGRO",T40)),IF(ISNUMBER(SEARCH("-",F40)),"CONFORME — Registro SIPEAGRO ("&amp;F40&amp;") Preenchido","ADEQUAR P/ SIPEAGRO — Substituir 0 pelo Registro (UF-XXXXX-XXXXX.X)"),IF(ISNUMBER(SEARCH("VINCULAR",T40)),IF(AND(F40&lt;&gt;0,F40&lt;&gt;"0",F40&lt;&gt;""),"INCORRETO / TROCADO — Código "&amp;F40&amp;" pertence a outro produto (Vincular bula da marca)","VINCULAR MARCA — Cadastro de P.A. s/ marca fixa (Vincular registro na NF-e)"),IF(OR(F40=0,F40="0",F40=""),"AUSENTE (ZERO) — Preencher Registro Oficial MAPA nº "&amp;T40,IF(TEXT(F40,"0")=TEXT(T40,"0"),"CONFORME — Registro MAPA nº "&amp;T40&amp;" Validado na Bula","INCORRETO / TROCADO — Substituir "&amp;F40&amp;" pelo Registro Oficial nº "&amp;T40))))))</f>
        <v>AUSENTE (ZERO) — Preencher Registro Oficial MAPA nº 11325</v>
      </c>
      <c r="V40" s="20" t="str">
        <f aca="false">IF(B40="","",IF(IF(ISNUMBER(MATCH(A40,'4.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Produtos)'!$S$4:$S$848,IF(ISNUMBER(MATCH(A40,'4. Base Mestre (845 Produtos)'!$A$4:$A$848,0)),MATCH(A40,'4. Base Mestre (845 Produtos)'!$A$4:$A$848,0),IF(ISNUMBER(MATCH(B40,'4. Base Mestre (845 Produtos)'!$B$4:$B$848,0)),MATCH(B40,'4. Base Mestre (845 Produtos)'!$B$4:$B$848,0),0))),IF(ISNUMBER(MATCH(D40,'3. Dicionario Principios Ativos'!$A$4:$A$245,0)),INDEX('3. Dicionario Principios Ativos'!$L$4:$L$245,MATCH(D40,'3. Dicionario Principios Ativos'!$A$4:$A$245,0)),"Verificar NCM")))</f>
        <v>Beneficiado (Lei 10.925/04): 0% até Mar/26 | 0,925% Real / 0,365% Pres. pós-Abr/26 (LC 224/25)</v>
      </c>
      <c r="W40" s="20" t="str">
        <f aca="false">IF(B40="","",IF(IF(ISNUMBER(MATCH(A40,'4. Base Mestre (845 Produtos)'!$A$4:$A$848,0)),MATCH(A40,'4. Base Mestre (845 Produtos)'!$A$4:$A$848,0),IF(ISNUMBER(MATCH(B40,'4. Base Mestre (845 Produtos)'!$B$4:$B$848,0)),MATCH(B40,'4. Base Mestre (845 Produtos)'!$B$4:$B$848,0),0))&gt;0,INDEX('4. Base Mestre (845 Produtos)'!$T$4:$T$848,IF(ISNUMBER(MATCH(A40,'4. Base Mestre (845 Produtos)'!$A$4:$A$848,0)),MATCH(A40,'4. Base Mestre (845 Produtos)'!$A$4:$A$848,0),IF(ISNUMBER(MATCH(B40,'4. Base Mestre (845 Produtos)'!$B$4:$B$848,0)),MATCH(B40,'4. Base Mestre (845 Produtos)'!$B$4:$B$848,0),0))),IF(ISNUMBER(MATCH(D40,'3. Dicionario Principios Ativos'!$A$4:$A$245,0)),INDEX('3. Dicionario Principios Ativos'!$M$4:$M$245,MATCH(D40,'3. Dicionario Principios Ativos'!$A$4:$A$245,0)),"Verificar CST")))</f>
        <v>Saída: CST 06 (c/ Ajuste M220/M620 pós-Abr/26) | Entrada Revenda: CST 73</v>
      </c>
      <c r="X40" s="23" t="str">
        <f aca="false">IF(B40="","",IF(AND(LEFT(M40,8)="CONFORME",LEFT(P40,8)="CONFORME",LEFT(R40,8)="CONFORME",LEFT(S40,8)="CONFORME",LEFT(U40,8)="CONFORME"),"CADASTRO 100% CONFORME — LIBERADO P/ ERP",IF(AND(LEFT(M40,8)="CONFORME",LEFT(P40,8)="CONFORME",LEFT(R40,8)="CONFORME",LEFT(S40,8)="CONFORME",OR(LEFT(U40,7)="ADEQUAR",LEFT(U40,8)="VINCULAR")),"FISCAL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41" customFormat="false" ht="21.75" hidden="false" customHeight="true" outlineLevel="0" collapsed="false">
      <c r="A41" s="10" t="n">
        <v>3539</v>
      </c>
      <c r="B41" s="11" t="s">
        <v>154</v>
      </c>
      <c r="C41" s="12" t="s">
        <v>39</v>
      </c>
      <c r="D41" s="13" t="s">
        <v>155</v>
      </c>
      <c r="E41" s="12" t="s">
        <v>111</v>
      </c>
      <c r="F41" s="12" t="n">
        <v>0</v>
      </c>
      <c r="G41" s="14"/>
      <c r="H41" s="13" t="s">
        <v>156</v>
      </c>
      <c r="I41" s="15" t="str">
        <f aca="false">IF(B41="","",IF(ISNUMBER(MATCH(A41,'4. Base Mestre (845 Produtos)'!$A$4:$A$848,0)),"Localizado por Código ("&amp;A41&amp;") na Base Mestre",IF(ISNUMBER(MATCH(B41,'4. Base Mestre (845 Produtos)'!$B$4:$B$848,0)),"Localizado por Descrição na Base Mestre",IF(ISNUMBER(MATCH(D41,'3. Dicionario Principios Ativos'!$A$4:$A$245,0)),"Produto Novo — Validado pelo Dicionário de P.A.","Não Localizado — Revisar Código/P.A."))))</f>
        <v>Localizado por Código (3539) na Base Mestre</v>
      </c>
      <c r="J41" s="15" t="str">
        <f aca="false">IF(B41="","",IF(IF(ISNUMBER(MATCH(A41,'4.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Produtos)'!$I$4:$I$848,IF(ISNUMBER(MATCH(A41,'4. Base Mestre (845 Produtos)'!$A$4:$A$848,0)),MATCH(A41,'4. Base Mestre (845 Produtos)'!$A$4:$A$848,0),IF(ISNUMBER(MATCH(B41,'4. Base Mestre (845 Produtos)'!$B$4:$B$848,0)),MATCH(B41,'4. Base Mestre (845 Produtos)'!$B$4:$B$848,0),0))),IF(ISNUMBER(MATCH(D41,'3. Dicionario Principios Ativos'!$A$4:$A$245,0)),INDEX('3. Dicionario Principios Ativos'!$B$4:$B$245,MATCH(D41,'3. Dicionario Principios Ativos'!$A$4:$A$245,0)),"Revisar Classificação")))</f>
        <v>Defensivos — Herbicida</v>
      </c>
      <c r="K41" s="16" t="n">
        <f aca="false">IF(B41="","",IF(G41&lt;&gt;"",G41,IF(OR(ISNUMBER(SEARCH("PRINCIPIO ATIVO",B41)),ISNUMBER(SEARCH("PRINC. ATIVO",B41)),ISNUMBER(SEARCH("PR. ATIVO",B41)),ISNUMBER(SEARCH("PR.AT.",B41)),ISNUMBER(SEARCH("(P.A",B41)),ISNUMBER(SEARCH("(P. A",B41))),0,IF(OR(ISNUMBER(SEARCH("0,100KG",B41)),ISNUMBER(SEARCH("0,1KG",B41)),ISNUMBER(SEARCH("0,100L",B41))),0.1,IF(OR(ISNUMBER(SEARCH("0,200L",B41)),ISNUMBER(SEARCH("0,2L",B41)),ISNUMBER(SEARCH("0,200KG",B41)),ISNUMBER(SEARCH("0,2KG",B41))),0.2,IF(OR(ISNUMBER(SEARCH("0,240KG",B41)),ISNUMBER(SEARCH("0,250L",B41))),0.24,IF(OR(ISNUMBER(SEARCH("0,300KG",B41)),ISNUMBER(SEARCH("0,3KG",B41))),0.3,IF(OR(ISNUMBER(SEARCH("0,500L",B41)),ISNUMBER(SEARCH("0,5L",B41)),ISNUMBER(SEARCH("0,5KG",B41))),0.5,IF(ISNUMBER(SEARCH("0,8KG",B41)),0.8,IF(OR(ISNUMBER(SEARCH("1,5L",B41)),ISNUMBER(SEARCH("1,5KG",B41))),1.5,IF(OR(ISNUMBER(SEARCH("1,75L",B41)),ISNUMBER(SEARCH("1,8L",B41)),ISNUMBER(SEARCH("1.8L",B41))),1.8,IF(ISNUMBER(SEARCH("4,5KG",B41)),4.5,IF(ISNUMBER(SEARCH("7,5KG",B41)),7.5,IF(OR(ISNUMBER(SEARCH("1000L",B41)),ISNUMBER(SEARCH("1000KG",B41)),ISNUMBER(SEARCH("1.000KG",B41)),ISNUMBER(SEARCH("1.000L",B41)),ISNUMBER(SEARCH("1000 KG",B41)),ISNUMBER(SEARCH("GRANEL",B41)),ISNUMBER(SEARCH("(TON)",B41))),1000,IF(ISNUMBER(SEARCH("200L",B41)),200,IF(OR(ISNUMBER(SEARCH("25KG",B41)),ISNUMBER(SEARCH("25L",B41))),25,IF(OR(ISNUMBER(SEARCH("20L",B41)),ISNUMBER(SEARCH("20KG",B41))),20,IF(ISNUMBER(SEARCH("15KG",B41)),15,IF(OR(ISNUMBER(SEARCH("10L",B41)),ISNUMBER(SEARCH("10KG",B41))),10,IF(OR(ISNUMBER(SEARCH("5L",B41)),ISNUMBER(SEARCH("5KG",B41)),ISNUMBER(SEARCH("5LT",B41))),5,IF(OR(ISNUMBER(SEARCH("3KG",B41)),ISNUMBER(SEARCH("3L",B41))),3,IF(OR(ISNUMBER(SEARCH("2L",B41)),ISNUMBER(SEARCH("2KG",B41))),2,IF(OR(ISNUMBER(SEARCH("1L",B41)),ISNUMBER(SEARCH("1KG",B41)),ISNUMBER(SEARCH("1LT",B41))),1,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Produtos)'!$D$4:$D$848,IF(ISNUMBER(MATCH(A41,'4. Base Mestre (845 Produtos)'!$A$4:$A$848,0)),MATCH(A41,'4. Base Mestre (845 Produtos)'!$A$4:$A$848,0),IF(ISNUMBER(MATCH(B41,'4. Base Mestre (845 Produtos)'!$B$4:$B$848,0)),MATCH(B41,'4. Base Mestre (845 Produtos)'!$B$4:$B$848,0),0))),1))))))))))))))))))))))))</f>
        <v>5</v>
      </c>
      <c r="L41" s="17" t="str">
        <f aca="false">IF(B41="","",IF(OR(ISNUMBER(SEARCH("KG",B41)),ISNUMBER(SEARCH("GR",B41))),"KG",IF(OR(ISNUMBER(SEARCH("0,200L",B41)),ISNUMBER(SEARCH("0,2L",B41)),ISNUMBER(SEARCH("0,5L",B41)),ISNUMBER(SEARCH("1,5L",B41)),ISNUMBER(SEARCH("1,8L",B41)),ISNUMBER(SEARCH("1.8L",B41)),ISNUMBER(SEARCH("1L",B41)),ISNUMBER(SEARCH("2L",B41)),ISNUMBER(SEARCH("3L",B41)),ISNUMBER(SEARCH("5L",B41)),ISNUMBER(SEARCH("10L",B41)),ISNUMBER(SEARCH("20L",B41)),ISNUMBER(SEARCH("25L",B41)),ISNUMBER(SEARCH("200L",B41)),ISNUMBER(SEARCH("1000L",B41)),ISNUMBER(SEARCH("LT",B41))),"L",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Produtos)'!$E$4:$E$848,IF(ISNUMBER(MATCH(A41,'4. Base Mestre (845 Produtos)'!$A$4:$A$848,0)),MATCH(A41,'4. Base Mestre (845 Produtos)'!$A$4:$A$848,0),IF(ISNUMBER(MATCH(B41,'4. Base Mestre (845 Produtos)'!$B$4:$B$848,0)),MATCH(B41,'4. Base Mestre (845 Produtos)'!$B$4:$B$848,0),0))),C41))))</f>
        <v>L</v>
      </c>
      <c r="M41" s="15" t="str">
        <f aca="false">IF(B41="","",IF(C41=L41,"CONFORME — Unidade ("&amp;C41&amp;") compatível c/ Embalagem","DIVERGENTE — Embalagem em "&amp;L41&amp;", mas cadastrado em "&amp;C41))</f>
        <v>CONFORME — Unidade (L) compatível c/ Embalagem</v>
      </c>
      <c r="N41" s="15" t="str">
        <f aca="false">IF(B41="","",IF(K41=0,"Granel / Produto Técnico (Sem Embalagem Comercial)",IF(K41&lt;=0.3001,"Faixa 1 TIPI: Até 300g/mL (3808.61.00 / 3105.10.00)",IF(K41&lt;=7.5001,"Faixa 2 TIPI: De 300g a 7,5kg/L (3808.62.90 / 3105.10.00)",IF(K41&lt;=10.0001,"Faixa 3 TIPI: De 7,5kg a 10kg/L (3808.69.90 / 3105.10.00)","Faixa 4 TIPI: Acima de 10kg/L (3808.69.90 / Cap. 31 Geral)")))))</f>
        <v>Faixa 2 TIPI: De 300g a 7,5kg/L (3808.62.90 / 3105.10.00)</v>
      </c>
      <c r="O41" s="18" t="str">
        <f aca="false">IF(B41="","",IF(IF(ISNUMBER(MATCH(A41,'4.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Produtos)'!$H$4:$H$848,IF(ISNUMBER(MATCH(A41,'4. Base Mestre (845 Produtos)'!$A$4:$A$848,0)),MATCH(A41,'4. Base Mestre (845 Produtos)'!$A$4:$A$848,0),IF(ISNUMBER(MATCH(B41,'4. Base Mestre (845 Produtos)'!$B$4:$B$848,0)),MATCH(B41,'4. Base Mestre (845 Produtos)'!$B$4:$B$848,0),0))),IF(ISNUMBER(MATCH(D41,'3. Dicionario Principios Ativos'!$A$4:$A$245,0)),INDEX('3. Dicionario Principios Ativos'!$A$4:$A$245,MATCH(D41,'3. Dicionario Principios Ativos'!$A$4:$A$245,0)),D41)))</f>
        <v>CLOMAZONA 360</v>
      </c>
      <c r="P41" s="15" t="str">
        <f aca="false">IF(B41="","",IF(D41=O41,"CONFORME — Princípio Ativo Validado","DIVERGENTE — Substituir por: "&amp;O41))</f>
        <v>CONFORME — Princípio Ativo Validado</v>
      </c>
      <c r="Q41" s="19" t="str">
        <f aca="false">IF(B41="","",IF(IF(IF(ISNUMBER(MATCH(A41,'4.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Produtos)'!$J$4:$J$848,IF(ISNUMBER(MATCH(A41,'4. Base Mestre (845 Produtos)'!$A$4:$A$848,0)),MATCH(A41,'4. Base Mestre (845 Produtos)'!$A$4:$A$848,0),IF(ISNUMBER(MATCH(B41,'4. Base Mestre (845 Produtos)'!$B$4:$B$848,0)),MATCH(B41,'4. Base Mestre (845 Produtos)'!$B$4:$B$848,0),0)))="SIM",IF(ISNUMBER(MATCH(D41,'3. Dicionario Principios Ativos'!$A$4:$A$245,0)),INDEX('3. Dicionario Principios Ativos'!$C$4:$C$245,MATCH(D41,'3. Dicionario Principios Ativos'!$A$4:$A$245,0))="SIM",FALSE())),IF(AND(K41&gt;0,K41&lt;=0.3001),"3808.61.00",IF(AND(K41&gt;0.3001,K41&lt;=7.5001),"3808.62.90","3808.69.90")),IF(AND(LEFT(IF(IF(ISNUMBER(MATCH(A41,'4.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Produtos)'!$L$4:$L$848,IF(ISNUMBER(MATCH(A41,'4. Base Mestre (845 Produtos)'!$A$4:$A$848,0)),MATCH(A41,'4. Base Mestre (845 Produtos)'!$A$4:$A$848,0),IF(ISNUMBER(MATCH(B41,'4. Base Mestre (845 Produtos)'!$B$4:$B$848,0)),MATCH(B41,'4. Base Mestre (845 Produtos)'!$B$4:$B$848,0),0))),IF(ISNUMBER(MATCH(D41,'3. Dicionario Principios Ativos'!$A$4:$A$245,0)),INDEX('3. Dicionario Principios Ativos'!$D$4:$D$245,MATCH(D41,'3. Dicionario Principios Ativos'!$A$4:$A$245,0)),E41)),2)="31",E41="3105.10.00",K41&gt;0,K41&lt;=10.0001),"3105.10.00",IF(AND(IF(IF(ISNUMBER(MATCH(A41,'4.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Produtos)'!$L$4:$L$848,IF(ISNUMBER(MATCH(A41,'4. Base Mestre (845 Produtos)'!$A$4:$A$848,0)),MATCH(A41,'4. Base Mestre (845 Produtos)'!$A$4:$A$848,0),IF(ISNUMBER(MATCH(B41,'4. Base Mestre (845 Produtos)'!$B$4:$B$848,0)),MATCH(B41,'4. Base Mestre (845 Produtos)'!$B$4:$B$848,0),0))),IF(ISNUMBER(MATCH(D41,'3. Dicionario Principios Ativos'!$A$4:$A$245,0)),INDEX('3. Dicionario Principios Ativos'!$D$4:$D$245,MATCH(D41,'3. Dicionario Principios Ativos'!$A$4:$A$245,0)),E41))="3105.10.00",K41&gt;10.0001),"3105.90.90",IF(IF(ISNUMBER(MATCH(A41,'4.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Produtos)'!$L$4:$L$848,IF(ISNUMBER(MATCH(A41,'4. Base Mestre (845 Produtos)'!$A$4:$A$848,0)),MATCH(A41,'4. Base Mestre (845 Produtos)'!$A$4:$A$848,0),IF(ISNUMBER(MATCH(B41,'4. Base Mestre (845 Produtos)'!$B$4:$B$848,0)),MATCH(B41,'4. Base Mestre (845 Produtos)'!$B$4:$B$848,0),0))),IF(ISNUMBER(MATCH(D41,'3. Dicionario Principios Ativos'!$A$4:$A$245,0)),INDEX('3. Dicionario Principios Ativos'!$D$4:$D$245,MATCH(D41,'3. Dicionario Principios Ativos'!$A$4:$A$245,0)),E41))))))</f>
        <v>3808.93.29</v>
      </c>
      <c r="R41" s="15" t="str">
        <f aca="false">IF(B41="","",IF(OR(E41=Q41,AND(Q41="3002.49.99",E41="3002.90.00")),"CONFORME — NCM "&amp;E41&amp;" Correta na TIPI","DIVERGENTE — Substituir "&amp;E41&amp;" por "&amp;Q41))</f>
        <v>CONFORME — NCM 3808.93.29 Correta na TIPI</v>
      </c>
      <c r="S41" s="15" t="str">
        <f aca="false">IF(B41="","",IF(AND(E41="3808.61.00",OR(K41&gt;0.3001,K41=0)),"INCOMPATÍVEL — NCM 3808.61.00 exige emb. &lt;= 0,3kg/L (Emb. atual: "&amp;K41&amp;" "&amp;L41&amp;" -&gt; usar "&amp;Q41&amp;")",IF(AND(LEFT(E41,7)="3808.62",OR(K41&lt;=0.3001,K41&gt;7.5001)),"INCOMPATÍVEL — NCM 3808.62 exige emb. de 0,3 a 7,5kg/L (Emb. atual: "&amp;K41&amp;" "&amp;L41&amp;" -&gt; usar "&amp;Q41&amp;")",IF(AND(LEFT(E41,7)="3808.69",K41&gt;0,K41&lt;=7.5001),"INCOMPATÍVEL — NCM 3808.69 exige emb. &gt; 7,5kg/L (Emb. atual: "&amp;K41&amp;" "&amp;L41&amp;" -&gt; usar "&amp;Q41&amp;")",IF(AND(LEFT(Q41,6)="3808.6",LEFT(E41,6)&lt;&gt;"3808.6"),"INCOMPATÍVEL — Molécula Nota Subpos. 2 c/ emb. "&amp;K41&amp;" "&amp;L41&amp;" exige NCM "&amp;Q41,IF(AND(OR(E41="3808.91.19",E41="3808.92.19",E41="3808.93.19",E41="3808.99.19"),K41&gt;=1),"INCOMPATÍVEL — Subitem .19 (Domissanitário) vedado p/ emb. agrícola de "&amp;K41&amp;" "&amp;L41,IF(AND(E41="3105.10.00",K41&gt;10.0001),"INCOMPATÍVEL — NCM 3105.10.00 exige peso bruto &lt;= 10kg (Emb. atual: "&amp;K41&amp;" "&amp;L41&amp;" -&gt; usar 3105.90.90)",IF(AND(LEFT(E41,2)="29",LEFT(Q41,4)="3808",K41&gt;0),"INCOMPATÍVEL — Produto formulado em emb. comercial ("&amp;K41&amp;" "&amp;L41&amp;") vedado no Cap. 29 -&gt; usar "&amp;Q41,"CONFORME — Embalagem ("&amp;K41&amp;" "&amp;L41&amp;") compatível c/ a NCM"))))))))</f>
        <v>CONFORME — Embalagem (5 L) compatível c/ a NCM</v>
      </c>
      <c r="T41" s="19" t="n">
        <f aca="false">IF(B41="","",IF(IF(ISNUMBER(MATCH(A41,'4.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Produtos)'!$P$4:$P$848,IF(ISNUMBER(MATCH(A41,'4. Base Mestre (845 Produtos)'!$A$4:$A$848,0)),MATCH(A41,'4. Base Mestre (845 Produtos)'!$A$4:$A$848,0),IF(ISNUMBER(MATCH(B41,'4. Base Mestre (845 Produtos)'!$B$4:$B$848,0)),MATCH(B41,'4. Base Mestre (845 Produtos)'!$B$4:$B$848,0),0))),IF(ISNUMBER(MATCH(D41,'3. Dicionario Principios Ativos'!$A$4:$A$245,0)),INDEX('3. Dicionario Principios Ativos'!$K$4:$K$245,MATCH(D41,'3. Dicionario Principios Ativos'!$A$4:$A$245,0)),"VERIFICAR BULA")))</f>
        <v>1109</v>
      </c>
      <c r="U41" s="15" t="str">
        <f aca="false">IF(B41="","",IF(ISNUMBER(SEARCH("ISENTO",T41)),IF(OR(F41=0,F41="0",F41="ISENTO",F41=""),"CONFORME (DISPENSADO) — Isento pelo Ato SDA/MAPA nº 104/2017","INCORRETO — Produto isento de registro MAPA (usar 0 ou ISENTO)"),IF(ISNUMBER(SEARCH("SIPEAGRO",T41)),IF(ISNUMBER(SEARCH("-",F41)),"CONFORME — Registro SIPEAGRO ("&amp;F41&amp;") Preenchido","ADEQUAR P/ SIPEAGRO — Substituir 0 pelo Registro (UF-XXXXX-XXXXX.X)"),IF(ISNUMBER(SEARCH("VINCULAR",T41)),IF(AND(F41&lt;&gt;0,F41&lt;&gt;"0",F41&lt;&gt;""),"INCORRETO / TROCADO — Código "&amp;F41&amp;" pertence a outro produto (Vincular bula da marca)","VINCULAR MARCA — Cadastro de P.A. s/ marca fixa (Vincular registro na NF-e)"),IF(OR(F41=0,F41="0",F41=""),"AUSENTE (ZERO) — Preencher Registro Oficial MAPA nº "&amp;T41,IF(TEXT(F41,"0")=TEXT(T41,"0"),"CONFORME — Registro MAPA nº "&amp;T41&amp;" Validado na Bula","INCORRETO / TROCADO — Substituir "&amp;F41&amp;" pelo Registro Oficial nº "&amp;T41))))))</f>
        <v>AUSENTE (ZERO) — Preencher Registro Oficial MAPA nº 1109</v>
      </c>
      <c r="V41" s="15" t="str">
        <f aca="false">IF(B41="","",IF(IF(ISNUMBER(MATCH(A41,'4.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Produtos)'!$S$4:$S$848,IF(ISNUMBER(MATCH(A41,'4. Base Mestre (845 Produtos)'!$A$4:$A$848,0)),MATCH(A41,'4. Base Mestre (845 Produtos)'!$A$4:$A$848,0),IF(ISNUMBER(MATCH(B41,'4. Base Mestre (845 Produtos)'!$B$4:$B$848,0)),MATCH(B41,'4. Base Mestre (845 Produtos)'!$B$4:$B$848,0),0))),IF(ISNUMBER(MATCH(D41,'3. Dicionario Principios Ativos'!$A$4:$A$245,0)),INDEX('3. Dicionario Principios Ativos'!$L$4:$L$245,MATCH(D41,'3. Dicionario Principios Ativos'!$A$4:$A$245,0)),"Verificar NCM")))</f>
        <v>Beneficiado (Lei 10.925/04): 0% até Mar/26 | 0,925% Real / 0,365% Pres. pós-Abr/26 (LC 224/25)</v>
      </c>
      <c r="W41" s="15" t="str">
        <f aca="false">IF(B41="","",IF(IF(ISNUMBER(MATCH(A41,'4. Base Mestre (845 Produtos)'!$A$4:$A$848,0)),MATCH(A41,'4. Base Mestre (845 Produtos)'!$A$4:$A$848,0),IF(ISNUMBER(MATCH(B41,'4. Base Mestre (845 Produtos)'!$B$4:$B$848,0)),MATCH(B41,'4. Base Mestre (845 Produtos)'!$B$4:$B$848,0),0))&gt;0,INDEX('4. Base Mestre (845 Produtos)'!$T$4:$T$848,IF(ISNUMBER(MATCH(A41,'4. Base Mestre (845 Produtos)'!$A$4:$A$848,0)),MATCH(A41,'4. Base Mestre (845 Produtos)'!$A$4:$A$848,0),IF(ISNUMBER(MATCH(B41,'4. Base Mestre (845 Produtos)'!$B$4:$B$848,0)),MATCH(B41,'4. Base Mestre (845 Produtos)'!$B$4:$B$848,0),0))),IF(ISNUMBER(MATCH(D41,'3. Dicionario Principios Ativos'!$A$4:$A$245,0)),INDEX('3. Dicionario Principios Ativos'!$M$4:$M$245,MATCH(D41,'3. Dicionario Principios Ativos'!$A$4:$A$245,0)),"Verificar CST")))</f>
        <v>Saída: CST 06 (c/ Ajuste M220/M620 pós-Abr/26) | Entrada Revenda: CST 73</v>
      </c>
      <c r="X41" s="18" t="str">
        <f aca="false">IF(B41="","",IF(AND(LEFT(M41,8)="CONFORME",LEFT(P41,8)="CONFORME",LEFT(R41,8)="CONFORME",LEFT(S41,8)="CONFORME",LEFT(U41,8)="CONFORME"),"CADASTRO 100% CONFORME — LIBERADO P/ ERP",IF(AND(LEFT(M41,8)="CONFORME",LEFT(P41,8)="CONFORME",LEFT(R41,8)="CONFORME",LEFT(S41,8)="CONFORME",OR(LEFT(U41,7)="ADEQUAR",LEFT(U41,8)="VINCULAR")),"FISCAL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42" customFormat="false" ht="21.75" hidden="false" customHeight="true" outlineLevel="0" collapsed="false">
      <c r="A42" s="10" t="n">
        <v>27</v>
      </c>
      <c r="B42" s="11" t="s">
        <v>157</v>
      </c>
      <c r="C42" s="12" t="s">
        <v>39</v>
      </c>
      <c r="D42" s="13" t="s">
        <v>158</v>
      </c>
      <c r="E42" s="12" t="s">
        <v>159</v>
      </c>
      <c r="F42" s="12" t="n">
        <v>0</v>
      </c>
      <c r="G42" s="14"/>
      <c r="H42" s="13" t="s">
        <v>160</v>
      </c>
      <c r="I42" s="20" t="str">
        <f aca="false">IF(B42="","",IF(ISNUMBER(MATCH(A42,'4. Base Mestre (845 Produtos)'!$A$4:$A$848,0)),"Localizado por Código ("&amp;A42&amp;") na Base Mestre",IF(ISNUMBER(MATCH(B42,'4. Base Mestre (845 Produtos)'!$B$4:$B$848,0)),"Localizado por Descrição na Base Mestre",IF(ISNUMBER(MATCH(D42,'3. Dicionario Principios Ativos'!$A$4:$A$245,0)),"Produto Novo — Validado pelo Dicionário de P.A.","Não Localizado — Revisar Código/P.A."))))</f>
        <v>Localizado por Código (27) na Base Mestre</v>
      </c>
      <c r="J42" s="20" t="str">
        <f aca="false">IF(B42="","",IF(IF(ISNUMBER(MATCH(A42,'4.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Produtos)'!$I$4:$I$848,IF(ISNUMBER(MATCH(A42,'4. Base Mestre (845 Produtos)'!$A$4:$A$848,0)),MATCH(A42,'4. Base Mestre (845 Produtos)'!$A$4:$A$848,0),IF(ISNUMBER(MATCH(B42,'4. Base Mestre (845 Produtos)'!$B$4:$B$848,0)),MATCH(B42,'4. Base Mestre (845 Produtos)'!$B$4:$B$848,0),0))),IF(ISNUMBER(MATCH(D42,'3. Dicionario Principios Ativos'!$A$4:$A$245,0)),INDEX('3. Dicionario Principios Ativos'!$B$4:$B$245,MATCH(D42,'3. Dicionario Principios Ativos'!$A$4:$A$245,0)),"Revisar Classificação")))</f>
        <v>Adjuvantes — Adjuvante Espalhante / Surfactante / Redutor de pH e Deriva</v>
      </c>
      <c r="K42" s="21" t="n">
        <f aca="false">IF(B42="","",IF(G42&lt;&gt;"",G42,IF(OR(ISNUMBER(SEARCH("PRINCIPIO ATIVO",B42)),ISNUMBER(SEARCH("PRINC. ATIVO",B42)),ISNUMBER(SEARCH("PR. ATIVO",B42)),ISNUMBER(SEARCH("PR.AT.",B42)),ISNUMBER(SEARCH("(P.A",B42)),ISNUMBER(SEARCH("(P. A",B42))),0,IF(OR(ISNUMBER(SEARCH("0,100KG",B42)),ISNUMBER(SEARCH("0,1KG",B42)),ISNUMBER(SEARCH("0,100L",B42))),0.1,IF(OR(ISNUMBER(SEARCH("0,200L",B42)),ISNUMBER(SEARCH("0,2L",B42)),ISNUMBER(SEARCH("0,200KG",B42)),ISNUMBER(SEARCH("0,2KG",B42))),0.2,IF(OR(ISNUMBER(SEARCH("0,240KG",B42)),ISNUMBER(SEARCH("0,250L",B42))),0.24,IF(OR(ISNUMBER(SEARCH("0,300KG",B42)),ISNUMBER(SEARCH("0,3KG",B42))),0.3,IF(OR(ISNUMBER(SEARCH("0,500L",B42)),ISNUMBER(SEARCH("0,5L",B42)),ISNUMBER(SEARCH("0,5KG",B42))),0.5,IF(ISNUMBER(SEARCH("0,8KG",B42)),0.8,IF(OR(ISNUMBER(SEARCH("1,5L",B42)),ISNUMBER(SEARCH("1,5KG",B42))),1.5,IF(OR(ISNUMBER(SEARCH("1,75L",B42)),ISNUMBER(SEARCH("1,8L",B42)),ISNUMBER(SEARCH("1.8L",B42))),1.8,IF(ISNUMBER(SEARCH("4,5KG",B42)),4.5,IF(ISNUMBER(SEARCH("7,5KG",B42)),7.5,IF(OR(ISNUMBER(SEARCH("1000L",B42)),ISNUMBER(SEARCH("1000KG",B42)),ISNUMBER(SEARCH("1.000KG",B42)),ISNUMBER(SEARCH("1.000L",B42)),ISNUMBER(SEARCH("1000 KG",B42)),ISNUMBER(SEARCH("GRANEL",B42)),ISNUMBER(SEARCH("(TON)",B42))),1000,IF(ISNUMBER(SEARCH("200L",B42)),200,IF(OR(ISNUMBER(SEARCH("25KG",B42)),ISNUMBER(SEARCH("25L",B42))),25,IF(OR(ISNUMBER(SEARCH("20L",B42)),ISNUMBER(SEARCH("20KG",B42))),20,IF(ISNUMBER(SEARCH("15KG",B42)),15,IF(OR(ISNUMBER(SEARCH("10L",B42)),ISNUMBER(SEARCH("10KG",B42))),10,IF(OR(ISNUMBER(SEARCH("5L",B42)),ISNUMBER(SEARCH("5KG",B42)),ISNUMBER(SEARCH("5LT",B42))),5,IF(OR(ISNUMBER(SEARCH("3KG",B42)),ISNUMBER(SEARCH("3L",B42))),3,IF(OR(ISNUMBER(SEARCH("2L",B42)),ISNUMBER(SEARCH("2KG",B42))),2,IF(OR(ISNUMBER(SEARCH("1L",B42)),ISNUMBER(SEARCH("1KG",B42)),ISNUMBER(SEARCH("1LT",B42))),1,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Produtos)'!$D$4:$D$848,IF(ISNUMBER(MATCH(A42,'4. Base Mestre (845 Produtos)'!$A$4:$A$848,0)),MATCH(A42,'4. Base Mestre (845 Produtos)'!$A$4:$A$848,0),IF(ISNUMBER(MATCH(B42,'4. Base Mestre (845 Produtos)'!$B$4:$B$848,0)),MATCH(B42,'4. Base Mestre (845 Produtos)'!$B$4:$B$848,0),0))),1))))))))))))))))))))))))</f>
        <v>5</v>
      </c>
      <c r="L42" s="22" t="str">
        <f aca="false">IF(B42="","",IF(OR(ISNUMBER(SEARCH("KG",B42)),ISNUMBER(SEARCH("GR",B42))),"KG",IF(OR(ISNUMBER(SEARCH("0,200L",B42)),ISNUMBER(SEARCH("0,2L",B42)),ISNUMBER(SEARCH("0,5L",B42)),ISNUMBER(SEARCH("1,5L",B42)),ISNUMBER(SEARCH("1,8L",B42)),ISNUMBER(SEARCH("1.8L",B42)),ISNUMBER(SEARCH("1L",B42)),ISNUMBER(SEARCH("2L",B42)),ISNUMBER(SEARCH("3L",B42)),ISNUMBER(SEARCH("5L",B42)),ISNUMBER(SEARCH("10L",B42)),ISNUMBER(SEARCH("20L",B42)),ISNUMBER(SEARCH("25L",B42)),ISNUMBER(SEARCH("200L",B42)),ISNUMBER(SEARCH("1000L",B42)),ISNUMBER(SEARCH("LT",B42))),"L",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Produtos)'!$E$4:$E$848,IF(ISNUMBER(MATCH(A42,'4. Base Mestre (845 Produtos)'!$A$4:$A$848,0)),MATCH(A42,'4. Base Mestre (845 Produtos)'!$A$4:$A$848,0),IF(ISNUMBER(MATCH(B42,'4. Base Mestre (845 Produtos)'!$B$4:$B$848,0)),MATCH(B42,'4. Base Mestre (845 Produtos)'!$B$4:$B$848,0),0))),C42))))</f>
        <v>L</v>
      </c>
      <c r="M42" s="20" t="str">
        <f aca="false">IF(B42="","",IF(C42=L42,"CONFORME — Unidade ("&amp;C42&amp;") compatível c/ Embalagem","DIVERGENTE — Embalagem em "&amp;L42&amp;", mas cadastrado em "&amp;C42))</f>
        <v>CONFORME — Unidade (L) compatível c/ Embalagem</v>
      </c>
      <c r="N42" s="20" t="str">
        <f aca="false">IF(B42="","",IF(K42=0,"Granel / Produto Técnico (Sem Embalagem Comercial)",IF(K42&lt;=0.3001,"Faixa 1 TIPI: Até 300g/mL (3808.61.00 / 3105.10.00)",IF(K42&lt;=7.5001,"Faixa 2 TIPI: De 300g a 7,5kg/L (3808.62.90 / 3105.10.00)",IF(K42&lt;=10.0001,"Faixa 3 TIPI: De 7,5kg a 10kg/L (3808.69.90 / 3105.10.00)","Faixa 4 TIPI: Acima de 10kg/L (3808.69.90 / Cap. 31 Geral)")))))</f>
        <v>Faixa 2 TIPI: De 300g a 7,5kg/L (3808.62.90 / 3105.10.00)</v>
      </c>
      <c r="O42" s="23" t="str">
        <f aca="false">IF(B42="","",IF(IF(ISNUMBER(MATCH(A42,'4.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Produtos)'!$H$4:$H$848,IF(ISNUMBER(MATCH(A42,'4. Base Mestre (845 Produtos)'!$A$4:$A$848,0)),MATCH(A42,'4. Base Mestre (845 Produtos)'!$A$4:$A$848,0),IF(ISNUMBER(MATCH(B42,'4. Base Mestre (845 Produtos)'!$B$4:$B$848,0)),MATCH(B42,'4. Base Mestre (845 Produtos)'!$B$4:$B$848,0),0))),IF(ISNUMBER(MATCH(D42,'3. Dicionario Principios Ativos'!$A$4:$A$245,0)),INDEX('3. Dicionario Principios Ativos'!$A$4:$A$245,MATCH(D42,'3. Dicionario Principios Ativos'!$A$4:$A$245,0)),D42)))</f>
        <v>ADJUVANTE (REDUTOR DE PH E DERIVA)</v>
      </c>
      <c r="P42" s="20" t="str">
        <f aca="false">IF(B42="","",IF(D42=O42,"CONFORME — Princípio Ativo Validado","DIVERGENTE — Substituir por: "&amp;O42))</f>
        <v>CONFORME — Princípio Ativo Validado</v>
      </c>
      <c r="Q42" s="24" t="str">
        <f aca="false">IF(B42="","",IF(IF(IF(ISNUMBER(MATCH(A42,'4.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Produtos)'!$J$4:$J$848,IF(ISNUMBER(MATCH(A42,'4. Base Mestre (845 Produtos)'!$A$4:$A$848,0)),MATCH(A42,'4. Base Mestre (845 Produtos)'!$A$4:$A$848,0),IF(ISNUMBER(MATCH(B42,'4. Base Mestre (845 Produtos)'!$B$4:$B$848,0)),MATCH(B42,'4. Base Mestre (845 Produtos)'!$B$4:$B$848,0),0)))="SIM",IF(ISNUMBER(MATCH(D42,'3. Dicionario Principios Ativos'!$A$4:$A$245,0)),INDEX('3. Dicionario Principios Ativos'!$C$4:$C$245,MATCH(D42,'3. Dicionario Principios Ativos'!$A$4:$A$245,0))="SIM",FALSE())),IF(AND(K42&gt;0,K42&lt;=0.3001),"3808.61.00",IF(AND(K42&gt;0.3001,K42&lt;=7.5001),"3808.62.90","3808.69.90")),IF(AND(LEFT(IF(IF(ISNUMBER(MATCH(A42,'4.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Produtos)'!$L$4:$L$848,IF(ISNUMBER(MATCH(A42,'4. Base Mestre (845 Produtos)'!$A$4:$A$848,0)),MATCH(A42,'4. Base Mestre (845 Produtos)'!$A$4:$A$848,0),IF(ISNUMBER(MATCH(B42,'4. Base Mestre (845 Produtos)'!$B$4:$B$848,0)),MATCH(B42,'4. Base Mestre (845 Produtos)'!$B$4:$B$848,0),0))),IF(ISNUMBER(MATCH(D42,'3. Dicionario Principios Ativos'!$A$4:$A$245,0)),INDEX('3. Dicionario Principios Ativos'!$D$4:$D$245,MATCH(D42,'3. Dicionario Principios Ativos'!$A$4:$A$245,0)),E42)),2)="31",E42="3105.10.00",K42&gt;0,K42&lt;=10.0001),"3105.10.00",IF(AND(IF(IF(ISNUMBER(MATCH(A42,'4.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Produtos)'!$L$4:$L$848,IF(ISNUMBER(MATCH(A42,'4. Base Mestre (845 Produtos)'!$A$4:$A$848,0)),MATCH(A42,'4. Base Mestre (845 Produtos)'!$A$4:$A$848,0),IF(ISNUMBER(MATCH(B42,'4. Base Mestre (845 Produtos)'!$B$4:$B$848,0)),MATCH(B42,'4. Base Mestre (845 Produtos)'!$B$4:$B$848,0),0))),IF(ISNUMBER(MATCH(D42,'3. Dicionario Principios Ativos'!$A$4:$A$245,0)),INDEX('3. Dicionario Principios Ativos'!$D$4:$D$245,MATCH(D42,'3. Dicionario Principios Ativos'!$A$4:$A$245,0)),E42))="3105.10.00",K42&gt;10.0001),"3105.90.90",IF(IF(ISNUMBER(MATCH(A42,'4.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Produtos)'!$L$4:$L$848,IF(ISNUMBER(MATCH(A42,'4. Base Mestre (845 Produtos)'!$A$4:$A$848,0)),MATCH(A42,'4. Base Mestre (845 Produtos)'!$A$4:$A$848,0),IF(ISNUMBER(MATCH(B42,'4. Base Mestre (845 Produtos)'!$B$4:$B$848,0)),MATCH(B42,'4. Base Mestre (845 Produtos)'!$B$4:$B$848,0),0))),IF(ISNUMBER(MATCH(D42,'3. Dicionario Principios Ativos'!$A$4:$A$245,0)),INDEX('3. Dicionario Principios Ativos'!$D$4:$D$245,MATCH(D42,'3. Dicionario Principios Ativos'!$A$4:$A$245,0)),E42))))))</f>
        <v>3402.90.29</v>
      </c>
      <c r="R42" s="20" t="str">
        <f aca="false">IF(B42="","",IF(OR(E42=Q42,AND(Q42="3002.49.99",E42="3002.90.00")),"CONFORME — NCM "&amp;E42&amp;" Correta na TIPI","DIVERGENTE — Substituir "&amp;E42&amp;" por "&amp;Q42))</f>
        <v>DIVERGENTE — Substituir 3105.90.90 por 3402.90.29</v>
      </c>
      <c r="S42" s="20" t="str">
        <f aca="false">IF(B42="","",IF(AND(E42="3808.61.00",OR(K42&gt;0.3001,K42=0)),"INCOMPATÍVEL — NCM 3808.61.00 exige emb. &lt;= 0,3kg/L (Emb. atual: "&amp;K42&amp;" "&amp;L42&amp;" -&gt; usar "&amp;Q42&amp;")",IF(AND(LEFT(E42,7)="3808.62",OR(K42&lt;=0.3001,K42&gt;7.5001)),"INCOMPATÍVEL — NCM 3808.62 exige emb. de 0,3 a 7,5kg/L (Emb. atual: "&amp;K42&amp;" "&amp;L42&amp;" -&gt; usar "&amp;Q42&amp;")",IF(AND(LEFT(E42,7)="3808.69",K42&gt;0,K42&lt;=7.5001),"INCOMPATÍVEL — NCM 3808.69 exige emb. &gt; 7,5kg/L (Emb. atual: "&amp;K42&amp;" "&amp;L42&amp;" -&gt; usar "&amp;Q42&amp;")",IF(AND(LEFT(Q42,6)="3808.6",LEFT(E42,6)&lt;&gt;"3808.6"),"INCOMPATÍVEL — Molécula Nota Subpos. 2 c/ emb. "&amp;K42&amp;" "&amp;L42&amp;" exige NCM "&amp;Q42,IF(AND(OR(E42="3808.91.19",E42="3808.92.19",E42="3808.93.19",E42="3808.99.19"),K42&gt;=1),"INCOMPATÍVEL — Subitem .19 (Domissanitário) vedado p/ emb. agrícola de "&amp;K42&amp;" "&amp;L42,IF(AND(E42="3105.10.00",K42&gt;10.0001),"INCOMPATÍVEL — NCM 3105.10.00 exige peso bruto &lt;= 10kg (Emb. atual: "&amp;K42&amp;" "&amp;L42&amp;" -&gt; usar 3105.90.90)",IF(AND(LEFT(E42,2)="29",LEFT(Q42,4)="3808",K42&gt;0),"INCOMPATÍVEL — Produto formulado em emb. comercial ("&amp;K42&amp;" "&amp;L42&amp;") vedado no Cap. 29 -&gt; usar "&amp;Q42,"CONFORME — Embalagem ("&amp;K42&amp;" "&amp;L42&amp;") compatível c/ a NCM"))))))))</f>
        <v>CONFORME — Embalagem (5 L) compatível c/ a NCM</v>
      </c>
      <c r="T42" s="24" t="str">
        <f aca="false">IF(B42="","",IF(IF(ISNUMBER(MATCH(A42,'4.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Produtos)'!$P$4:$P$848,IF(ISNUMBER(MATCH(A42,'4. Base Mestre (845 Produtos)'!$A$4:$A$848,0)),MATCH(A42,'4. Base Mestre (845 Produtos)'!$A$4:$A$848,0),IF(ISNUMBER(MATCH(B42,'4. Base Mestre (845 Produtos)'!$B$4:$B$848,0)),MATCH(B42,'4. Base Mestre (845 Produtos)'!$B$4:$B$848,0),0))),IF(ISNUMBER(MATCH(D42,'3. Dicionario Principios Ativos'!$A$4:$A$245,0)),INDEX('3. Dicionario Principios Ativos'!$K$4:$K$245,MATCH(D42,'3. Dicionario Principios Ativos'!$A$4:$A$245,0)),"VERIFICAR BULA")))</f>
        <v>ISENTO (ATO 104/2017)</v>
      </c>
      <c r="U42" s="20" t="str">
        <f aca="false">IF(B42="","",IF(ISNUMBER(SEARCH("ISENTO",T42)),IF(OR(F42=0,F42="0",F42="ISENTO",F42=""),"CONFORME (DISPENSADO) — Isento pelo Ato SDA/MAPA nº 104/2017","INCORRETO — Produto isento de registro MAPA (usar 0 ou ISENTO)"),IF(ISNUMBER(SEARCH("SIPEAGRO",T42)),IF(ISNUMBER(SEARCH("-",F42)),"CONFORME — Registro SIPEAGRO ("&amp;F42&amp;") Preenchido","ADEQUAR P/ SIPEAGRO — Substituir 0 pelo Registro (UF-XXXXX-XXXXX.X)"),IF(ISNUMBER(SEARCH("VINCULAR",T42)),IF(AND(F42&lt;&gt;0,F42&lt;&gt;"0",F42&lt;&gt;""),"INCORRETO / TROCADO — Código "&amp;F42&amp;" pertence a outro produto (Vincular bula da marca)","VINCULAR MARCA — Cadastro de P.A. s/ marca fixa (Vincular registro na NF-e)"),IF(OR(F42=0,F42="0",F42=""),"AUSENTE (ZERO) — Preencher Registro Oficial MAPA nº "&amp;T42,IF(TEXT(F42,"0")=TEXT(T42,"0"),"CONFORME — Registro MAPA nº "&amp;T42&amp;" Validado na Bula","INCORRETO / TROCADO — Substituir "&amp;F42&amp;" pelo Registro Oficial nº "&amp;T42))))))</f>
        <v>CONFORME (DISPENSADO) — Isento pelo Ato SDA/MAPA nº 104/2017</v>
      </c>
      <c r="V42" s="20" t="str">
        <f aca="false">IF(B42="","",IF(IF(ISNUMBER(MATCH(A42,'4.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Produtos)'!$S$4:$S$848,IF(ISNUMBER(MATCH(A42,'4. Base Mestre (845 Produtos)'!$A$4:$A$848,0)),MATCH(A42,'4. Base Mestre (845 Produtos)'!$A$4:$A$848,0),IF(ISNUMBER(MATCH(B42,'4. Base Mestre (845 Produtos)'!$B$4:$B$848,0)),MATCH(B42,'4. Base Mestre (845 Produtos)'!$B$4:$B$848,0),0))),IF(ISNUMBER(MATCH(D42,'3. Dicionario Principios Ativos'!$A$4:$A$245,0)),INDEX('3. Dicionario Principios Ativos'!$L$4:$L$245,MATCH(D42,'3. Dicionario Principios Ativos'!$A$4:$A$245,0)),"Verificar NCM")))</f>
        <v>Tributado Integralmente: 9,25% Lucro Real (c/ crédito CST 50 na revenda) | 3,65% Presumido (SC COSIT 4/24 e 261/23)</v>
      </c>
      <c r="W42" s="20" t="str">
        <f aca="false">IF(B42="","",IF(IF(ISNUMBER(MATCH(A42,'4. Base Mestre (845 Produtos)'!$A$4:$A$848,0)),MATCH(A42,'4. Base Mestre (845 Produtos)'!$A$4:$A$848,0),IF(ISNUMBER(MATCH(B42,'4. Base Mestre (845 Produtos)'!$B$4:$B$848,0)),MATCH(B42,'4. Base Mestre (845 Produtos)'!$B$4:$B$848,0),0))&gt;0,INDEX('4. Base Mestre (845 Produtos)'!$T$4:$T$848,IF(ISNUMBER(MATCH(A42,'4. Base Mestre (845 Produtos)'!$A$4:$A$848,0)),MATCH(A42,'4. Base Mestre (845 Produtos)'!$A$4:$A$848,0),IF(ISNUMBER(MATCH(B42,'4. Base Mestre (845 Produtos)'!$B$4:$B$848,0)),MATCH(B42,'4. Base Mestre (845 Produtos)'!$B$4:$B$848,0),0))),IF(ISNUMBER(MATCH(D42,'3. Dicionario Principios Ativos'!$A$4:$A$245,0)),INDEX('3. Dicionario Principios Ativos'!$M$4:$M$245,MATCH(D42,'3. Dicionario Principios Ativos'!$A$4:$A$245,0)),"Verificar CST")))</f>
        <v>Saída: CST 01 (9,25% Real / 3,65% Pres.) | Entrada Revenda Real: CST 50</v>
      </c>
      <c r="X42" s="23" t="str">
        <f aca="false">IF(B42="","",IF(AND(LEFT(M42,8)="CONFORME",LEFT(P42,8)="CONFORME",LEFT(R42,8)="CONFORME",LEFT(S42,8)="CONFORME",LEFT(U42,8)="CONFORME"),"CADASTRO 100% CONFORME — LIBERADO P/ ERP",IF(AND(LEFT(M42,8)="CONFORME",LEFT(P42,8)="CONFORME",LEFT(R42,8)="CONFORME",LEFT(S42,8)="CONFORME",OR(LEFT(U42,7)="ADEQUAR",LEFT(U42,8)="VINCULAR")),"FISCAL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43" customFormat="false" ht="21.75" hidden="false" customHeight="true" outlineLevel="0" collapsed="false">
      <c r="A43" s="10" t="n">
        <v>612</v>
      </c>
      <c r="B43" s="11" t="s">
        <v>161</v>
      </c>
      <c r="C43" s="12" t="s">
        <v>39</v>
      </c>
      <c r="D43" s="13" t="s">
        <v>162</v>
      </c>
      <c r="E43" s="12" t="s">
        <v>163</v>
      </c>
      <c r="F43" s="12" t="s">
        <v>164</v>
      </c>
      <c r="G43" s="14"/>
      <c r="H43" s="13" t="s">
        <v>165</v>
      </c>
      <c r="I43" s="15" t="str">
        <f aca="false">IF(B43="","",IF(ISNUMBER(MATCH(A43,'4. Base Mestre (845 Produtos)'!$A$4:$A$848,0)),"Localizado por Código ("&amp;A43&amp;") na Base Mestre",IF(ISNUMBER(MATCH(B43,'4. Base Mestre (845 Produtos)'!$B$4:$B$848,0)),"Localizado por Descrição na Base Mestre",IF(ISNUMBER(MATCH(D43,'3. Dicionario Principios Ativos'!$A$4:$A$245,0)),"Produto Novo — Validado pelo Dicionário de P.A.","Não Localizado — Revisar Código/P.A."))))</f>
        <v>Localizado por Código (612) na Base Mestre</v>
      </c>
      <c r="J43" s="15" t="str">
        <f aca="false">IF(B43="","",IF(IF(ISNUMBER(MATCH(A43,'4.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Produtos)'!$I$4:$I$848,IF(ISNUMBER(MATCH(A43,'4. Base Mestre (845 Produtos)'!$A$4:$A$848,0)),MATCH(A43,'4. Base Mestre (845 Produtos)'!$A$4:$A$848,0),IF(ISNUMBER(MATCH(B43,'4. Base Mestre (845 Produtos)'!$B$4:$B$848,0)),MATCH(B43,'4. Base Mestre (845 Produtos)'!$B$4:$B$848,0),0))),IF(ISNUMBER(MATCH(D43,'3. Dicionario Principios Ativos'!$A$4:$A$245,0)),INDEX('3. Dicionario Principios Ativos'!$B$4:$B$245,MATCH(D43,'3. Dicionario Principios Ativos'!$A$4:$A$245,0)),"Revisar Classificação")))</f>
        <v>Inoculantes e Biológicos — Inoculante Solubilizador de Fósforo / Promotor de Crescimento</v>
      </c>
      <c r="K43" s="16" t="n">
        <f aca="false">IF(B43="","",IF(G43&lt;&gt;"",G43,IF(OR(ISNUMBER(SEARCH("PRINCIPIO ATIVO",B43)),ISNUMBER(SEARCH("PRINC. ATIVO",B43)),ISNUMBER(SEARCH("PR. ATIVO",B43)),ISNUMBER(SEARCH("PR.AT.",B43)),ISNUMBER(SEARCH("(P.A",B43)),ISNUMBER(SEARCH("(P. A",B43))),0,IF(OR(ISNUMBER(SEARCH("0,100KG",B43)),ISNUMBER(SEARCH("0,1KG",B43)),ISNUMBER(SEARCH("0,100L",B43))),0.1,IF(OR(ISNUMBER(SEARCH("0,200L",B43)),ISNUMBER(SEARCH("0,2L",B43)),ISNUMBER(SEARCH("0,200KG",B43)),ISNUMBER(SEARCH("0,2KG",B43))),0.2,IF(OR(ISNUMBER(SEARCH("0,240KG",B43)),ISNUMBER(SEARCH("0,250L",B43))),0.24,IF(OR(ISNUMBER(SEARCH("0,300KG",B43)),ISNUMBER(SEARCH("0,3KG",B43))),0.3,IF(OR(ISNUMBER(SEARCH("0,500L",B43)),ISNUMBER(SEARCH("0,5L",B43)),ISNUMBER(SEARCH("0,5KG",B43))),0.5,IF(ISNUMBER(SEARCH("0,8KG",B43)),0.8,IF(OR(ISNUMBER(SEARCH("1,5L",B43)),ISNUMBER(SEARCH("1,5KG",B43))),1.5,IF(OR(ISNUMBER(SEARCH("1,75L",B43)),ISNUMBER(SEARCH("1,8L",B43)),ISNUMBER(SEARCH("1.8L",B43))),1.8,IF(ISNUMBER(SEARCH("4,5KG",B43)),4.5,IF(ISNUMBER(SEARCH("7,5KG",B43)),7.5,IF(OR(ISNUMBER(SEARCH("1000L",B43)),ISNUMBER(SEARCH("1000KG",B43)),ISNUMBER(SEARCH("1.000KG",B43)),ISNUMBER(SEARCH("1.000L",B43)),ISNUMBER(SEARCH("1000 KG",B43)),ISNUMBER(SEARCH("GRANEL",B43)),ISNUMBER(SEARCH("(TON)",B43))),1000,IF(ISNUMBER(SEARCH("200L",B43)),200,IF(OR(ISNUMBER(SEARCH("25KG",B43)),ISNUMBER(SEARCH("25L",B43))),25,IF(OR(ISNUMBER(SEARCH("20L",B43)),ISNUMBER(SEARCH("20KG",B43))),20,IF(ISNUMBER(SEARCH("15KG",B43)),15,IF(OR(ISNUMBER(SEARCH("10L",B43)),ISNUMBER(SEARCH("10KG",B43))),10,IF(OR(ISNUMBER(SEARCH("5L",B43)),ISNUMBER(SEARCH("5KG",B43)),ISNUMBER(SEARCH("5LT",B43))),5,IF(OR(ISNUMBER(SEARCH("3KG",B43)),ISNUMBER(SEARCH("3L",B43))),3,IF(OR(ISNUMBER(SEARCH("2L",B43)),ISNUMBER(SEARCH("2KG",B43))),2,IF(OR(ISNUMBER(SEARCH("1L",B43)),ISNUMBER(SEARCH("1KG",B43)),ISNUMBER(SEARCH("1LT",B43))),1,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Produtos)'!$D$4:$D$848,IF(ISNUMBER(MATCH(A43,'4. Base Mestre (845 Produtos)'!$A$4:$A$848,0)),MATCH(A43,'4. Base Mestre (845 Produtos)'!$A$4:$A$848,0),IF(ISNUMBER(MATCH(B43,'4. Base Mestre (845 Produtos)'!$B$4:$B$848,0)),MATCH(B43,'4. Base Mestre (845 Produtos)'!$B$4:$B$848,0),0))),1))))))))))))))))))))))))</f>
        <v>5</v>
      </c>
      <c r="L43" s="17" t="str">
        <f aca="false">IF(B43="","",IF(OR(ISNUMBER(SEARCH("KG",B43)),ISNUMBER(SEARCH("GR",B43))),"KG",IF(OR(ISNUMBER(SEARCH("0,200L",B43)),ISNUMBER(SEARCH("0,2L",B43)),ISNUMBER(SEARCH("0,5L",B43)),ISNUMBER(SEARCH("1,5L",B43)),ISNUMBER(SEARCH("1,8L",B43)),ISNUMBER(SEARCH("1.8L",B43)),ISNUMBER(SEARCH("1L",B43)),ISNUMBER(SEARCH("2L",B43)),ISNUMBER(SEARCH("3L",B43)),ISNUMBER(SEARCH("5L",B43)),ISNUMBER(SEARCH("10L",B43)),ISNUMBER(SEARCH("20L",B43)),ISNUMBER(SEARCH("25L",B43)),ISNUMBER(SEARCH("200L",B43)),ISNUMBER(SEARCH("1000L",B43)),ISNUMBER(SEARCH("LT",B43))),"L",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Produtos)'!$E$4:$E$848,IF(ISNUMBER(MATCH(A43,'4. Base Mestre (845 Produtos)'!$A$4:$A$848,0)),MATCH(A43,'4. Base Mestre (845 Produtos)'!$A$4:$A$848,0),IF(ISNUMBER(MATCH(B43,'4. Base Mestre (845 Produtos)'!$B$4:$B$848,0)),MATCH(B43,'4. Base Mestre (845 Produtos)'!$B$4:$B$848,0),0))),C43))))</f>
        <v>L</v>
      </c>
      <c r="M43" s="15" t="str">
        <f aca="false">IF(B43="","",IF(C43=L43,"CONFORME — Unidade ("&amp;C43&amp;") compatível c/ Embalagem","DIVERGENTE — Embalagem em "&amp;L43&amp;", mas cadastrado em "&amp;C43))</f>
        <v>CONFORME — Unidade (L) compatível c/ Embalagem</v>
      </c>
      <c r="N43" s="15" t="str">
        <f aca="false">IF(B43="","",IF(K43=0,"Granel / Produto Técnico (Sem Embalagem Comercial)",IF(K43&lt;=0.3001,"Faixa 1 TIPI: Até 300g/mL (3808.61.00 / 3105.10.00)",IF(K43&lt;=7.5001,"Faixa 2 TIPI: De 300g a 7,5kg/L (3808.62.90 / 3105.10.00)",IF(K43&lt;=10.0001,"Faixa 3 TIPI: De 7,5kg a 10kg/L (3808.69.90 / 3105.10.00)","Faixa 4 TIPI: Acima de 10kg/L (3808.69.90 / Cap. 31 Geral)")))))</f>
        <v>Faixa 2 TIPI: De 300g a 7,5kg/L (3808.62.90 / 3105.10.00)</v>
      </c>
      <c r="O43" s="18" t="str">
        <f aca="false">IF(B43="","",IF(IF(ISNUMBER(MATCH(A43,'4.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Produtos)'!$H$4:$H$848,IF(ISNUMBER(MATCH(A43,'4. Base Mestre (845 Produtos)'!$A$4:$A$848,0)),MATCH(A43,'4. Base Mestre (845 Produtos)'!$A$4:$A$848,0),IF(ISNUMBER(MATCH(B43,'4. Base Mestre (845 Produtos)'!$B$4:$B$848,0)),MATCH(B43,'4. Base Mestre (845 Produtos)'!$B$4:$B$848,0),0))),IF(ISNUMBER(MATCH(D43,'3. Dicionario Principios Ativos'!$A$4:$A$245,0)),INDEX('3. Dicionario Principios Ativos'!$A$4:$A$245,MATCH(D43,'3. Dicionario Principios Ativos'!$A$4:$A$245,0)),D43)))</f>
        <v>BACILLUS SUBTILIS E BACILLUS MEGATERIUM</v>
      </c>
      <c r="P43" s="15" t="str">
        <f aca="false">IF(B43="","",IF(D43=O43,"CONFORME — Princípio Ativo Validado","DIVERGENTE — Substituir por: "&amp;O43))</f>
        <v>CONFORME — Princípio Ativo Validado</v>
      </c>
      <c r="Q43" s="19" t="str">
        <f aca="false">IF(B43="","",IF(IF(IF(ISNUMBER(MATCH(A43,'4.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Produtos)'!$J$4:$J$848,IF(ISNUMBER(MATCH(A43,'4. Base Mestre (845 Produtos)'!$A$4:$A$848,0)),MATCH(A43,'4. Base Mestre (845 Produtos)'!$A$4:$A$848,0),IF(ISNUMBER(MATCH(B43,'4. Base Mestre (845 Produtos)'!$B$4:$B$848,0)),MATCH(B43,'4. Base Mestre (845 Produtos)'!$B$4:$B$848,0),0)))="SIM",IF(ISNUMBER(MATCH(D43,'3. Dicionario Principios Ativos'!$A$4:$A$245,0)),INDEX('3. Dicionario Principios Ativos'!$C$4:$C$245,MATCH(D43,'3. Dicionario Principios Ativos'!$A$4:$A$245,0))="SIM",FALSE())),IF(AND(K43&gt;0,K43&lt;=0.3001),"3808.61.00",IF(AND(K43&gt;0.3001,K43&lt;=7.5001),"3808.62.90","3808.69.90")),IF(AND(LEFT(IF(IF(ISNUMBER(MATCH(A43,'4.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Produtos)'!$L$4:$L$848,IF(ISNUMBER(MATCH(A43,'4. Base Mestre (845 Produtos)'!$A$4:$A$848,0)),MATCH(A43,'4. Base Mestre (845 Produtos)'!$A$4:$A$848,0),IF(ISNUMBER(MATCH(B43,'4. Base Mestre (845 Produtos)'!$B$4:$B$848,0)),MATCH(B43,'4. Base Mestre (845 Produtos)'!$B$4:$B$848,0),0))),IF(ISNUMBER(MATCH(D43,'3. Dicionario Principios Ativos'!$A$4:$A$245,0)),INDEX('3. Dicionario Principios Ativos'!$D$4:$D$245,MATCH(D43,'3. Dicionario Principios Ativos'!$A$4:$A$245,0)),E43)),2)="31",E43="3105.10.00",K43&gt;0,K43&lt;=10.0001),"3105.10.00",IF(AND(IF(IF(ISNUMBER(MATCH(A43,'4.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Produtos)'!$L$4:$L$848,IF(ISNUMBER(MATCH(A43,'4. Base Mestre (845 Produtos)'!$A$4:$A$848,0)),MATCH(A43,'4. Base Mestre (845 Produtos)'!$A$4:$A$848,0),IF(ISNUMBER(MATCH(B43,'4. Base Mestre (845 Produtos)'!$B$4:$B$848,0)),MATCH(B43,'4. Base Mestre (845 Produtos)'!$B$4:$B$848,0),0))),IF(ISNUMBER(MATCH(D43,'3. Dicionario Principios Ativos'!$A$4:$A$245,0)),INDEX('3. Dicionario Principios Ativos'!$D$4:$D$245,MATCH(D43,'3. Dicionario Principios Ativos'!$A$4:$A$245,0)),E43))="3105.10.00",K43&gt;10.0001),"3105.90.90",IF(IF(ISNUMBER(MATCH(A43,'4.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Produtos)'!$L$4:$L$848,IF(ISNUMBER(MATCH(A43,'4. Base Mestre (845 Produtos)'!$A$4:$A$848,0)),MATCH(A43,'4. Base Mestre (845 Produtos)'!$A$4:$A$848,0),IF(ISNUMBER(MATCH(B43,'4. Base Mestre (845 Produtos)'!$B$4:$B$848,0)),MATCH(B43,'4. Base Mestre (845 Produtos)'!$B$4:$B$848,0),0))),IF(ISNUMBER(MATCH(D43,'3. Dicionario Principios Ativos'!$A$4:$A$245,0)),INDEX('3. Dicionario Principios Ativos'!$D$4:$D$245,MATCH(D43,'3. Dicionario Principios Ativos'!$A$4:$A$245,0)),E43))))))</f>
        <v>3002.49.99</v>
      </c>
      <c r="R43" s="15" t="str">
        <f aca="false">IF(B43="","",IF(OR(E43=Q43,AND(Q43="3002.49.99",E43="3002.90.00")),"CONFORME — NCM "&amp;E43&amp;" Correta na TIPI","DIVERGENTE — Substituir "&amp;E43&amp;" por "&amp;Q43))</f>
        <v>DIVERGENTE — Substituir 3507.90.49 por 3002.49.99</v>
      </c>
      <c r="S43" s="15" t="str">
        <f aca="false">IF(B43="","",IF(AND(E43="3808.61.00",OR(K43&gt;0.3001,K43=0)),"INCOMPATÍVEL — NCM 3808.61.00 exige emb. &lt;= 0,3kg/L (Emb. atual: "&amp;K43&amp;" "&amp;L43&amp;" -&gt; usar "&amp;Q43&amp;")",IF(AND(LEFT(E43,7)="3808.62",OR(K43&lt;=0.3001,K43&gt;7.5001)),"INCOMPATÍVEL — NCM 3808.62 exige emb. de 0,3 a 7,5kg/L (Emb. atual: "&amp;K43&amp;" "&amp;L43&amp;" -&gt; usar "&amp;Q43&amp;")",IF(AND(LEFT(E43,7)="3808.69",K43&gt;0,K43&lt;=7.5001),"INCOMPATÍVEL — NCM 3808.69 exige emb. &gt; 7,5kg/L (Emb. atual: "&amp;K43&amp;" "&amp;L43&amp;" -&gt; usar "&amp;Q43&amp;")",IF(AND(LEFT(Q43,6)="3808.6",LEFT(E43,6)&lt;&gt;"3808.6"),"INCOMPATÍVEL — Molécula Nota Subpos. 2 c/ emb. "&amp;K43&amp;" "&amp;L43&amp;" exige NCM "&amp;Q43,IF(AND(OR(E43="3808.91.19",E43="3808.92.19",E43="3808.93.19",E43="3808.99.19"),K43&gt;=1),"INCOMPATÍVEL — Subitem .19 (Domissanitário) vedado p/ emb. agrícola de "&amp;K43&amp;" "&amp;L43,IF(AND(E43="3105.10.00",K43&gt;10.0001),"INCOMPATÍVEL — NCM 3105.10.00 exige peso bruto &lt;= 10kg (Emb. atual: "&amp;K43&amp;" "&amp;L43&amp;" -&gt; usar 3105.90.90)",IF(AND(LEFT(E43,2)="29",LEFT(Q43,4)="3808",K43&gt;0),"INCOMPATÍVEL — Produto formulado em emb. comercial ("&amp;K43&amp;" "&amp;L43&amp;") vedado no Cap. 29 -&gt; usar "&amp;Q43,"CONFORME — Embalagem ("&amp;K43&amp;" "&amp;L43&amp;") compatível c/ a NCM"))))))))</f>
        <v>CONFORME — Embalagem (5 L) compatível c/ a NCM</v>
      </c>
      <c r="T43" s="19" t="str">
        <f aca="false">IF(B43="","",IF(IF(ISNUMBER(MATCH(A43,'4.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Produtos)'!$P$4:$P$848,IF(ISNUMBER(MATCH(A43,'4. Base Mestre (845 Produtos)'!$A$4:$A$848,0)),MATCH(A43,'4. Base Mestre (845 Produtos)'!$A$4:$A$848,0),IF(ISNUMBER(MATCH(B43,'4. Base Mestre (845 Produtos)'!$B$4:$B$848,0)),MATCH(B43,'4. Base Mestre (845 Produtos)'!$B$4:$B$848,0),0))),IF(ISNUMBER(MATCH(D43,'3. Dicionario Principios Ativos'!$A$4:$A$245,0)),INDEX('3. Dicionario Principios Ativos'!$K$4:$K$245,MATCH(D43,'3. Dicionario Principios Ativos'!$A$4:$A$245,0)),"VERIFICAR BULA")))</f>
        <v>SIPEAGRO (UF-XXXXX)</v>
      </c>
      <c r="U43" s="15" t="str">
        <f aca="false">IF(B43="","",IF(ISNUMBER(SEARCH("ISENTO",T43)),IF(OR(F43=0,F43="0",F43="ISENTO",F43=""),"CONFORME (DISPENSADO) — Isento pelo Ato SDA/MAPA nº 104/2017","INCORRETO — Produto isento de registro MAPA (usar 0 ou ISENTO)"),IF(ISNUMBER(SEARCH("SIPEAGRO",T43)),IF(ISNUMBER(SEARCH("-",F43)),"CONFORME — Registro SIPEAGRO ("&amp;F43&amp;") Preenchido","ADEQUAR P/ SIPEAGRO — Substituir 0 pelo Registro (UF-XXXXX-XXXXX.X)"),IF(ISNUMBER(SEARCH("VINCULAR",T43)),IF(AND(F43&lt;&gt;0,F43&lt;&gt;"0",F43&lt;&gt;""),"INCORRETO / TROCADO — Código "&amp;F43&amp;" pertence a outro produto (Vincular bula da marca)","VINCULAR MARCA — Cadastro de P.A. s/ marca fixa (Vincular registro na NF-e)"),IF(OR(F43=0,F43="0",F43=""),"AUSENTE (ZERO) — Preencher Registro Oficial MAPA nº "&amp;T43,IF(TEXT(F43,"0")=TEXT(T43,"0"),"CONFORME — Registro MAPA nº "&amp;T43&amp;" Validado na Bula","INCORRETO / TROCADO — Substituir "&amp;F43&amp;" pelo Registro Oficial nº "&amp;T43))))))</f>
        <v>CONFORME — Registro SIPEAGRO (SP-00991-10015.1) Preenchido</v>
      </c>
      <c r="V43" s="15" t="str">
        <f aca="false">IF(B43="","",IF(IF(ISNUMBER(MATCH(A43,'4.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Produtos)'!$S$4:$S$848,IF(ISNUMBER(MATCH(A43,'4. Base Mestre (845 Produtos)'!$A$4:$A$848,0)),MATCH(A43,'4. Base Mestre (845 Produtos)'!$A$4:$A$848,0),IF(ISNUMBER(MATCH(B43,'4. Base Mestre (845 Produtos)'!$B$4:$B$848,0)),MATCH(B43,'4. Base Mestre (845 Produtos)'!$B$4:$B$848,0),0))),IF(ISNUMBER(MATCH(D43,'3. Dicionario Principios Ativos'!$A$4:$A$245,0)),INDEX('3. Dicionario Principios Ativos'!$L$4:$L$245,MATCH(D43,'3. Dicionario Principios Ativos'!$A$4:$A$245,0)),"Verificar NCM")))</f>
        <v>Tributado Integralmente: 9,25% Lucro Real (c/ crédito CST 50 na revenda) | 3,65% Presumido (SC COSIT 4/24 e 261/23)</v>
      </c>
      <c r="W43" s="15" t="str">
        <f aca="false">IF(B43="","",IF(IF(ISNUMBER(MATCH(A43,'4. Base Mestre (845 Produtos)'!$A$4:$A$848,0)),MATCH(A43,'4. Base Mestre (845 Produtos)'!$A$4:$A$848,0),IF(ISNUMBER(MATCH(B43,'4. Base Mestre (845 Produtos)'!$B$4:$B$848,0)),MATCH(B43,'4. Base Mestre (845 Produtos)'!$B$4:$B$848,0),0))&gt;0,INDEX('4. Base Mestre (845 Produtos)'!$T$4:$T$848,IF(ISNUMBER(MATCH(A43,'4. Base Mestre (845 Produtos)'!$A$4:$A$848,0)),MATCH(A43,'4. Base Mestre (845 Produtos)'!$A$4:$A$848,0),IF(ISNUMBER(MATCH(B43,'4. Base Mestre (845 Produtos)'!$B$4:$B$848,0)),MATCH(B43,'4. Base Mestre (845 Produtos)'!$B$4:$B$848,0),0))),IF(ISNUMBER(MATCH(D43,'3. Dicionario Principios Ativos'!$A$4:$A$245,0)),INDEX('3. Dicionario Principios Ativos'!$M$4:$M$245,MATCH(D43,'3. Dicionario Principios Ativos'!$A$4:$A$245,0)),"Verificar CST")))</f>
        <v>Saída: CST 01 (9,25% Real / 3,65% Pres.) | Entrada Revenda Real: CST 50</v>
      </c>
      <c r="X43" s="18" t="str">
        <f aca="false">IF(B43="","",IF(AND(LEFT(M43,8)="CONFORME",LEFT(P43,8)="CONFORME",LEFT(R43,8)="CONFORME",LEFT(S43,8)="CONFORME",LEFT(U43,8)="CONFORME"),"CADASTRO 100% CONFORME — LIBERADO P/ ERP",IF(AND(LEFT(M43,8)="CONFORME",LEFT(P43,8)="CONFORME",LEFT(R43,8)="CONFORME",LEFT(S43,8)="CONFORME",OR(LEFT(U43,7)="ADEQUAR",LEFT(U43,8)="VINCULAR")),"FISCAL E EMBALAGEM OK — ADEQUAR CAMPO MAPA (SIPEAGRO / MARCA)","BLOQUEADO — CORRIGIR DIVERGÊNCIAS APONTADAS ANTES DE LIBERAR NO ERP")))</f>
        <v>BLOQUEADO — CORRIGIR DIVERGÊNCIAS APONTADAS ANTES DE LIBERAR NO ERP</v>
      </c>
    </row>
    <row r="44" customFormat="false" ht="19.5" hidden="false" customHeight="true" outlineLevel="0" collapsed="false">
      <c r="A44" s="12"/>
      <c r="B44" s="13"/>
      <c r="C44" s="12"/>
      <c r="D44" s="13"/>
      <c r="E44" s="12"/>
      <c r="F44" s="12"/>
      <c r="G44" s="14"/>
      <c r="H44" s="13" t="s">
        <v>166</v>
      </c>
      <c r="I44" s="20" t="str">
        <f aca="false">IF(B44="","",IF(ISNUMBER(MATCH(A44,'4. Base Mestre (845 Produtos)'!$A$4:$A$848,0)),"Localizado por Código ("&amp;A44&amp;") na Base Mestre",IF(ISNUMBER(MATCH(B44,'4. Base Mestre (845 Produtos)'!$B$4:$B$848,0)),"Localizado por Descrição na Base Mestre",IF(ISNUMBER(MATCH(D44,'3. Dicionario Principios Ativos'!$A$4:$A$245,0)),"Produto Novo — Validado pelo Dicionário de P.A.","Não Localizado — Revisar Código/P.A."))))</f>
        <v/>
      </c>
      <c r="J44" s="20" t="str">
        <f aca="false">IF(B44="","",IF(IF(ISNUMBER(MATCH(A44,'4.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Produtos)'!$I$4:$I$848,IF(ISNUMBER(MATCH(A44,'4. Base Mestre (845 Produtos)'!$A$4:$A$848,0)),MATCH(A44,'4. Base Mestre (845 Produtos)'!$A$4:$A$848,0),IF(ISNUMBER(MATCH(B44,'4. Base Mestre (845 Produtos)'!$B$4:$B$848,0)),MATCH(B44,'4. Base Mestre (845 Produtos)'!$B$4:$B$848,0),0))),IF(ISNUMBER(MATCH(D44,'3. Dicionario Principios Ativos'!$A$4:$A$245,0)),INDEX('3. Dicionario Principios Ativos'!$B$4:$B$245,MATCH(D44,'3. Dicionario Principios Ativos'!$A$4:$A$245,0)),"Revisar Classificação")))</f>
        <v/>
      </c>
      <c r="K44" s="21" t="str">
        <f aca="false">IF(B44="","",IF(G44&lt;&gt;"",G44,IF(OR(ISNUMBER(SEARCH("PRINCIPIO ATIVO",B44)),ISNUMBER(SEARCH("PRINC. ATIVO",B44)),ISNUMBER(SEARCH("PR. ATIVO",B44)),ISNUMBER(SEARCH("PR.AT.",B44)),ISNUMBER(SEARCH("(P.A",B44)),ISNUMBER(SEARCH("(P. A",B44))),0,IF(OR(ISNUMBER(SEARCH("0,100KG",B44)),ISNUMBER(SEARCH("0,1KG",B44)),ISNUMBER(SEARCH("0,100L",B44))),0.1,IF(OR(ISNUMBER(SEARCH("0,200L",B44)),ISNUMBER(SEARCH("0,2L",B44)),ISNUMBER(SEARCH("0,200KG",B44)),ISNUMBER(SEARCH("0,2KG",B44))),0.2,IF(OR(ISNUMBER(SEARCH("0,240KG",B44)),ISNUMBER(SEARCH("0,250L",B44))),0.24,IF(OR(ISNUMBER(SEARCH("0,300KG",B44)),ISNUMBER(SEARCH("0,3KG",B44))),0.3,IF(OR(ISNUMBER(SEARCH("0,500L",B44)),ISNUMBER(SEARCH("0,5L",B44)),ISNUMBER(SEARCH("0,5KG",B44))),0.5,IF(ISNUMBER(SEARCH("0,8KG",B44)),0.8,IF(OR(ISNUMBER(SEARCH("1,5L",B44)),ISNUMBER(SEARCH("1,5KG",B44))),1.5,IF(OR(ISNUMBER(SEARCH("1,75L",B44)),ISNUMBER(SEARCH("1,8L",B44)),ISNUMBER(SEARCH("1.8L",B44))),1.8,IF(ISNUMBER(SEARCH("4,5KG",B44)),4.5,IF(ISNUMBER(SEARCH("7,5KG",B44)),7.5,IF(OR(ISNUMBER(SEARCH("1000L",B44)),ISNUMBER(SEARCH("1000KG",B44)),ISNUMBER(SEARCH("1.000KG",B44)),ISNUMBER(SEARCH("1.000L",B44)),ISNUMBER(SEARCH("1000 KG",B44)),ISNUMBER(SEARCH("GRANEL",B44)),ISNUMBER(SEARCH("(TON)",B44))),1000,IF(ISNUMBER(SEARCH("200L",B44)),200,IF(OR(ISNUMBER(SEARCH("25KG",B44)),ISNUMBER(SEARCH("25L",B44))),25,IF(OR(ISNUMBER(SEARCH("20L",B44)),ISNUMBER(SEARCH("20KG",B44))),20,IF(ISNUMBER(SEARCH("15KG",B44)),15,IF(OR(ISNUMBER(SEARCH("10L",B44)),ISNUMBER(SEARCH("10KG",B44))),10,IF(OR(ISNUMBER(SEARCH("5L",B44)),ISNUMBER(SEARCH("5KG",B44)),ISNUMBER(SEARCH("5LT",B44))),5,IF(OR(ISNUMBER(SEARCH("3KG",B44)),ISNUMBER(SEARCH("3L",B44))),3,IF(OR(ISNUMBER(SEARCH("2L",B44)),ISNUMBER(SEARCH("2KG",B44))),2,IF(OR(ISNUMBER(SEARCH("1L",B44)),ISNUMBER(SEARCH("1KG",B44)),ISNUMBER(SEARCH("1LT",B44))),1,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Produtos)'!$D$4:$D$848,IF(ISNUMBER(MATCH(A44,'4. Base Mestre (845 Produtos)'!$A$4:$A$848,0)),MATCH(A44,'4. Base Mestre (845 Produtos)'!$A$4:$A$848,0),IF(ISNUMBER(MATCH(B44,'4. Base Mestre (845 Produtos)'!$B$4:$B$848,0)),MATCH(B44,'4. Base Mestre (845 Produtos)'!$B$4:$B$848,0),0))),1))))))))))))))))))))))))</f>
        <v/>
      </c>
      <c r="L44" s="22" t="str">
        <f aca="false">IF(B44="","",IF(OR(ISNUMBER(SEARCH("KG",B44)),ISNUMBER(SEARCH("GR",B44))),"KG",IF(OR(ISNUMBER(SEARCH("0,200L",B44)),ISNUMBER(SEARCH("0,2L",B44)),ISNUMBER(SEARCH("0,5L",B44)),ISNUMBER(SEARCH("1,5L",B44)),ISNUMBER(SEARCH("1,8L",B44)),ISNUMBER(SEARCH("1.8L",B44)),ISNUMBER(SEARCH("1L",B44)),ISNUMBER(SEARCH("2L",B44)),ISNUMBER(SEARCH("3L",B44)),ISNUMBER(SEARCH("5L",B44)),ISNUMBER(SEARCH("10L",B44)),ISNUMBER(SEARCH("20L",B44)),ISNUMBER(SEARCH("25L",B44)),ISNUMBER(SEARCH("200L",B44)),ISNUMBER(SEARCH("1000L",B44)),ISNUMBER(SEARCH("LT",B44))),"L",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Produtos)'!$E$4:$E$848,IF(ISNUMBER(MATCH(A44,'4. Base Mestre (845 Produtos)'!$A$4:$A$848,0)),MATCH(A44,'4. Base Mestre (845 Produtos)'!$A$4:$A$848,0),IF(ISNUMBER(MATCH(B44,'4. Base Mestre (845 Produtos)'!$B$4:$B$848,0)),MATCH(B44,'4. Base Mestre (845 Produtos)'!$B$4:$B$848,0),0))),C44))))</f>
        <v/>
      </c>
      <c r="M44" s="20" t="str">
        <f aca="false">IF(B44="","",IF(C44=L44,"CONFORME — Unidade ("&amp;C44&amp;") compatível c/ Embalagem","DIVERGENTE — Embalagem em "&amp;L44&amp;", mas cadastrado em "&amp;C44))</f>
        <v/>
      </c>
      <c r="N44" s="20" t="str">
        <f aca="false">IF(B44="","",IF(K44=0,"Granel / Produto Técnico (Sem Embalagem Comercial)",IF(K44&lt;=0.3001,"Faixa 1 TIPI: Até 300g/mL (3808.61.00 / 3105.10.00)",IF(K44&lt;=7.5001,"Faixa 2 TIPI: De 300g a 7,5kg/L (3808.62.90 / 3105.10.00)",IF(K44&lt;=10.0001,"Faixa 3 TIPI: De 7,5kg a 10kg/L (3808.69.90 / 3105.10.00)","Faixa 4 TIPI: Acima de 10kg/L (3808.69.90 / Cap. 31 Geral)")))))</f>
        <v/>
      </c>
      <c r="O44" s="20" t="str">
        <f aca="false">IF(B44="","",IF(IF(ISNUMBER(MATCH(A44,'4.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Produtos)'!$H$4:$H$848,IF(ISNUMBER(MATCH(A44,'4. Base Mestre (845 Produtos)'!$A$4:$A$848,0)),MATCH(A44,'4. Base Mestre (845 Produtos)'!$A$4:$A$848,0),IF(ISNUMBER(MATCH(B44,'4. Base Mestre (845 Produtos)'!$B$4:$B$848,0)),MATCH(B44,'4. Base Mestre (845 Produtos)'!$B$4:$B$848,0),0))),IF(ISNUMBER(MATCH(D44,'3. Dicionario Principios Ativos'!$A$4:$A$245,0)),INDEX('3. Dicionario Principios Ativos'!$A$4:$A$245,MATCH(D44,'3. Dicionario Principios Ativos'!$A$4:$A$245,0)),D44)))</f>
        <v/>
      </c>
      <c r="P44" s="20" t="str">
        <f aca="false">IF(B44="","",IF(D44=O44,"CONFORME — Princípio Ativo Validado","DIVERGENTE — Substituir por: "&amp;O44))</f>
        <v/>
      </c>
      <c r="Q44" s="22" t="str">
        <f aca="false">IF(B44="","",IF(IF(IF(ISNUMBER(MATCH(A44,'4.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Produtos)'!$J$4:$J$848,IF(ISNUMBER(MATCH(A44,'4. Base Mestre (845 Produtos)'!$A$4:$A$848,0)),MATCH(A44,'4. Base Mestre (845 Produtos)'!$A$4:$A$848,0),IF(ISNUMBER(MATCH(B44,'4. Base Mestre (845 Produtos)'!$B$4:$B$848,0)),MATCH(B44,'4. Base Mestre (845 Produtos)'!$B$4:$B$848,0),0)))="SIM",IF(ISNUMBER(MATCH(D44,'3. Dicionario Principios Ativos'!$A$4:$A$245,0)),INDEX('3. Dicionario Principios Ativos'!$C$4:$C$245,MATCH(D44,'3. Dicionario Principios Ativos'!$A$4:$A$245,0))="SIM",FALSE())),IF(AND(K44&gt;0,K44&lt;=0.3001),"3808.61.00",IF(AND(K44&gt;0.3001,K44&lt;=7.5001),"3808.62.90","3808.69.90")),IF(AND(LEFT(IF(IF(ISNUMBER(MATCH(A44,'4.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Produtos)'!$L$4:$L$848,IF(ISNUMBER(MATCH(A44,'4. Base Mestre (845 Produtos)'!$A$4:$A$848,0)),MATCH(A44,'4. Base Mestre (845 Produtos)'!$A$4:$A$848,0),IF(ISNUMBER(MATCH(B44,'4. Base Mestre (845 Produtos)'!$B$4:$B$848,0)),MATCH(B44,'4. Base Mestre (845 Produtos)'!$B$4:$B$848,0),0))),IF(ISNUMBER(MATCH(D44,'3. Dicionario Principios Ativos'!$A$4:$A$245,0)),INDEX('3. Dicionario Principios Ativos'!$D$4:$D$245,MATCH(D44,'3. Dicionario Principios Ativos'!$A$4:$A$245,0)),E44)),2)="31",E44="3105.10.00",K44&gt;0,K44&lt;=10.0001),"3105.10.00",IF(AND(IF(IF(ISNUMBER(MATCH(A44,'4.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Produtos)'!$L$4:$L$848,IF(ISNUMBER(MATCH(A44,'4. Base Mestre (845 Produtos)'!$A$4:$A$848,0)),MATCH(A44,'4. Base Mestre (845 Produtos)'!$A$4:$A$848,0),IF(ISNUMBER(MATCH(B44,'4. Base Mestre (845 Produtos)'!$B$4:$B$848,0)),MATCH(B44,'4. Base Mestre (845 Produtos)'!$B$4:$B$848,0),0))),IF(ISNUMBER(MATCH(D44,'3. Dicionario Principios Ativos'!$A$4:$A$245,0)),INDEX('3. Dicionario Principios Ativos'!$D$4:$D$245,MATCH(D44,'3. Dicionario Principios Ativos'!$A$4:$A$245,0)),E44))="3105.10.00",K44&gt;10.0001),"3105.90.90",IF(IF(ISNUMBER(MATCH(A44,'4.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Produtos)'!$L$4:$L$848,IF(ISNUMBER(MATCH(A44,'4. Base Mestre (845 Produtos)'!$A$4:$A$848,0)),MATCH(A44,'4. Base Mestre (845 Produtos)'!$A$4:$A$848,0),IF(ISNUMBER(MATCH(B44,'4. Base Mestre (845 Produtos)'!$B$4:$B$848,0)),MATCH(B44,'4. Base Mestre (845 Produtos)'!$B$4:$B$848,0),0))),IF(ISNUMBER(MATCH(D44,'3. Dicionario Principios Ativos'!$A$4:$A$245,0)),INDEX('3. Dicionario Principios Ativos'!$D$4:$D$245,MATCH(D44,'3. Dicionario Principios Ativos'!$A$4:$A$245,0)),E44))))))</f>
        <v/>
      </c>
      <c r="R44" s="20" t="str">
        <f aca="false">IF(B44="","",IF(OR(E44=Q44,AND(Q44="3002.49.99",E44="3002.90.00")),"CONFORME — NCM "&amp;E44&amp;" Correta na TIPI","DIVERGENTE — Substituir "&amp;E44&amp;" por "&amp;Q44))</f>
        <v/>
      </c>
      <c r="S44" s="20" t="str">
        <f aca="false">IF(B44="","",IF(AND(E44="3808.61.00",OR(K44&gt;0.3001,K44=0)),"INCOMPATÍVEL — NCM 3808.61.00 exige emb. &lt;= 0,3kg/L (Emb. atual: "&amp;K44&amp;" "&amp;L44&amp;" -&gt; usar "&amp;Q44&amp;")",IF(AND(LEFT(E44,7)="3808.62",OR(K44&lt;=0.3001,K44&gt;7.5001)),"INCOMPATÍVEL — NCM 3808.62 exige emb. de 0,3 a 7,5kg/L (Emb. atual: "&amp;K44&amp;" "&amp;L44&amp;" -&gt; usar "&amp;Q44&amp;")",IF(AND(LEFT(E44,7)="3808.69",K44&gt;0,K44&lt;=7.5001),"INCOMPATÍVEL — NCM 3808.69 exige emb. &gt; 7,5kg/L (Emb. atual: "&amp;K44&amp;" "&amp;L44&amp;" -&gt; usar "&amp;Q44&amp;")",IF(AND(LEFT(Q44,6)="3808.6",LEFT(E44,6)&lt;&gt;"3808.6"),"INCOMPATÍVEL — Molécula Nota Subpos. 2 c/ emb. "&amp;K44&amp;" "&amp;L44&amp;" exige NCM "&amp;Q44,IF(AND(OR(E44="3808.91.19",E44="3808.92.19",E44="3808.93.19",E44="3808.99.19"),K44&gt;=1),"INCOMPATÍVEL — Subitem .19 (Domissanitário) vedado p/ emb. agrícola de "&amp;K44&amp;" "&amp;L44,IF(AND(E44="3105.10.00",K44&gt;10.0001),"INCOMPATÍVEL — NCM 3105.10.00 exige peso bruto &lt;= 10kg (Emb. atual: "&amp;K44&amp;" "&amp;L44&amp;" -&gt; usar 3105.90.90)",IF(AND(LEFT(E44,2)="29",LEFT(Q44,4)="3808",K44&gt;0),"INCOMPATÍVEL — Produto formulado em emb. comercial ("&amp;K44&amp;" "&amp;L44&amp;") vedado no Cap. 29 -&gt; usar "&amp;Q44,"CONFORME — Embalagem ("&amp;K44&amp;" "&amp;L44&amp;") compatível c/ a NCM"))))))))</f>
        <v/>
      </c>
      <c r="T44" s="22" t="str">
        <f aca="false">IF(B44="","",IF(IF(ISNUMBER(MATCH(A44,'4.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Produtos)'!$P$4:$P$848,IF(ISNUMBER(MATCH(A44,'4. Base Mestre (845 Produtos)'!$A$4:$A$848,0)),MATCH(A44,'4. Base Mestre (845 Produtos)'!$A$4:$A$848,0),IF(ISNUMBER(MATCH(B44,'4. Base Mestre (845 Produtos)'!$B$4:$B$848,0)),MATCH(B44,'4. Base Mestre (845 Produtos)'!$B$4:$B$848,0),0))),IF(ISNUMBER(MATCH(D44,'3. Dicionario Principios Ativos'!$A$4:$A$245,0)),INDEX('3. Dicionario Principios Ativos'!$K$4:$K$245,MATCH(D44,'3. Dicionario Principios Ativos'!$A$4:$A$245,0)),"VERIFICAR BULA")))</f>
        <v/>
      </c>
      <c r="U44" s="20" t="str">
        <f aca="false">IF(B44="","",IF(ISNUMBER(SEARCH("ISENTO",T44)),IF(OR(F44=0,F44="0",F44="ISENTO",F44=""),"CONFORME (DISPENSADO) — Isento pelo Ato SDA/MAPA nº 104/2017","INCORRETO — Produto isento de registro MAPA (usar 0 ou ISENTO)"),IF(ISNUMBER(SEARCH("SIPEAGRO",T44)),IF(ISNUMBER(SEARCH("-",F44)),"CONFORME — Registro SIPEAGRO ("&amp;F44&amp;") Preenchido","ADEQUAR P/ SIPEAGRO — Substituir 0 pelo Registro (UF-XXXXX-XXXXX.X)"),IF(ISNUMBER(SEARCH("VINCULAR",T44)),IF(AND(F44&lt;&gt;0,F44&lt;&gt;"0",F44&lt;&gt;""),"INCORRETO / TROCADO — Código "&amp;F44&amp;" pertence a outro produto (Vincular bula da marca)","VINCULAR MARCA — Cadastro de P.A. s/ marca fixa (Vincular registro na NF-e)"),IF(OR(F44=0,F44="0",F44=""),"AUSENTE (ZERO) — Preencher Registro Oficial MAPA nº "&amp;T44,IF(TEXT(F44,"0")=TEXT(T44,"0"),"CONFORME — Registro MAPA nº "&amp;T44&amp;" Validado na Bula","INCORRETO / TROCADO — Substituir "&amp;F44&amp;" pelo Registro Oficial nº "&amp;T44))))))</f>
        <v/>
      </c>
      <c r="V44" s="20" t="str">
        <f aca="false">IF(B44="","",IF(IF(ISNUMBER(MATCH(A44,'4.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Produtos)'!$S$4:$S$848,IF(ISNUMBER(MATCH(A44,'4. Base Mestre (845 Produtos)'!$A$4:$A$848,0)),MATCH(A44,'4. Base Mestre (845 Produtos)'!$A$4:$A$848,0),IF(ISNUMBER(MATCH(B44,'4. Base Mestre (845 Produtos)'!$B$4:$B$848,0)),MATCH(B44,'4. Base Mestre (845 Produtos)'!$B$4:$B$848,0),0))),IF(ISNUMBER(MATCH(D44,'3. Dicionario Principios Ativos'!$A$4:$A$245,0)),INDEX('3. Dicionario Principios Ativos'!$L$4:$L$245,MATCH(D44,'3. Dicionario Principios Ativos'!$A$4:$A$245,0)),"Verificar NCM")))</f>
        <v/>
      </c>
      <c r="W44" s="20" t="str">
        <f aca="false">IF(B44="","",IF(IF(ISNUMBER(MATCH(A44,'4. Base Mestre (845 Produtos)'!$A$4:$A$848,0)),MATCH(A44,'4. Base Mestre (845 Produtos)'!$A$4:$A$848,0),IF(ISNUMBER(MATCH(B44,'4. Base Mestre (845 Produtos)'!$B$4:$B$848,0)),MATCH(B44,'4. Base Mestre (845 Produtos)'!$B$4:$B$848,0),0))&gt;0,INDEX('4. Base Mestre (845 Produtos)'!$T$4:$T$848,IF(ISNUMBER(MATCH(A44,'4. Base Mestre (845 Produtos)'!$A$4:$A$848,0)),MATCH(A44,'4. Base Mestre (845 Produtos)'!$A$4:$A$848,0),IF(ISNUMBER(MATCH(B44,'4. Base Mestre (845 Produtos)'!$B$4:$B$848,0)),MATCH(B44,'4. Base Mestre (845 Produtos)'!$B$4:$B$848,0),0))),IF(ISNUMBER(MATCH(D44,'3. Dicionario Principios Ativos'!$A$4:$A$245,0)),INDEX('3. Dicionario Principios Ativos'!$M$4:$M$245,MATCH(D44,'3. Dicionario Principios Ativos'!$A$4:$A$245,0)),"Verificar CST")))</f>
        <v/>
      </c>
      <c r="X44" s="20" t="str">
        <f aca="false">IF(B44="","",IF(AND(LEFT(M44,8)="CONFORME",LEFT(P44,8)="CONFORME",LEFT(R44,8)="CONFORME",LEFT(S44,8)="CONFORME",LEFT(U44,8)="CONFORME"),"CADASTRO 100% CONFORME — LIBERADO P/ ERP",IF(AND(LEFT(M44,8)="CONFORME",LEFT(P44,8)="CONFORME",LEFT(R44,8)="CONFORME",LEFT(S44,8)="CONFORME",OR(LEFT(U44,7)="ADEQUAR",LEFT(U44,8)="VINCULAR")),"FISCAL E EMBALAGEM OK — ADEQUAR CAMPO MAPA (SIPEAGRO / MARCA)","BLOQUEADO — CORRIGIR DIVERGÊNCIAS APONTADAS ANTES DE LIBERAR NO ERP")))</f>
        <v/>
      </c>
    </row>
    <row r="45" customFormat="false" ht="19.5" hidden="false" customHeight="true" outlineLevel="0" collapsed="false">
      <c r="A45" s="12"/>
      <c r="B45" s="13"/>
      <c r="C45" s="12"/>
      <c r="D45" s="13"/>
      <c r="E45" s="12"/>
      <c r="F45" s="12"/>
      <c r="G45" s="14"/>
      <c r="H45" s="13" t="s">
        <v>166</v>
      </c>
      <c r="I45" s="15" t="str">
        <f aca="false">IF(B45="","",IF(ISNUMBER(MATCH(A45,'4. Base Mestre (845 Produtos)'!$A$4:$A$848,0)),"Localizado por Código ("&amp;A45&amp;") na Base Mestre",IF(ISNUMBER(MATCH(B45,'4. Base Mestre (845 Produtos)'!$B$4:$B$848,0)),"Localizado por Descrição na Base Mestre",IF(ISNUMBER(MATCH(D45,'3. Dicionario Principios Ativos'!$A$4:$A$245,0)),"Produto Novo — Validado pelo Dicionário de P.A.","Não Localizado — Revisar Código/P.A."))))</f>
        <v/>
      </c>
      <c r="J45" s="15" t="str">
        <f aca="false">IF(B45="","",IF(IF(ISNUMBER(MATCH(A45,'4.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Produtos)'!$I$4:$I$848,IF(ISNUMBER(MATCH(A45,'4. Base Mestre (845 Produtos)'!$A$4:$A$848,0)),MATCH(A45,'4. Base Mestre (845 Produtos)'!$A$4:$A$848,0),IF(ISNUMBER(MATCH(B45,'4. Base Mestre (845 Produtos)'!$B$4:$B$848,0)),MATCH(B45,'4. Base Mestre (845 Produtos)'!$B$4:$B$848,0),0))),IF(ISNUMBER(MATCH(D45,'3. Dicionario Principios Ativos'!$A$4:$A$245,0)),INDEX('3. Dicionario Principios Ativos'!$B$4:$B$245,MATCH(D45,'3. Dicionario Principios Ativos'!$A$4:$A$245,0)),"Revisar Classificação")))</f>
        <v/>
      </c>
      <c r="K45" s="16" t="str">
        <f aca="false">IF(B45="","",IF(G45&lt;&gt;"",G45,IF(OR(ISNUMBER(SEARCH("PRINCIPIO ATIVO",B45)),ISNUMBER(SEARCH("PRINC. ATIVO",B45)),ISNUMBER(SEARCH("PR. ATIVO",B45)),ISNUMBER(SEARCH("PR.AT.",B45)),ISNUMBER(SEARCH("(P.A",B45)),ISNUMBER(SEARCH("(P. A",B45))),0,IF(OR(ISNUMBER(SEARCH("0,100KG",B45)),ISNUMBER(SEARCH("0,1KG",B45)),ISNUMBER(SEARCH("0,100L",B45))),0.1,IF(OR(ISNUMBER(SEARCH("0,200L",B45)),ISNUMBER(SEARCH("0,2L",B45)),ISNUMBER(SEARCH("0,200KG",B45)),ISNUMBER(SEARCH("0,2KG",B45))),0.2,IF(OR(ISNUMBER(SEARCH("0,240KG",B45)),ISNUMBER(SEARCH("0,250L",B45))),0.24,IF(OR(ISNUMBER(SEARCH("0,300KG",B45)),ISNUMBER(SEARCH("0,3KG",B45))),0.3,IF(OR(ISNUMBER(SEARCH("0,500L",B45)),ISNUMBER(SEARCH("0,5L",B45)),ISNUMBER(SEARCH("0,5KG",B45))),0.5,IF(ISNUMBER(SEARCH("0,8KG",B45)),0.8,IF(OR(ISNUMBER(SEARCH("1,5L",B45)),ISNUMBER(SEARCH("1,5KG",B45))),1.5,IF(OR(ISNUMBER(SEARCH("1,75L",B45)),ISNUMBER(SEARCH("1,8L",B45)),ISNUMBER(SEARCH("1.8L",B45))),1.8,IF(ISNUMBER(SEARCH("4,5KG",B45)),4.5,IF(ISNUMBER(SEARCH("7,5KG",B45)),7.5,IF(OR(ISNUMBER(SEARCH("1000L",B45)),ISNUMBER(SEARCH("1000KG",B45)),ISNUMBER(SEARCH("1.000KG",B45)),ISNUMBER(SEARCH("1.000L",B45)),ISNUMBER(SEARCH("1000 KG",B45)),ISNUMBER(SEARCH("GRANEL",B45)),ISNUMBER(SEARCH("(TON)",B45))),1000,IF(ISNUMBER(SEARCH("200L",B45)),200,IF(OR(ISNUMBER(SEARCH("25KG",B45)),ISNUMBER(SEARCH("25L",B45))),25,IF(OR(ISNUMBER(SEARCH("20L",B45)),ISNUMBER(SEARCH("20KG",B45))),20,IF(ISNUMBER(SEARCH("15KG",B45)),15,IF(OR(ISNUMBER(SEARCH("10L",B45)),ISNUMBER(SEARCH("10KG",B45))),10,IF(OR(ISNUMBER(SEARCH("5L",B45)),ISNUMBER(SEARCH("5KG",B45)),ISNUMBER(SEARCH("5LT",B45))),5,IF(OR(ISNUMBER(SEARCH("3KG",B45)),ISNUMBER(SEARCH("3L",B45))),3,IF(OR(ISNUMBER(SEARCH("2L",B45)),ISNUMBER(SEARCH("2KG",B45))),2,IF(OR(ISNUMBER(SEARCH("1L",B45)),ISNUMBER(SEARCH("1KG",B45)),ISNUMBER(SEARCH("1LT",B45))),1,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Produtos)'!$D$4:$D$848,IF(ISNUMBER(MATCH(A45,'4. Base Mestre (845 Produtos)'!$A$4:$A$848,0)),MATCH(A45,'4. Base Mestre (845 Produtos)'!$A$4:$A$848,0),IF(ISNUMBER(MATCH(B45,'4. Base Mestre (845 Produtos)'!$B$4:$B$848,0)),MATCH(B45,'4. Base Mestre (845 Produtos)'!$B$4:$B$848,0),0))),1))))))))))))))))))))))))</f>
        <v/>
      </c>
      <c r="L45" s="17" t="str">
        <f aca="false">IF(B45="","",IF(OR(ISNUMBER(SEARCH("KG",B45)),ISNUMBER(SEARCH("GR",B45))),"KG",IF(OR(ISNUMBER(SEARCH("0,200L",B45)),ISNUMBER(SEARCH("0,2L",B45)),ISNUMBER(SEARCH("0,5L",B45)),ISNUMBER(SEARCH("1,5L",B45)),ISNUMBER(SEARCH("1,8L",B45)),ISNUMBER(SEARCH("1.8L",B45)),ISNUMBER(SEARCH("1L",B45)),ISNUMBER(SEARCH("2L",B45)),ISNUMBER(SEARCH("3L",B45)),ISNUMBER(SEARCH("5L",B45)),ISNUMBER(SEARCH("10L",B45)),ISNUMBER(SEARCH("20L",B45)),ISNUMBER(SEARCH("25L",B45)),ISNUMBER(SEARCH("200L",B45)),ISNUMBER(SEARCH("1000L",B45)),ISNUMBER(SEARCH("LT",B45))),"L",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Produtos)'!$E$4:$E$848,IF(ISNUMBER(MATCH(A45,'4. Base Mestre (845 Produtos)'!$A$4:$A$848,0)),MATCH(A45,'4. Base Mestre (845 Produtos)'!$A$4:$A$848,0),IF(ISNUMBER(MATCH(B45,'4. Base Mestre (845 Produtos)'!$B$4:$B$848,0)),MATCH(B45,'4. Base Mestre (845 Produtos)'!$B$4:$B$848,0),0))),C45))))</f>
        <v/>
      </c>
      <c r="M45" s="15" t="str">
        <f aca="false">IF(B45="","",IF(C45=L45,"CONFORME — Unidade ("&amp;C45&amp;") compatível c/ Embalagem","DIVERGENTE — Embalagem em "&amp;L45&amp;", mas cadastrado em "&amp;C45))</f>
        <v/>
      </c>
      <c r="N45" s="15" t="str">
        <f aca="false">IF(B45="","",IF(K45=0,"Granel / Produto Técnico (Sem Embalagem Comercial)",IF(K45&lt;=0.3001,"Faixa 1 TIPI: Até 300g/mL (3808.61.00 / 3105.10.00)",IF(K45&lt;=7.5001,"Faixa 2 TIPI: De 300g a 7,5kg/L (3808.62.90 / 3105.10.00)",IF(K45&lt;=10.0001,"Faixa 3 TIPI: De 7,5kg a 10kg/L (3808.69.90 / 3105.10.00)","Faixa 4 TIPI: Acima de 10kg/L (3808.69.90 / Cap. 31 Geral)")))))</f>
        <v/>
      </c>
      <c r="O45" s="15" t="str">
        <f aca="false">IF(B45="","",IF(IF(ISNUMBER(MATCH(A45,'4.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Produtos)'!$H$4:$H$848,IF(ISNUMBER(MATCH(A45,'4. Base Mestre (845 Produtos)'!$A$4:$A$848,0)),MATCH(A45,'4. Base Mestre (845 Produtos)'!$A$4:$A$848,0),IF(ISNUMBER(MATCH(B45,'4. Base Mestre (845 Produtos)'!$B$4:$B$848,0)),MATCH(B45,'4. Base Mestre (845 Produtos)'!$B$4:$B$848,0),0))),IF(ISNUMBER(MATCH(D45,'3. Dicionario Principios Ativos'!$A$4:$A$245,0)),INDEX('3. Dicionario Principios Ativos'!$A$4:$A$245,MATCH(D45,'3. Dicionario Principios Ativos'!$A$4:$A$245,0)),D45)))</f>
        <v/>
      </c>
      <c r="P45" s="15" t="str">
        <f aca="false">IF(B45="","",IF(D45=O45,"CONFORME — Princípio Ativo Validado","DIVERGENTE — Substituir por: "&amp;O45))</f>
        <v/>
      </c>
      <c r="Q45" s="17" t="str">
        <f aca="false">IF(B45="","",IF(IF(IF(ISNUMBER(MATCH(A45,'4.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Produtos)'!$J$4:$J$848,IF(ISNUMBER(MATCH(A45,'4. Base Mestre (845 Produtos)'!$A$4:$A$848,0)),MATCH(A45,'4. Base Mestre (845 Produtos)'!$A$4:$A$848,0),IF(ISNUMBER(MATCH(B45,'4. Base Mestre (845 Produtos)'!$B$4:$B$848,0)),MATCH(B45,'4. Base Mestre (845 Produtos)'!$B$4:$B$848,0),0)))="SIM",IF(ISNUMBER(MATCH(D45,'3. Dicionario Principios Ativos'!$A$4:$A$245,0)),INDEX('3. Dicionario Principios Ativos'!$C$4:$C$245,MATCH(D45,'3. Dicionario Principios Ativos'!$A$4:$A$245,0))="SIM",FALSE())),IF(AND(K45&gt;0,K45&lt;=0.3001),"3808.61.00",IF(AND(K45&gt;0.3001,K45&lt;=7.5001),"3808.62.90","3808.69.90")),IF(AND(LEFT(IF(IF(ISNUMBER(MATCH(A45,'4.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Produtos)'!$L$4:$L$848,IF(ISNUMBER(MATCH(A45,'4. Base Mestre (845 Produtos)'!$A$4:$A$848,0)),MATCH(A45,'4. Base Mestre (845 Produtos)'!$A$4:$A$848,0),IF(ISNUMBER(MATCH(B45,'4. Base Mestre (845 Produtos)'!$B$4:$B$848,0)),MATCH(B45,'4. Base Mestre (845 Produtos)'!$B$4:$B$848,0),0))),IF(ISNUMBER(MATCH(D45,'3. Dicionario Principios Ativos'!$A$4:$A$245,0)),INDEX('3. Dicionario Principios Ativos'!$D$4:$D$245,MATCH(D45,'3. Dicionario Principios Ativos'!$A$4:$A$245,0)),E45)),2)="31",E45="3105.10.00",K45&gt;0,K45&lt;=10.0001),"3105.10.00",IF(AND(IF(IF(ISNUMBER(MATCH(A45,'4.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Produtos)'!$L$4:$L$848,IF(ISNUMBER(MATCH(A45,'4. Base Mestre (845 Produtos)'!$A$4:$A$848,0)),MATCH(A45,'4. Base Mestre (845 Produtos)'!$A$4:$A$848,0),IF(ISNUMBER(MATCH(B45,'4. Base Mestre (845 Produtos)'!$B$4:$B$848,0)),MATCH(B45,'4. Base Mestre (845 Produtos)'!$B$4:$B$848,0),0))),IF(ISNUMBER(MATCH(D45,'3. Dicionario Principios Ativos'!$A$4:$A$245,0)),INDEX('3. Dicionario Principios Ativos'!$D$4:$D$245,MATCH(D45,'3. Dicionario Principios Ativos'!$A$4:$A$245,0)),E45))="3105.10.00",K45&gt;10.0001),"3105.90.90",IF(IF(ISNUMBER(MATCH(A45,'4.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Produtos)'!$L$4:$L$848,IF(ISNUMBER(MATCH(A45,'4. Base Mestre (845 Produtos)'!$A$4:$A$848,0)),MATCH(A45,'4. Base Mestre (845 Produtos)'!$A$4:$A$848,0),IF(ISNUMBER(MATCH(B45,'4. Base Mestre (845 Produtos)'!$B$4:$B$848,0)),MATCH(B45,'4. Base Mestre (845 Produtos)'!$B$4:$B$848,0),0))),IF(ISNUMBER(MATCH(D45,'3. Dicionario Principios Ativos'!$A$4:$A$245,0)),INDEX('3. Dicionario Principios Ativos'!$D$4:$D$245,MATCH(D45,'3. Dicionario Principios Ativos'!$A$4:$A$245,0)),E45))))))</f>
        <v/>
      </c>
      <c r="R45" s="15" t="str">
        <f aca="false">IF(B45="","",IF(OR(E45=Q45,AND(Q45="3002.49.99",E45="3002.90.00")),"CONFORME — NCM "&amp;E45&amp;" Correta na TIPI","DIVERGENTE — Substituir "&amp;E45&amp;" por "&amp;Q45))</f>
        <v/>
      </c>
      <c r="S45" s="15" t="str">
        <f aca="false">IF(B45="","",IF(AND(E45="3808.61.00",OR(K45&gt;0.3001,K45=0)),"INCOMPATÍVEL — NCM 3808.61.00 exige emb. &lt;= 0,3kg/L (Emb. atual: "&amp;K45&amp;" "&amp;L45&amp;" -&gt; usar "&amp;Q45&amp;")",IF(AND(LEFT(E45,7)="3808.62",OR(K45&lt;=0.3001,K45&gt;7.5001)),"INCOMPATÍVEL — NCM 3808.62 exige emb. de 0,3 a 7,5kg/L (Emb. atual: "&amp;K45&amp;" "&amp;L45&amp;" -&gt; usar "&amp;Q45&amp;")",IF(AND(LEFT(E45,7)="3808.69",K45&gt;0,K45&lt;=7.5001),"INCOMPATÍVEL — NCM 3808.69 exige emb. &gt; 7,5kg/L (Emb. atual: "&amp;K45&amp;" "&amp;L45&amp;" -&gt; usar "&amp;Q45&amp;")",IF(AND(LEFT(Q45,6)="3808.6",LEFT(E45,6)&lt;&gt;"3808.6"),"INCOMPATÍVEL — Molécula Nota Subpos. 2 c/ emb. "&amp;K45&amp;" "&amp;L45&amp;" exige NCM "&amp;Q45,IF(AND(OR(E45="3808.91.19",E45="3808.92.19",E45="3808.93.19",E45="3808.99.19"),K45&gt;=1),"INCOMPATÍVEL — Subitem .19 (Domissanitário) vedado p/ emb. agrícola de "&amp;K45&amp;" "&amp;L45,IF(AND(E45="3105.10.00",K45&gt;10.0001),"INCOMPATÍVEL — NCM 3105.10.00 exige peso bruto &lt;= 10kg (Emb. atual: "&amp;K45&amp;" "&amp;L45&amp;" -&gt; usar 3105.90.90)",IF(AND(LEFT(E45,2)="29",LEFT(Q45,4)="3808",K45&gt;0),"INCOMPATÍVEL — Produto formulado em emb. comercial ("&amp;K45&amp;" "&amp;L45&amp;") vedado no Cap. 29 -&gt; usar "&amp;Q45,"CONFORME — Embalagem ("&amp;K45&amp;" "&amp;L45&amp;") compatível c/ a NCM"))))))))</f>
        <v/>
      </c>
      <c r="T45" s="17" t="str">
        <f aca="false">IF(B45="","",IF(IF(ISNUMBER(MATCH(A45,'4.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Produtos)'!$P$4:$P$848,IF(ISNUMBER(MATCH(A45,'4. Base Mestre (845 Produtos)'!$A$4:$A$848,0)),MATCH(A45,'4. Base Mestre (845 Produtos)'!$A$4:$A$848,0),IF(ISNUMBER(MATCH(B45,'4. Base Mestre (845 Produtos)'!$B$4:$B$848,0)),MATCH(B45,'4. Base Mestre (845 Produtos)'!$B$4:$B$848,0),0))),IF(ISNUMBER(MATCH(D45,'3. Dicionario Principios Ativos'!$A$4:$A$245,0)),INDEX('3. Dicionario Principios Ativos'!$K$4:$K$245,MATCH(D45,'3. Dicionario Principios Ativos'!$A$4:$A$245,0)),"VERIFICAR BULA")))</f>
        <v/>
      </c>
      <c r="U45" s="15" t="str">
        <f aca="false">IF(B45="","",IF(ISNUMBER(SEARCH("ISENTO",T45)),IF(OR(F45=0,F45="0",F45="ISENTO",F45=""),"CONFORME (DISPENSADO) — Isento pelo Ato SDA/MAPA nº 104/2017","INCORRETO — Produto isento de registro MAPA (usar 0 ou ISENTO)"),IF(ISNUMBER(SEARCH("SIPEAGRO",T45)),IF(ISNUMBER(SEARCH("-",F45)),"CONFORME — Registro SIPEAGRO ("&amp;F45&amp;") Preenchido","ADEQUAR P/ SIPEAGRO — Substituir 0 pelo Registro (UF-XXXXX-XXXXX.X)"),IF(ISNUMBER(SEARCH("VINCULAR",T45)),IF(AND(F45&lt;&gt;0,F45&lt;&gt;"0",F45&lt;&gt;""),"INCORRETO / TROCADO — Código "&amp;F45&amp;" pertence a outro produto (Vincular bula da marca)","VINCULAR MARCA — Cadastro de P.A. s/ marca fixa (Vincular registro na NF-e)"),IF(OR(F45=0,F45="0",F45=""),"AUSENTE (ZERO) — Preencher Registro Oficial MAPA nº "&amp;T45,IF(TEXT(F45,"0")=TEXT(T45,"0"),"CONFORME — Registro MAPA nº "&amp;T45&amp;" Validado na Bula","INCORRETO / TROCADO — Substituir "&amp;F45&amp;" pelo Registro Oficial nº "&amp;T45))))))</f>
        <v/>
      </c>
      <c r="V45" s="15" t="str">
        <f aca="false">IF(B45="","",IF(IF(ISNUMBER(MATCH(A45,'4.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Produtos)'!$S$4:$S$848,IF(ISNUMBER(MATCH(A45,'4. Base Mestre (845 Produtos)'!$A$4:$A$848,0)),MATCH(A45,'4. Base Mestre (845 Produtos)'!$A$4:$A$848,0),IF(ISNUMBER(MATCH(B45,'4. Base Mestre (845 Produtos)'!$B$4:$B$848,0)),MATCH(B45,'4. Base Mestre (845 Produtos)'!$B$4:$B$848,0),0))),IF(ISNUMBER(MATCH(D45,'3. Dicionario Principios Ativos'!$A$4:$A$245,0)),INDEX('3. Dicionario Principios Ativos'!$L$4:$L$245,MATCH(D45,'3. Dicionario Principios Ativos'!$A$4:$A$245,0)),"Verificar NCM")))</f>
        <v/>
      </c>
      <c r="W45" s="15" t="str">
        <f aca="false">IF(B45="","",IF(IF(ISNUMBER(MATCH(A45,'4. Base Mestre (845 Produtos)'!$A$4:$A$848,0)),MATCH(A45,'4. Base Mestre (845 Produtos)'!$A$4:$A$848,0),IF(ISNUMBER(MATCH(B45,'4. Base Mestre (845 Produtos)'!$B$4:$B$848,0)),MATCH(B45,'4. Base Mestre (845 Produtos)'!$B$4:$B$848,0),0))&gt;0,INDEX('4. Base Mestre (845 Produtos)'!$T$4:$T$848,IF(ISNUMBER(MATCH(A45,'4. Base Mestre (845 Produtos)'!$A$4:$A$848,0)),MATCH(A45,'4. Base Mestre (845 Produtos)'!$A$4:$A$848,0),IF(ISNUMBER(MATCH(B45,'4. Base Mestre (845 Produtos)'!$B$4:$B$848,0)),MATCH(B45,'4. Base Mestre (845 Produtos)'!$B$4:$B$848,0),0))),IF(ISNUMBER(MATCH(D45,'3. Dicionario Principios Ativos'!$A$4:$A$245,0)),INDEX('3. Dicionario Principios Ativos'!$M$4:$M$245,MATCH(D45,'3. Dicionario Principios Ativos'!$A$4:$A$245,0)),"Verificar CST")))</f>
        <v/>
      </c>
      <c r="X45" s="15" t="str">
        <f aca="false">IF(B45="","",IF(AND(LEFT(M45,8)="CONFORME",LEFT(P45,8)="CONFORME",LEFT(R45,8)="CONFORME",LEFT(S45,8)="CONFORME",LEFT(U45,8)="CONFORME"),"CADASTRO 100% CONFORME — LIBERADO P/ ERP",IF(AND(LEFT(M45,8)="CONFORME",LEFT(P45,8)="CONFORME",LEFT(R45,8)="CONFORME",LEFT(S45,8)="CONFORME",OR(LEFT(U45,7)="ADEQUAR",LEFT(U45,8)="VINCULAR")),"FISCAL E EMBALAGEM OK — ADEQUAR CAMPO MAPA (SIPEAGRO / MARCA)","BLOQUEADO — CORRIGIR DIVERGÊNCIAS APONTADAS ANTES DE LIBERAR NO ERP")))</f>
        <v/>
      </c>
    </row>
    <row r="46" customFormat="false" ht="19.5" hidden="false" customHeight="true" outlineLevel="0" collapsed="false">
      <c r="A46" s="12"/>
      <c r="B46" s="13"/>
      <c r="C46" s="12"/>
      <c r="D46" s="13"/>
      <c r="E46" s="12"/>
      <c r="F46" s="12"/>
      <c r="G46" s="14"/>
      <c r="H46" s="13" t="s">
        <v>166</v>
      </c>
      <c r="I46" s="20" t="str">
        <f aca="false">IF(B46="","",IF(ISNUMBER(MATCH(A46,'4. Base Mestre (845 Produtos)'!$A$4:$A$848,0)),"Localizado por Código ("&amp;A46&amp;") na Base Mestre",IF(ISNUMBER(MATCH(B46,'4. Base Mestre (845 Produtos)'!$B$4:$B$848,0)),"Localizado por Descrição na Base Mestre",IF(ISNUMBER(MATCH(D46,'3. Dicionario Principios Ativos'!$A$4:$A$245,0)),"Produto Novo — Validado pelo Dicionário de P.A.","Não Localizado — Revisar Código/P.A."))))</f>
        <v/>
      </c>
      <c r="J46" s="20" t="str">
        <f aca="false">IF(B46="","",IF(IF(ISNUMBER(MATCH(A46,'4.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Produtos)'!$I$4:$I$848,IF(ISNUMBER(MATCH(A46,'4. Base Mestre (845 Produtos)'!$A$4:$A$848,0)),MATCH(A46,'4. Base Mestre (845 Produtos)'!$A$4:$A$848,0),IF(ISNUMBER(MATCH(B46,'4. Base Mestre (845 Produtos)'!$B$4:$B$848,0)),MATCH(B46,'4. Base Mestre (845 Produtos)'!$B$4:$B$848,0),0))),IF(ISNUMBER(MATCH(D46,'3. Dicionario Principios Ativos'!$A$4:$A$245,0)),INDEX('3. Dicionario Principios Ativos'!$B$4:$B$245,MATCH(D46,'3. Dicionario Principios Ativos'!$A$4:$A$245,0)),"Revisar Classificação")))</f>
        <v/>
      </c>
      <c r="K46" s="21" t="str">
        <f aca="false">IF(B46="","",IF(G46&lt;&gt;"",G46,IF(OR(ISNUMBER(SEARCH("PRINCIPIO ATIVO",B46)),ISNUMBER(SEARCH("PRINC. ATIVO",B46)),ISNUMBER(SEARCH("PR. ATIVO",B46)),ISNUMBER(SEARCH("PR.AT.",B46)),ISNUMBER(SEARCH("(P.A",B46)),ISNUMBER(SEARCH("(P. A",B46))),0,IF(OR(ISNUMBER(SEARCH("0,100KG",B46)),ISNUMBER(SEARCH("0,1KG",B46)),ISNUMBER(SEARCH("0,100L",B46))),0.1,IF(OR(ISNUMBER(SEARCH("0,200L",B46)),ISNUMBER(SEARCH("0,2L",B46)),ISNUMBER(SEARCH("0,200KG",B46)),ISNUMBER(SEARCH("0,2KG",B46))),0.2,IF(OR(ISNUMBER(SEARCH("0,240KG",B46)),ISNUMBER(SEARCH("0,250L",B46))),0.24,IF(OR(ISNUMBER(SEARCH("0,300KG",B46)),ISNUMBER(SEARCH("0,3KG",B46))),0.3,IF(OR(ISNUMBER(SEARCH("0,500L",B46)),ISNUMBER(SEARCH("0,5L",B46)),ISNUMBER(SEARCH("0,5KG",B46))),0.5,IF(ISNUMBER(SEARCH("0,8KG",B46)),0.8,IF(OR(ISNUMBER(SEARCH("1,5L",B46)),ISNUMBER(SEARCH("1,5KG",B46))),1.5,IF(OR(ISNUMBER(SEARCH("1,75L",B46)),ISNUMBER(SEARCH("1,8L",B46)),ISNUMBER(SEARCH("1.8L",B46))),1.8,IF(ISNUMBER(SEARCH("4,5KG",B46)),4.5,IF(ISNUMBER(SEARCH("7,5KG",B46)),7.5,IF(OR(ISNUMBER(SEARCH("1000L",B46)),ISNUMBER(SEARCH("1000KG",B46)),ISNUMBER(SEARCH("1.000KG",B46)),ISNUMBER(SEARCH("1.000L",B46)),ISNUMBER(SEARCH("1000 KG",B46)),ISNUMBER(SEARCH("GRANEL",B46)),ISNUMBER(SEARCH("(TON)",B46))),1000,IF(ISNUMBER(SEARCH("200L",B46)),200,IF(OR(ISNUMBER(SEARCH("25KG",B46)),ISNUMBER(SEARCH("25L",B46))),25,IF(OR(ISNUMBER(SEARCH("20L",B46)),ISNUMBER(SEARCH("20KG",B46))),20,IF(ISNUMBER(SEARCH("15KG",B46)),15,IF(OR(ISNUMBER(SEARCH("10L",B46)),ISNUMBER(SEARCH("10KG",B46))),10,IF(OR(ISNUMBER(SEARCH("5L",B46)),ISNUMBER(SEARCH("5KG",B46)),ISNUMBER(SEARCH("5LT",B46))),5,IF(OR(ISNUMBER(SEARCH("3KG",B46)),ISNUMBER(SEARCH("3L",B46))),3,IF(OR(ISNUMBER(SEARCH("2L",B46)),ISNUMBER(SEARCH("2KG",B46))),2,IF(OR(ISNUMBER(SEARCH("1L",B46)),ISNUMBER(SEARCH("1KG",B46)),ISNUMBER(SEARCH("1LT",B46))),1,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Produtos)'!$D$4:$D$848,IF(ISNUMBER(MATCH(A46,'4. Base Mestre (845 Produtos)'!$A$4:$A$848,0)),MATCH(A46,'4. Base Mestre (845 Produtos)'!$A$4:$A$848,0),IF(ISNUMBER(MATCH(B46,'4. Base Mestre (845 Produtos)'!$B$4:$B$848,0)),MATCH(B46,'4. Base Mestre (845 Produtos)'!$B$4:$B$848,0),0))),1))))))))))))))))))))))))</f>
        <v/>
      </c>
      <c r="L46" s="22" t="str">
        <f aca="false">IF(B46="","",IF(OR(ISNUMBER(SEARCH("KG",B46)),ISNUMBER(SEARCH("GR",B46))),"KG",IF(OR(ISNUMBER(SEARCH("0,200L",B46)),ISNUMBER(SEARCH("0,2L",B46)),ISNUMBER(SEARCH("0,5L",B46)),ISNUMBER(SEARCH("1,5L",B46)),ISNUMBER(SEARCH("1,8L",B46)),ISNUMBER(SEARCH("1.8L",B46)),ISNUMBER(SEARCH("1L",B46)),ISNUMBER(SEARCH("2L",B46)),ISNUMBER(SEARCH("3L",B46)),ISNUMBER(SEARCH("5L",B46)),ISNUMBER(SEARCH("10L",B46)),ISNUMBER(SEARCH("20L",B46)),ISNUMBER(SEARCH("25L",B46)),ISNUMBER(SEARCH("200L",B46)),ISNUMBER(SEARCH("1000L",B46)),ISNUMBER(SEARCH("LT",B46))),"L",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Produtos)'!$E$4:$E$848,IF(ISNUMBER(MATCH(A46,'4. Base Mestre (845 Produtos)'!$A$4:$A$848,0)),MATCH(A46,'4. Base Mestre (845 Produtos)'!$A$4:$A$848,0),IF(ISNUMBER(MATCH(B46,'4. Base Mestre (845 Produtos)'!$B$4:$B$848,0)),MATCH(B46,'4. Base Mestre (845 Produtos)'!$B$4:$B$848,0),0))),C46))))</f>
        <v/>
      </c>
      <c r="M46" s="20" t="str">
        <f aca="false">IF(B46="","",IF(C46=L46,"CONFORME — Unidade ("&amp;C46&amp;") compatível c/ Embalagem","DIVERGENTE — Embalagem em "&amp;L46&amp;", mas cadastrado em "&amp;C46))</f>
        <v/>
      </c>
      <c r="N46" s="20" t="str">
        <f aca="false">IF(B46="","",IF(K46=0,"Granel / Produto Técnico (Sem Embalagem Comercial)",IF(K46&lt;=0.3001,"Faixa 1 TIPI: Até 300g/mL (3808.61.00 / 3105.10.00)",IF(K46&lt;=7.5001,"Faixa 2 TIPI: De 300g a 7,5kg/L (3808.62.90 / 3105.10.00)",IF(K46&lt;=10.0001,"Faixa 3 TIPI: De 7,5kg a 10kg/L (3808.69.90 / 3105.10.00)","Faixa 4 TIPI: Acima de 10kg/L (3808.69.90 / Cap. 31 Geral)")))))</f>
        <v/>
      </c>
      <c r="O46" s="20" t="str">
        <f aca="false">IF(B46="","",IF(IF(ISNUMBER(MATCH(A46,'4.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Produtos)'!$H$4:$H$848,IF(ISNUMBER(MATCH(A46,'4. Base Mestre (845 Produtos)'!$A$4:$A$848,0)),MATCH(A46,'4. Base Mestre (845 Produtos)'!$A$4:$A$848,0),IF(ISNUMBER(MATCH(B46,'4. Base Mestre (845 Produtos)'!$B$4:$B$848,0)),MATCH(B46,'4. Base Mestre (845 Produtos)'!$B$4:$B$848,0),0))),IF(ISNUMBER(MATCH(D46,'3. Dicionario Principios Ativos'!$A$4:$A$245,0)),INDEX('3. Dicionario Principios Ativos'!$A$4:$A$245,MATCH(D46,'3. Dicionario Principios Ativos'!$A$4:$A$245,0)),D46)))</f>
        <v/>
      </c>
      <c r="P46" s="20" t="str">
        <f aca="false">IF(B46="","",IF(D46=O46,"CONFORME — Princípio Ativo Validado","DIVERGENTE — Substituir por: "&amp;O46))</f>
        <v/>
      </c>
      <c r="Q46" s="22" t="str">
        <f aca="false">IF(B46="","",IF(IF(IF(ISNUMBER(MATCH(A46,'4.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Produtos)'!$J$4:$J$848,IF(ISNUMBER(MATCH(A46,'4. Base Mestre (845 Produtos)'!$A$4:$A$848,0)),MATCH(A46,'4. Base Mestre (845 Produtos)'!$A$4:$A$848,0),IF(ISNUMBER(MATCH(B46,'4. Base Mestre (845 Produtos)'!$B$4:$B$848,0)),MATCH(B46,'4. Base Mestre (845 Produtos)'!$B$4:$B$848,0),0)))="SIM",IF(ISNUMBER(MATCH(D46,'3. Dicionario Principios Ativos'!$A$4:$A$245,0)),INDEX('3. Dicionario Principios Ativos'!$C$4:$C$245,MATCH(D46,'3. Dicionario Principios Ativos'!$A$4:$A$245,0))="SIM",FALSE())),IF(AND(K46&gt;0,K46&lt;=0.3001),"3808.61.00",IF(AND(K46&gt;0.3001,K46&lt;=7.5001),"3808.62.90","3808.69.90")),IF(AND(LEFT(IF(IF(ISNUMBER(MATCH(A46,'4.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Produtos)'!$L$4:$L$848,IF(ISNUMBER(MATCH(A46,'4. Base Mestre (845 Produtos)'!$A$4:$A$848,0)),MATCH(A46,'4. Base Mestre (845 Produtos)'!$A$4:$A$848,0),IF(ISNUMBER(MATCH(B46,'4. Base Mestre (845 Produtos)'!$B$4:$B$848,0)),MATCH(B46,'4. Base Mestre (845 Produtos)'!$B$4:$B$848,0),0))),IF(ISNUMBER(MATCH(D46,'3. Dicionario Principios Ativos'!$A$4:$A$245,0)),INDEX('3. Dicionario Principios Ativos'!$D$4:$D$245,MATCH(D46,'3. Dicionario Principios Ativos'!$A$4:$A$245,0)),E46)),2)="31",E46="3105.10.00",K46&gt;0,K46&lt;=10.0001),"3105.10.00",IF(AND(IF(IF(ISNUMBER(MATCH(A46,'4.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Produtos)'!$L$4:$L$848,IF(ISNUMBER(MATCH(A46,'4. Base Mestre (845 Produtos)'!$A$4:$A$848,0)),MATCH(A46,'4. Base Mestre (845 Produtos)'!$A$4:$A$848,0),IF(ISNUMBER(MATCH(B46,'4. Base Mestre (845 Produtos)'!$B$4:$B$848,0)),MATCH(B46,'4. Base Mestre (845 Produtos)'!$B$4:$B$848,0),0))),IF(ISNUMBER(MATCH(D46,'3. Dicionario Principios Ativos'!$A$4:$A$245,0)),INDEX('3. Dicionario Principios Ativos'!$D$4:$D$245,MATCH(D46,'3. Dicionario Principios Ativos'!$A$4:$A$245,0)),E46))="3105.10.00",K46&gt;10.0001),"3105.90.90",IF(IF(ISNUMBER(MATCH(A46,'4.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Produtos)'!$L$4:$L$848,IF(ISNUMBER(MATCH(A46,'4. Base Mestre (845 Produtos)'!$A$4:$A$848,0)),MATCH(A46,'4. Base Mestre (845 Produtos)'!$A$4:$A$848,0),IF(ISNUMBER(MATCH(B46,'4. Base Mestre (845 Produtos)'!$B$4:$B$848,0)),MATCH(B46,'4. Base Mestre (845 Produtos)'!$B$4:$B$848,0),0))),IF(ISNUMBER(MATCH(D46,'3. Dicionario Principios Ativos'!$A$4:$A$245,0)),INDEX('3. Dicionario Principios Ativos'!$D$4:$D$245,MATCH(D46,'3. Dicionario Principios Ativos'!$A$4:$A$245,0)),E46))))))</f>
        <v/>
      </c>
      <c r="R46" s="20" t="str">
        <f aca="false">IF(B46="","",IF(OR(E46=Q46,AND(Q46="3002.49.99",E46="3002.90.00")),"CONFORME — NCM "&amp;E46&amp;" Correta na TIPI","DIVERGENTE — Substituir "&amp;E46&amp;" por "&amp;Q46))</f>
        <v/>
      </c>
      <c r="S46" s="20" t="str">
        <f aca="false">IF(B46="","",IF(AND(E46="3808.61.00",OR(K46&gt;0.3001,K46=0)),"INCOMPATÍVEL — NCM 3808.61.00 exige emb. &lt;= 0,3kg/L (Emb. atual: "&amp;K46&amp;" "&amp;L46&amp;" -&gt; usar "&amp;Q46&amp;")",IF(AND(LEFT(E46,7)="3808.62",OR(K46&lt;=0.3001,K46&gt;7.5001)),"INCOMPATÍVEL — NCM 3808.62 exige emb. de 0,3 a 7,5kg/L (Emb. atual: "&amp;K46&amp;" "&amp;L46&amp;" -&gt; usar "&amp;Q46&amp;")",IF(AND(LEFT(E46,7)="3808.69",K46&gt;0,K46&lt;=7.5001),"INCOMPATÍVEL — NCM 3808.69 exige emb. &gt; 7,5kg/L (Emb. atual: "&amp;K46&amp;" "&amp;L46&amp;" -&gt; usar "&amp;Q46&amp;")",IF(AND(LEFT(Q46,6)="3808.6",LEFT(E46,6)&lt;&gt;"3808.6"),"INCOMPATÍVEL — Molécula Nota Subpos. 2 c/ emb. "&amp;K46&amp;" "&amp;L46&amp;" exige NCM "&amp;Q46,IF(AND(OR(E46="3808.91.19",E46="3808.92.19",E46="3808.93.19",E46="3808.99.19"),K46&gt;=1),"INCOMPATÍVEL — Subitem .19 (Domissanitário) vedado p/ emb. agrícola de "&amp;K46&amp;" "&amp;L46,IF(AND(E46="3105.10.00",K46&gt;10.0001),"INCOMPATÍVEL — NCM 3105.10.00 exige peso bruto &lt;= 10kg (Emb. atual: "&amp;K46&amp;" "&amp;L46&amp;" -&gt; usar 3105.90.90)",IF(AND(LEFT(E46,2)="29",LEFT(Q46,4)="3808",K46&gt;0),"INCOMPATÍVEL — Produto formulado em emb. comercial ("&amp;K46&amp;" "&amp;L46&amp;") vedado no Cap. 29 -&gt; usar "&amp;Q46,"CONFORME — Embalagem ("&amp;K46&amp;" "&amp;L46&amp;") compatível c/ a NCM"))))))))</f>
        <v/>
      </c>
      <c r="T46" s="22" t="str">
        <f aca="false">IF(B46="","",IF(IF(ISNUMBER(MATCH(A46,'4.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Produtos)'!$P$4:$P$848,IF(ISNUMBER(MATCH(A46,'4. Base Mestre (845 Produtos)'!$A$4:$A$848,0)),MATCH(A46,'4. Base Mestre (845 Produtos)'!$A$4:$A$848,0),IF(ISNUMBER(MATCH(B46,'4. Base Mestre (845 Produtos)'!$B$4:$B$848,0)),MATCH(B46,'4. Base Mestre (845 Produtos)'!$B$4:$B$848,0),0))),IF(ISNUMBER(MATCH(D46,'3. Dicionario Principios Ativos'!$A$4:$A$245,0)),INDEX('3. Dicionario Principios Ativos'!$K$4:$K$245,MATCH(D46,'3. Dicionario Principios Ativos'!$A$4:$A$245,0)),"VERIFICAR BULA")))</f>
        <v/>
      </c>
      <c r="U46" s="20" t="str">
        <f aca="false">IF(B46="","",IF(ISNUMBER(SEARCH("ISENTO",T46)),IF(OR(F46=0,F46="0",F46="ISENTO",F46=""),"CONFORME (DISPENSADO) — Isento pelo Ato SDA/MAPA nº 104/2017","INCORRETO — Produto isento de registro MAPA (usar 0 ou ISENTO)"),IF(ISNUMBER(SEARCH("SIPEAGRO",T46)),IF(ISNUMBER(SEARCH("-",F46)),"CONFORME — Registro SIPEAGRO ("&amp;F46&amp;") Preenchido","ADEQUAR P/ SIPEAGRO — Substituir 0 pelo Registro (UF-XXXXX-XXXXX.X)"),IF(ISNUMBER(SEARCH("VINCULAR",T46)),IF(AND(F46&lt;&gt;0,F46&lt;&gt;"0",F46&lt;&gt;""),"INCORRETO / TROCADO — Código "&amp;F46&amp;" pertence a outro produto (Vincular bula da marca)","VINCULAR MARCA — Cadastro de P.A. s/ marca fixa (Vincular registro na NF-e)"),IF(OR(F46=0,F46="0",F46=""),"AUSENTE (ZERO) — Preencher Registro Oficial MAPA nº "&amp;T46,IF(TEXT(F46,"0")=TEXT(T46,"0"),"CONFORME — Registro MAPA nº "&amp;T46&amp;" Validado na Bula","INCORRETO / TROCADO — Substituir "&amp;F46&amp;" pelo Registro Oficial nº "&amp;T46))))))</f>
        <v/>
      </c>
      <c r="V46" s="20" t="str">
        <f aca="false">IF(B46="","",IF(IF(ISNUMBER(MATCH(A46,'4.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Produtos)'!$S$4:$S$848,IF(ISNUMBER(MATCH(A46,'4. Base Mestre (845 Produtos)'!$A$4:$A$848,0)),MATCH(A46,'4. Base Mestre (845 Produtos)'!$A$4:$A$848,0),IF(ISNUMBER(MATCH(B46,'4. Base Mestre (845 Produtos)'!$B$4:$B$848,0)),MATCH(B46,'4. Base Mestre (845 Produtos)'!$B$4:$B$848,0),0))),IF(ISNUMBER(MATCH(D46,'3. Dicionario Principios Ativos'!$A$4:$A$245,0)),INDEX('3. Dicionario Principios Ativos'!$L$4:$L$245,MATCH(D46,'3. Dicionario Principios Ativos'!$A$4:$A$245,0)),"Verificar NCM")))</f>
        <v/>
      </c>
      <c r="W46" s="20" t="str">
        <f aca="false">IF(B46="","",IF(IF(ISNUMBER(MATCH(A46,'4. Base Mestre (845 Produtos)'!$A$4:$A$848,0)),MATCH(A46,'4. Base Mestre (845 Produtos)'!$A$4:$A$848,0),IF(ISNUMBER(MATCH(B46,'4. Base Mestre (845 Produtos)'!$B$4:$B$848,0)),MATCH(B46,'4. Base Mestre (845 Produtos)'!$B$4:$B$848,0),0))&gt;0,INDEX('4. Base Mestre (845 Produtos)'!$T$4:$T$848,IF(ISNUMBER(MATCH(A46,'4. Base Mestre (845 Produtos)'!$A$4:$A$848,0)),MATCH(A46,'4. Base Mestre (845 Produtos)'!$A$4:$A$848,0),IF(ISNUMBER(MATCH(B46,'4. Base Mestre (845 Produtos)'!$B$4:$B$848,0)),MATCH(B46,'4. Base Mestre (845 Produtos)'!$B$4:$B$848,0),0))),IF(ISNUMBER(MATCH(D46,'3. Dicionario Principios Ativos'!$A$4:$A$245,0)),INDEX('3. Dicionario Principios Ativos'!$M$4:$M$245,MATCH(D46,'3. Dicionario Principios Ativos'!$A$4:$A$245,0)),"Verificar CST")))</f>
        <v/>
      </c>
      <c r="X46" s="20" t="str">
        <f aca="false">IF(B46="","",IF(AND(LEFT(M46,8)="CONFORME",LEFT(P46,8)="CONFORME",LEFT(R46,8)="CONFORME",LEFT(S46,8)="CONFORME",LEFT(U46,8)="CONFORME"),"CADASTRO 100% CONFORME — LIBERADO P/ ERP",IF(AND(LEFT(M46,8)="CONFORME",LEFT(P46,8)="CONFORME",LEFT(R46,8)="CONFORME",LEFT(S46,8)="CONFORME",OR(LEFT(U46,7)="ADEQUAR",LEFT(U46,8)="VINCULAR")),"FISCAL E EMBALAGEM OK — ADEQUAR CAMPO MAPA (SIPEAGRO / MARCA)","BLOQUEADO — CORRIGIR DIVERGÊNCIAS APONTADAS ANTES DE LIBERAR NO ERP")))</f>
        <v/>
      </c>
    </row>
    <row r="47" customFormat="false" ht="19.5" hidden="false" customHeight="true" outlineLevel="0" collapsed="false">
      <c r="A47" s="12"/>
      <c r="B47" s="13"/>
      <c r="C47" s="12"/>
      <c r="D47" s="13"/>
      <c r="E47" s="12"/>
      <c r="F47" s="12"/>
      <c r="G47" s="14"/>
      <c r="H47" s="13" t="s">
        <v>166</v>
      </c>
      <c r="I47" s="15" t="str">
        <f aca="false">IF(B47="","",IF(ISNUMBER(MATCH(A47,'4. Base Mestre (845 Produtos)'!$A$4:$A$848,0)),"Localizado por Código ("&amp;A47&amp;") na Base Mestre",IF(ISNUMBER(MATCH(B47,'4. Base Mestre (845 Produtos)'!$B$4:$B$848,0)),"Localizado por Descrição na Base Mestre",IF(ISNUMBER(MATCH(D47,'3. Dicionario Principios Ativos'!$A$4:$A$245,0)),"Produto Novo — Validado pelo Dicionário de P.A.","Não Localizado — Revisar Código/P.A."))))</f>
        <v/>
      </c>
      <c r="J47" s="15" t="str">
        <f aca="false">IF(B47="","",IF(IF(ISNUMBER(MATCH(A47,'4.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Produtos)'!$I$4:$I$848,IF(ISNUMBER(MATCH(A47,'4. Base Mestre (845 Produtos)'!$A$4:$A$848,0)),MATCH(A47,'4. Base Mestre (845 Produtos)'!$A$4:$A$848,0),IF(ISNUMBER(MATCH(B47,'4. Base Mestre (845 Produtos)'!$B$4:$B$848,0)),MATCH(B47,'4. Base Mestre (845 Produtos)'!$B$4:$B$848,0),0))),IF(ISNUMBER(MATCH(D47,'3. Dicionario Principios Ativos'!$A$4:$A$245,0)),INDEX('3. Dicionario Principios Ativos'!$B$4:$B$245,MATCH(D47,'3. Dicionario Principios Ativos'!$A$4:$A$245,0)),"Revisar Classificação")))</f>
        <v/>
      </c>
      <c r="K47" s="16" t="str">
        <f aca="false">IF(B47="","",IF(G47&lt;&gt;"",G47,IF(OR(ISNUMBER(SEARCH("PRINCIPIO ATIVO",B47)),ISNUMBER(SEARCH("PRINC. ATIVO",B47)),ISNUMBER(SEARCH("PR. ATIVO",B47)),ISNUMBER(SEARCH("PR.AT.",B47)),ISNUMBER(SEARCH("(P.A",B47)),ISNUMBER(SEARCH("(P. A",B47))),0,IF(OR(ISNUMBER(SEARCH("0,100KG",B47)),ISNUMBER(SEARCH("0,1KG",B47)),ISNUMBER(SEARCH("0,100L",B47))),0.1,IF(OR(ISNUMBER(SEARCH("0,200L",B47)),ISNUMBER(SEARCH("0,2L",B47)),ISNUMBER(SEARCH("0,200KG",B47)),ISNUMBER(SEARCH("0,2KG",B47))),0.2,IF(OR(ISNUMBER(SEARCH("0,240KG",B47)),ISNUMBER(SEARCH("0,250L",B47))),0.24,IF(OR(ISNUMBER(SEARCH("0,300KG",B47)),ISNUMBER(SEARCH("0,3KG",B47))),0.3,IF(OR(ISNUMBER(SEARCH("0,500L",B47)),ISNUMBER(SEARCH("0,5L",B47)),ISNUMBER(SEARCH("0,5KG",B47))),0.5,IF(ISNUMBER(SEARCH("0,8KG",B47)),0.8,IF(OR(ISNUMBER(SEARCH("1,5L",B47)),ISNUMBER(SEARCH("1,5KG",B47))),1.5,IF(OR(ISNUMBER(SEARCH("1,75L",B47)),ISNUMBER(SEARCH("1,8L",B47)),ISNUMBER(SEARCH("1.8L",B47))),1.8,IF(ISNUMBER(SEARCH("4,5KG",B47)),4.5,IF(ISNUMBER(SEARCH("7,5KG",B47)),7.5,IF(OR(ISNUMBER(SEARCH("1000L",B47)),ISNUMBER(SEARCH("1000KG",B47)),ISNUMBER(SEARCH("1.000KG",B47)),ISNUMBER(SEARCH("1.000L",B47)),ISNUMBER(SEARCH("1000 KG",B47)),ISNUMBER(SEARCH("GRANEL",B47)),ISNUMBER(SEARCH("(TON)",B47))),1000,IF(ISNUMBER(SEARCH("200L",B47)),200,IF(OR(ISNUMBER(SEARCH("25KG",B47)),ISNUMBER(SEARCH("25L",B47))),25,IF(OR(ISNUMBER(SEARCH("20L",B47)),ISNUMBER(SEARCH("20KG",B47))),20,IF(ISNUMBER(SEARCH("15KG",B47)),15,IF(OR(ISNUMBER(SEARCH("10L",B47)),ISNUMBER(SEARCH("10KG",B47))),10,IF(OR(ISNUMBER(SEARCH("5L",B47)),ISNUMBER(SEARCH("5KG",B47)),ISNUMBER(SEARCH("5LT",B47))),5,IF(OR(ISNUMBER(SEARCH("3KG",B47)),ISNUMBER(SEARCH("3L",B47))),3,IF(OR(ISNUMBER(SEARCH("2L",B47)),ISNUMBER(SEARCH("2KG",B47))),2,IF(OR(ISNUMBER(SEARCH("1L",B47)),ISNUMBER(SEARCH("1KG",B47)),ISNUMBER(SEARCH("1LT",B47))),1,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Produtos)'!$D$4:$D$848,IF(ISNUMBER(MATCH(A47,'4. Base Mestre (845 Produtos)'!$A$4:$A$848,0)),MATCH(A47,'4. Base Mestre (845 Produtos)'!$A$4:$A$848,0),IF(ISNUMBER(MATCH(B47,'4. Base Mestre (845 Produtos)'!$B$4:$B$848,0)),MATCH(B47,'4. Base Mestre (845 Produtos)'!$B$4:$B$848,0),0))),1))))))))))))))))))))))))</f>
        <v/>
      </c>
      <c r="L47" s="17" t="str">
        <f aca="false">IF(B47="","",IF(OR(ISNUMBER(SEARCH("KG",B47)),ISNUMBER(SEARCH("GR",B47))),"KG",IF(OR(ISNUMBER(SEARCH("0,200L",B47)),ISNUMBER(SEARCH("0,2L",B47)),ISNUMBER(SEARCH("0,5L",B47)),ISNUMBER(SEARCH("1,5L",B47)),ISNUMBER(SEARCH("1,8L",B47)),ISNUMBER(SEARCH("1.8L",B47)),ISNUMBER(SEARCH("1L",B47)),ISNUMBER(SEARCH("2L",B47)),ISNUMBER(SEARCH("3L",B47)),ISNUMBER(SEARCH("5L",B47)),ISNUMBER(SEARCH("10L",B47)),ISNUMBER(SEARCH("20L",B47)),ISNUMBER(SEARCH("25L",B47)),ISNUMBER(SEARCH("200L",B47)),ISNUMBER(SEARCH("1000L",B47)),ISNUMBER(SEARCH("LT",B47))),"L",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Produtos)'!$E$4:$E$848,IF(ISNUMBER(MATCH(A47,'4. Base Mestre (845 Produtos)'!$A$4:$A$848,0)),MATCH(A47,'4. Base Mestre (845 Produtos)'!$A$4:$A$848,0),IF(ISNUMBER(MATCH(B47,'4. Base Mestre (845 Produtos)'!$B$4:$B$848,0)),MATCH(B47,'4. Base Mestre (845 Produtos)'!$B$4:$B$848,0),0))),C47))))</f>
        <v/>
      </c>
      <c r="M47" s="15" t="str">
        <f aca="false">IF(B47="","",IF(C47=L47,"CONFORME — Unidade ("&amp;C47&amp;") compatível c/ Embalagem","DIVERGENTE — Embalagem em "&amp;L47&amp;", mas cadastrado em "&amp;C47))</f>
        <v/>
      </c>
      <c r="N47" s="15" t="str">
        <f aca="false">IF(B47="","",IF(K47=0,"Granel / Produto Técnico (Sem Embalagem Comercial)",IF(K47&lt;=0.3001,"Faixa 1 TIPI: Até 300g/mL (3808.61.00 / 3105.10.00)",IF(K47&lt;=7.5001,"Faixa 2 TIPI: De 300g a 7,5kg/L (3808.62.90 / 3105.10.00)",IF(K47&lt;=10.0001,"Faixa 3 TIPI: De 7,5kg a 10kg/L (3808.69.90 / 3105.10.00)","Faixa 4 TIPI: Acima de 10kg/L (3808.69.90 / Cap. 31 Geral)")))))</f>
        <v/>
      </c>
      <c r="O47" s="15" t="str">
        <f aca="false">IF(B47="","",IF(IF(ISNUMBER(MATCH(A47,'4.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Produtos)'!$H$4:$H$848,IF(ISNUMBER(MATCH(A47,'4. Base Mestre (845 Produtos)'!$A$4:$A$848,0)),MATCH(A47,'4. Base Mestre (845 Produtos)'!$A$4:$A$848,0),IF(ISNUMBER(MATCH(B47,'4. Base Mestre (845 Produtos)'!$B$4:$B$848,0)),MATCH(B47,'4. Base Mestre (845 Produtos)'!$B$4:$B$848,0),0))),IF(ISNUMBER(MATCH(D47,'3. Dicionario Principios Ativos'!$A$4:$A$245,0)),INDEX('3. Dicionario Principios Ativos'!$A$4:$A$245,MATCH(D47,'3. Dicionario Principios Ativos'!$A$4:$A$245,0)),D47)))</f>
        <v/>
      </c>
      <c r="P47" s="15" t="str">
        <f aca="false">IF(B47="","",IF(D47=O47,"CONFORME — Princípio Ativo Validado","DIVERGENTE — Substituir por: "&amp;O47))</f>
        <v/>
      </c>
      <c r="Q47" s="17" t="str">
        <f aca="false">IF(B47="","",IF(IF(IF(ISNUMBER(MATCH(A47,'4.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Produtos)'!$J$4:$J$848,IF(ISNUMBER(MATCH(A47,'4. Base Mestre (845 Produtos)'!$A$4:$A$848,0)),MATCH(A47,'4. Base Mestre (845 Produtos)'!$A$4:$A$848,0),IF(ISNUMBER(MATCH(B47,'4. Base Mestre (845 Produtos)'!$B$4:$B$848,0)),MATCH(B47,'4. Base Mestre (845 Produtos)'!$B$4:$B$848,0),0)))="SIM",IF(ISNUMBER(MATCH(D47,'3. Dicionario Principios Ativos'!$A$4:$A$245,0)),INDEX('3. Dicionario Principios Ativos'!$C$4:$C$245,MATCH(D47,'3. Dicionario Principios Ativos'!$A$4:$A$245,0))="SIM",FALSE())),IF(AND(K47&gt;0,K47&lt;=0.3001),"3808.61.00",IF(AND(K47&gt;0.3001,K47&lt;=7.5001),"3808.62.90","3808.69.90")),IF(AND(LEFT(IF(IF(ISNUMBER(MATCH(A47,'4.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Produtos)'!$L$4:$L$848,IF(ISNUMBER(MATCH(A47,'4. Base Mestre (845 Produtos)'!$A$4:$A$848,0)),MATCH(A47,'4. Base Mestre (845 Produtos)'!$A$4:$A$848,0),IF(ISNUMBER(MATCH(B47,'4. Base Mestre (845 Produtos)'!$B$4:$B$848,0)),MATCH(B47,'4. Base Mestre (845 Produtos)'!$B$4:$B$848,0),0))),IF(ISNUMBER(MATCH(D47,'3. Dicionario Principios Ativos'!$A$4:$A$245,0)),INDEX('3. Dicionario Principios Ativos'!$D$4:$D$245,MATCH(D47,'3. Dicionario Principios Ativos'!$A$4:$A$245,0)),E47)),2)="31",E47="3105.10.00",K47&gt;0,K47&lt;=10.0001),"3105.10.00",IF(AND(IF(IF(ISNUMBER(MATCH(A47,'4.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Produtos)'!$L$4:$L$848,IF(ISNUMBER(MATCH(A47,'4. Base Mestre (845 Produtos)'!$A$4:$A$848,0)),MATCH(A47,'4. Base Mestre (845 Produtos)'!$A$4:$A$848,0),IF(ISNUMBER(MATCH(B47,'4. Base Mestre (845 Produtos)'!$B$4:$B$848,0)),MATCH(B47,'4. Base Mestre (845 Produtos)'!$B$4:$B$848,0),0))),IF(ISNUMBER(MATCH(D47,'3. Dicionario Principios Ativos'!$A$4:$A$245,0)),INDEX('3. Dicionario Principios Ativos'!$D$4:$D$245,MATCH(D47,'3. Dicionario Principios Ativos'!$A$4:$A$245,0)),E47))="3105.10.00",K47&gt;10.0001),"3105.90.90",IF(IF(ISNUMBER(MATCH(A47,'4.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Produtos)'!$L$4:$L$848,IF(ISNUMBER(MATCH(A47,'4. Base Mestre (845 Produtos)'!$A$4:$A$848,0)),MATCH(A47,'4. Base Mestre (845 Produtos)'!$A$4:$A$848,0),IF(ISNUMBER(MATCH(B47,'4. Base Mestre (845 Produtos)'!$B$4:$B$848,0)),MATCH(B47,'4. Base Mestre (845 Produtos)'!$B$4:$B$848,0),0))),IF(ISNUMBER(MATCH(D47,'3. Dicionario Principios Ativos'!$A$4:$A$245,0)),INDEX('3. Dicionario Principios Ativos'!$D$4:$D$245,MATCH(D47,'3. Dicionario Principios Ativos'!$A$4:$A$245,0)),E47))))))</f>
        <v/>
      </c>
      <c r="R47" s="15" t="str">
        <f aca="false">IF(B47="","",IF(OR(E47=Q47,AND(Q47="3002.49.99",E47="3002.90.00")),"CONFORME — NCM "&amp;E47&amp;" Correta na TIPI","DIVERGENTE — Substituir "&amp;E47&amp;" por "&amp;Q47))</f>
        <v/>
      </c>
      <c r="S47" s="15" t="str">
        <f aca="false">IF(B47="","",IF(AND(E47="3808.61.00",OR(K47&gt;0.3001,K47=0)),"INCOMPATÍVEL — NCM 3808.61.00 exige emb. &lt;= 0,3kg/L (Emb. atual: "&amp;K47&amp;" "&amp;L47&amp;" -&gt; usar "&amp;Q47&amp;")",IF(AND(LEFT(E47,7)="3808.62",OR(K47&lt;=0.3001,K47&gt;7.5001)),"INCOMPATÍVEL — NCM 3808.62 exige emb. de 0,3 a 7,5kg/L (Emb. atual: "&amp;K47&amp;" "&amp;L47&amp;" -&gt; usar "&amp;Q47&amp;")",IF(AND(LEFT(E47,7)="3808.69",K47&gt;0,K47&lt;=7.5001),"INCOMPATÍVEL — NCM 3808.69 exige emb. &gt; 7,5kg/L (Emb. atual: "&amp;K47&amp;" "&amp;L47&amp;" -&gt; usar "&amp;Q47&amp;")",IF(AND(LEFT(Q47,6)="3808.6",LEFT(E47,6)&lt;&gt;"3808.6"),"INCOMPATÍVEL — Molécula Nota Subpos. 2 c/ emb. "&amp;K47&amp;" "&amp;L47&amp;" exige NCM "&amp;Q47,IF(AND(OR(E47="3808.91.19",E47="3808.92.19",E47="3808.93.19",E47="3808.99.19"),K47&gt;=1),"INCOMPATÍVEL — Subitem .19 (Domissanitário) vedado p/ emb. agrícola de "&amp;K47&amp;" "&amp;L47,IF(AND(E47="3105.10.00",K47&gt;10.0001),"INCOMPATÍVEL — NCM 3105.10.00 exige peso bruto &lt;= 10kg (Emb. atual: "&amp;K47&amp;" "&amp;L47&amp;" -&gt; usar 3105.90.90)",IF(AND(LEFT(E47,2)="29",LEFT(Q47,4)="3808",K47&gt;0),"INCOMPATÍVEL — Produto formulado em emb. comercial ("&amp;K47&amp;" "&amp;L47&amp;") vedado no Cap. 29 -&gt; usar "&amp;Q47,"CONFORME — Embalagem ("&amp;K47&amp;" "&amp;L47&amp;") compatível c/ a NCM"))))))))</f>
        <v/>
      </c>
      <c r="T47" s="17" t="str">
        <f aca="false">IF(B47="","",IF(IF(ISNUMBER(MATCH(A47,'4.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Produtos)'!$P$4:$P$848,IF(ISNUMBER(MATCH(A47,'4. Base Mestre (845 Produtos)'!$A$4:$A$848,0)),MATCH(A47,'4. Base Mestre (845 Produtos)'!$A$4:$A$848,0),IF(ISNUMBER(MATCH(B47,'4. Base Mestre (845 Produtos)'!$B$4:$B$848,0)),MATCH(B47,'4. Base Mestre (845 Produtos)'!$B$4:$B$848,0),0))),IF(ISNUMBER(MATCH(D47,'3. Dicionario Principios Ativos'!$A$4:$A$245,0)),INDEX('3. Dicionario Principios Ativos'!$K$4:$K$245,MATCH(D47,'3. Dicionario Principios Ativos'!$A$4:$A$245,0)),"VERIFICAR BULA")))</f>
        <v/>
      </c>
      <c r="U47" s="15" t="str">
        <f aca="false">IF(B47="","",IF(ISNUMBER(SEARCH("ISENTO",T47)),IF(OR(F47=0,F47="0",F47="ISENTO",F47=""),"CONFORME (DISPENSADO) — Isento pelo Ato SDA/MAPA nº 104/2017","INCORRETO — Produto isento de registro MAPA (usar 0 ou ISENTO)"),IF(ISNUMBER(SEARCH("SIPEAGRO",T47)),IF(ISNUMBER(SEARCH("-",F47)),"CONFORME — Registro SIPEAGRO ("&amp;F47&amp;") Preenchido","ADEQUAR P/ SIPEAGRO — Substituir 0 pelo Registro (UF-XXXXX-XXXXX.X)"),IF(ISNUMBER(SEARCH("VINCULAR",T47)),IF(AND(F47&lt;&gt;0,F47&lt;&gt;"0",F47&lt;&gt;""),"INCORRETO / TROCADO — Código "&amp;F47&amp;" pertence a outro produto (Vincular bula da marca)","VINCULAR MARCA — Cadastro de P.A. s/ marca fixa (Vincular registro na NF-e)"),IF(OR(F47=0,F47="0",F47=""),"AUSENTE (ZERO) — Preencher Registro Oficial MAPA nº "&amp;T47,IF(TEXT(F47,"0")=TEXT(T47,"0"),"CONFORME — Registro MAPA nº "&amp;T47&amp;" Validado na Bula","INCORRETO / TROCADO — Substituir "&amp;F47&amp;" pelo Registro Oficial nº "&amp;T47))))))</f>
        <v/>
      </c>
      <c r="V47" s="15" t="str">
        <f aca="false">IF(B47="","",IF(IF(ISNUMBER(MATCH(A47,'4.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Produtos)'!$S$4:$S$848,IF(ISNUMBER(MATCH(A47,'4. Base Mestre (845 Produtos)'!$A$4:$A$848,0)),MATCH(A47,'4. Base Mestre (845 Produtos)'!$A$4:$A$848,0),IF(ISNUMBER(MATCH(B47,'4. Base Mestre (845 Produtos)'!$B$4:$B$848,0)),MATCH(B47,'4. Base Mestre (845 Produtos)'!$B$4:$B$848,0),0))),IF(ISNUMBER(MATCH(D47,'3. Dicionario Principios Ativos'!$A$4:$A$245,0)),INDEX('3. Dicionario Principios Ativos'!$L$4:$L$245,MATCH(D47,'3. Dicionario Principios Ativos'!$A$4:$A$245,0)),"Verificar NCM")))</f>
        <v/>
      </c>
      <c r="W47" s="15" t="str">
        <f aca="false">IF(B47="","",IF(IF(ISNUMBER(MATCH(A47,'4. Base Mestre (845 Produtos)'!$A$4:$A$848,0)),MATCH(A47,'4. Base Mestre (845 Produtos)'!$A$4:$A$848,0),IF(ISNUMBER(MATCH(B47,'4. Base Mestre (845 Produtos)'!$B$4:$B$848,0)),MATCH(B47,'4. Base Mestre (845 Produtos)'!$B$4:$B$848,0),0))&gt;0,INDEX('4. Base Mestre (845 Produtos)'!$T$4:$T$848,IF(ISNUMBER(MATCH(A47,'4. Base Mestre (845 Produtos)'!$A$4:$A$848,0)),MATCH(A47,'4. Base Mestre (845 Produtos)'!$A$4:$A$848,0),IF(ISNUMBER(MATCH(B47,'4. Base Mestre (845 Produtos)'!$B$4:$B$848,0)),MATCH(B47,'4. Base Mestre (845 Produtos)'!$B$4:$B$848,0),0))),IF(ISNUMBER(MATCH(D47,'3. Dicionario Principios Ativos'!$A$4:$A$245,0)),INDEX('3. Dicionario Principios Ativos'!$M$4:$M$245,MATCH(D47,'3. Dicionario Principios Ativos'!$A$4:$A$245,0)),"Verificar CST")))</f>
        <v/>
      </c>
      <c r="X47" s="15" t="str">
        <f aca="false">IF(B47="","",IF(AND(LEFT(M47,8)="CONFORME",LEFT(P47,8)="CONFORME",LEFT(R47,8)="CONFORME",LEFT(S47,8)="CONFORME",LEFT(U47,8)="CONFORME"),"CADASTRO 100% CONFORME — LIBERADO P/ ERP",IF(AND(LEFT(M47,8)="CONFORME",LEFT(P47,8)="CONFORME",LEFT(R47,8)="CONFORME",LEFT(S47,8)="CONFORME",OR(LEFT(U47,7)="ADEQUAR",LEFT(U47,8)="VINCULAR")),"FISCAL E EMBALAGEM OK — ADEQUAR CAMPO MAPA (SIPEAGRO / MARCA)","BLOQUEADO — CORRIGIR DIVERGÊNCIAS APONTADAS ANTES DE LIBERAR NO ERP")))</f>
        <v/>
      </c>
    </row>
    <row r="48" customFormat="false" ht="19.5" hidden="false" customHeight="true" outlineLevel="0" collapsed="false">
      <c r="A48" s="12"/>
      <c r="B48" s="13"/>
      <c r="C48" s="12"/>
      <c r="D48" s="13"/>
      <c r="E48" s="12"/>
      <c r="F48" s="12"/>
      <c r="G48" s="14"/>
      <c r="H48" s="13" t="s">
        <v>166</v>
      </c>
      <c r="I48" s="20" t="str">
        <f aca="false">IF(B48="","",IF(ISNUMBER(MATCH(A48,'4. Base Mestre (845 Produtos)'!$A$4:$A$848,0)),"Localizado por Código ("&amp;A48&amp;") na Base Mestre",IF(ISNUMBER(MATCH(B48,'4. Base Mestre (845 Produtos)'!$B$4:$B$848,0)),"Localizado por Descrição na Base Mestre",IF(ISNUMBER(MATCH(D48,'3. Dicionario Principios Ativos'!$A$4:$A$245,0)),"Produto Novo — Validado pelo Dicionário de P.A.","Não Localizado — Revisar Código/P.A."))))</f>
        <v/>
      </c>
      <c r="J48" s="20" t="str">
        <f aca="false">IF(B48="","",IF(IF(ISNUMBER(MATCH(A48,'4.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Produtos)'!$I$4:$I$848,IF(ISNUMBER(MATCH(A48,'4. Base Mestre (845 Produtos)'!$A$4:$A$848,0)),MATCH(A48,'4. Base Mestre (845 Produtos)'!$A$4:$A$848,0),IF(ISNUMBER(MATCH(B48,'4. Base Mestre (845 Produtos)'!$B$4:$B$848,0)),MATCH(B48,'4. Base Mestre (845 Produtos)'!$B$4:$B$848,0),0))),IF(ISNUMBER(MATCH(D48,'3. Dicionario Principios Ativos'!$A$4:$A$245,0)),INDEX('3. Dicionario Principios Ativos'!$B$4:$B$245,MATCH(D48,'3. Dicionario Principios Ativos'!$A$4:$A$245,0)),"Revisar Classificação")))</f>
        <v/>
      </c>
      <c r="K48" s="21" t="str">
        <f aca="false">IF(B48="","",IF(G48&lt;&gt;"",G48,IF(OR(ISNUMBER(SEARCH("PRINCIPIO ATIVO",B48)),ISNUMBER(SEARCH("PRINC. ATIVO",B48)),ISNUMBER(SEARCH("PR. ATIVO",B48)),ISNUMBER(SEARCH("PR.AT.",B48)),ISNUMBER(SEARCH("(P.A",B48)),ISNUMBER(SEARCH("(P. A",B48))),0,IF(OR(ISNUMBER(SEARCH("0,100KG",B48)),ISNUMBER(SEARCH("0,1KG",B48)),ISNUMBER(SEARCH("0,100L",B48))),0.1,IF(OR(ISNUMBER(SEARCH("0,200L",B48)),ISNUMBER(SEARCH("0,2L",B48)),ISNUMBER(SEARCH("0,200KG",B48)),ISNUMBER(SEARCH("0,2KG",B48))),0.2,IF(OR(ISNUMBER(SEARCH("0,240KG",B48)),ISNUMBER(SEARCH("0,250L",B48))),0.24,IF(OR(ISNUMBER(SEARCH("0,300KG",B48)),ISNUMBER(SEARCH("0,3KG",B48))),0.3,IF(OR(ISNUMBER(SEARCH("0,500L",B48)),ISNUMBER(SEARCH("0,5L",B48)),ISNUMBER(SEARCH("0,5KG",B48))),0.5,IF(ISNUMBER(SEARCH("0,8KG",B48)),0.8,IF(OR(ISNUMBER(SEARCH("1,5L",B48)),ISNUMBER(SEARCH("1,5KG",B48))),1.5,IF(OR(ISNUMBER(SEARCH("1,75L",B48)),ISNUMBER(SEARCH("1,8L",B48)),ISNUMBER(SEARCH("1.8L",B48))),1.8,IF(ISNUMBER(SEARCH("4,5KG",B48)),4.5,IF(ISNUMBER(SEARCH("7,5KG",B48)),7.5,IF(OR(ISNUMBER(SEARCH("1000L",B48)),ISNUMBER(SEARCH("1000KG",B48)),ISNUMBER(SEARCH("1.000KG",B48)),ISNUMBER(SEARCH("1.000L",B48)),ISNUMBER(SEARCH("1000 KG",B48)),ISNUMBER(SEARCH("GRANEL",B48)),ISNUMBER(SEARCH("(TON)",B48))),1000,IF(ISNUMBER(SEARCH("200L",B48)),200,IF(OR(ISNUMBER(SEARCH("25KG",B48)),ISNUMBER(SEARCH("25L",B48))),25,IF(OR(ISNUMBER(SEARCH("20L",B48)),ISNUMBER(SEARCH("20KG",B48))),20,IF(ISNUMBER(SEARCH("15KG",B48)),15,IF(OR(ISNUMBER(SEARCH("10L",B48)),ISNUMBER(SEARCH("10KG",B48))),10,IF(OR(ISNUMBER(SEARCH("5L",B48)),ISNUMBER(SEARCH("5KG",B48)),ISNUMBER(SEARCH("5LT",B48))),5,IF(OR(ISNUMBER(SEARCH("3KG",B48)),ISNUMBER(SEARCH("3L",B48))),3,IF(OR(ISNUMBER(SEARCH("2L",B48)),ISNUMBER(SEARCH("2KG",B48))),2,IF(OR(ISNUMBER(SEARCH("1L",B48)),ISNUMBER(SEARCH("1KG",B48)),ISNUMBER(SEARCH("1LT",B48))),1,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Produtos)'!$D$4:$D$848,IF(ISNUMBER(MATCH(A48,'4. Base Mestre (845 Produtos)'!$A$4:$A$848,0)),MATCH(A48,'4. Base Mestre (845 Produtos)'!$A$4:$A$848,0),IF(ISNUMBER(MATCH(B48,'4. Base Mestre (845 Produtos)'!$B$4:$B$848,0)),MATCH(B48,'4. Base Mestre (845 Produtos)'!$B$4:$B$848,0),0))),1))))))))))))))))))))))))</f>
        <v/>
      </c>
      <c r="L48" s="22" t="str">
        <f aca="false">IF(B48="","",IF(OR(ISNUMBER(SEARCH("KG",B48)),ISNUMBER(SEARCH("GR",B48))),"KG",IF(OR(ISNUMBER(SEARCH("0,200L",B48)),ISNUMBER(SEARCH("0,2L",B48)),ISNUMBER(SEARCH("0,5L",B48)),ISNUMBER(SEARCH("1,5L",B48)),ISNUMBER(SEARCH("1,8L",B48)),ISNUMBER(SEARCH("1.8L",B48)),ISNUMBER(SEARCH("1L",B48)),ISNUMBER(SEARCH("2L",B48)),ISNUMBER(SEARCH("3L",B48)),ISNUMBER(SEARCH("5L",B48)),ISNUMBER(SEARCH("10L",B48)),ISNUMBER(SEARCH("20L",B48)),ISNUMBER(SEARCH("25L",B48)),ISNUMBER(SEARCH("200L",B48)),ISNUMBER(SEARCH("1000L",B48)),ISNUMBER(SEARCH("LT",B48))),"L",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Produtos)'!$E$4:$E$848,IF(ISNUMBER(MATCH(A48,'4. Base Mestre (845 Produtos)'!$A$4:$A$848,0)),MATCH(A48,'4. Base Mestre (845 Produtos)'!$A$4:$A$848,0),IF(ISNUMBER(MATCH(B48,'4. Base Mestre (845 Produtos)'!$B$4:$B$848,0)),MATCH(B48,'4. Base Mestre (845 Produtos)'!$B$4:$B$848,0),0))),C48))))</f>
        <v/>
      </c>
      <c r="M48" s="20" t="str">
        <f aca="false">IF(B48="","",IF(C48=L48,"CONFORME — Unidade ("&amp;C48&amp;") compatível c/ Embalagem","DIVERGENTE — Embalagem em "&amp;L48&amp;", mas cadastrado em "&amp;C48))</f>
        <v/>
      </c>
      <c r="N48" s="20" t="str">
        <f aca="false">IF(B48="","",IF(K48=0,"Granel / Produto Técnico (Sem Embalagem Comercial)",IF(K48&lt;=0.3001,"Faixa 1 TIPI: Até 300g/mL (3808.61.00 / 3105.10.00)",IF(K48&lt;=7.5001,"Faixa 2 TIPI: De 300g a 7,5kg/L (3808.62.90 / 3105.10.00)",IF(K48&lt;=10.0001,"Faixa 3 TIPI: De 7,5kg a 10kg/L (3808.69.90 / 3105.10.00)","Faixa 4 TIPI: Acima de 10kg/L (3808.69.90 / Cap. 31 Geral)")))))</f>
        <v/>
      </c>
      <c r="O48" s="20" t="str">
        <f aca="false">IF(B48="","",IF(IF(ISNUMBER(MATCH(A48,'4.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Produtos)'!$H$4:$H$848,IF(ISNUMBER(MATCH(A48,'4. Base Mestre (845 Produtos)'!$A$4:$A$848,0)),MATCH(A48,'4. Base Mestre (845 Produtos)'!$A$4:$A$848,0),IF(ISNUMBER(MATCH(B48,'4. Base Mestre (845 Produtos)'!$B$4:$B$848,0)),MATCH(B48,'4. Base Mestre (845 Produtos)'!$B$4:$B$848,0),0))),IF(ISNUMBER(MATCH(D48,'3. Dicionario Principios Ativos'!$A$4:$A$245,0)),INDEX('3. Dicionario Principios Ativos'!$A$4:$A$245,MATCH(D48,'3. Dicionario Principios Ativos'!$A$4:$A$245,0)),D48)))</f>
        <v/>
      </c>
      <c r="P48" s="20" t="str">
        <f aca="false">IF(B48="","",IF(D48=O48,"CONFORME — Princípio Ativo Validado","DIVERGENTE — Substituir por: "&amp;O48))</f>
        <v/>
      </c>
      <c r="Q48" s="22" t="str">
        <f aca="false">IF(B48="","",IF(IF(IF(ISNUMBER(MATCH(A48,'4.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Produtos)'!$J$4:$J$848,IF(ISNUMBER(MATCH(A48,'4. Base Mestre (845 Produtos)'!$A$4:$A$848,0)),MATCH(A48,'4. Base Mestre (845 Produtos)'!$A$4:$A$848,0),IF(ISNUMBER(MATCH(B48,'4. Base Mestre (845 Produtos)'!$B$4:$B$848,0)),MATCH(B48,'4. Base Mestre (845 Produtos)'!$B$4:$B$848,0),0)))="SIM",IF(ISNUMBER(MATCH(D48,'3. Dicionario Principios Ativos'!$A$4:$A$245,0)),INDEX('3. Dicionario Principios Ativos'!$C$4:$C$245,MATCH(D48,'3. Dicionario Principios Ativos'!$A$4:$A$245,0))="SIM",FALSE())),IF(AND(K48&gt;0,K48&lt;=0.3001),"3808.61.00",IF(AND(K48&gt;0.3001,K48&lt;=7.5001),"3808.62.90","3808.69.90")),IF(AND(LEFT(IF(IF(ISNUMBER(MATCH(A48,'4.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Produtos)'!$L$4:$L$848,IF(ISNUMBER(MATCH(A48,'4. Base Mestre (845 Produtos)'!$A$4:$A$848,0)),MATCH(A48,'4. Base Mestre (845 Produtos)'!$A$4:$A$848,0),IF(ISNUMBER(MATCH(B48,'4. Base Mestre (845 Produtos)'!$B$4:$B$848,0)),MATCH(B48,'4. Base Mestre (845 Produtos)'!$B$4:$B$848,0),0))),IF(ISNUMBER(MATCH(D48,'3. Dicionario Principios Ativos'!$A$4:$A$245,0)),INDEX('3. Dicionario Principios Ativos'!$D$4:$D$245,MATCH(D48,'3. Dicionario Principios Ativos'!$A$4:$A$245,0)),E48)),2)="31",E48="3105.10.00",K48&gt;0,K48&lt;=10.0001),"3105.10.00",IF(AND(IF(IF(ISNUMBER(MATCH(A48,'4.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Produtos)'!$L$4:$L$848,IF(ISNUMBER(MATCH(A48,'4. Base Mestre (845 Produtos)'!$A$4:$A$848,0)),MATCH(A48,'4. Base Mestre (845 Produtos)'!$A$4:$A$848,0),IF(ISNUMBER(MATCH(B48,'4. Base Mestre (845 Produtos)'!$B$4:$B$848,0)),MATCH(B48,'4. Base Mestre (845 Produtos)'!$B$4:$B$848,0),0))),IF(ISNUMBER(MATCH(D48,'3. Dicionario Principios Ativos'!$A$4:$A$245,0)),INDEX('3. Dicionario Principios Ativos'!$D$4:$D$245,MATCH(D48,'3. Dicionario Principios Ativos'!$A$4:$A$245,0)),E48))="3105.10.00",K48&gt;10.0001),"3105.90.90",IF(IF(ISNUMBER(MATCH(A48,'4.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Produtos)'!$L$4:$L$848,IF(ISNUMBER(MATCH(A48,'4. Base Mestre (845 Produtos)'!$A$4:$A$848,0)),MATCH(A48,'4. Base Mestre (845 Produtos)'!$A$4:$A$848,0),IF(ISNUMBER(MATCH(B48,'4. Base Mestre (845 Produtos)'!$B$4:$B$848,0)),MATCH(B48,'4. Base Mestre (845 Produtos)'!$B$4:$B$848,0),0))),IF(ISNUMBER(MATCH(D48,'3. Dicionario Principios Ativos'!$A$4:$A$245,0)),INDEX('3. Dicionario Principios Ativos'!$D$4:$D$245,MATCH(D48,'3. Dicionario Principios Ativos'!$A$4:$A$245,0)),E48))))))</f>
        <v/>
      </c>
      <c r="R48" s="20" t="str">
        <f aca="false">IF(B48="","",IF(OR(E48=Q48,AND(Q48="3002.49.99",E48="3002.90.00")),"CONFORME — NCM "&amp;E48&amp;" Correta na TIPI","DIVERGENTE — Substituir "&amp;E48&amp;" por "&amp;Q48))</f>
        <v/>
      </c>
      <c r="S48" s="20" t="str">
        <f aca="false">IF(B48="","",IF(AND(E48="3808.61.00",OR(K48&gt;0.3001,K48=0)),"INCOMPATÍVEL — NCM 3808.61.00 exige emb. &lt;= 0,3kg/L (Emb. atual: "&amp;K48&amp;" "&amp;L48&amp;" -&gt; usar "&amp;Q48&amp;")",IF(AND(LEFT(E48,7)="3808.62",OR(K48&lt;=0.3001,K48&gt;7.5001)),"INCOMPATÍVEL — NCM 3808.62 exige emb. de 0,3 a 7,5kg/L (Emb. atual: "&amp;K48&amp;" "&amp;L48&amp;" -&gt; usar "&amp;Q48&amp;")",IF(AND(LEFT(E48,7)="3808.69",K48&gt;0,K48&lt;=7.5001),"INCOMPATÍVEL — NCM 3808.69 exige emb. &gt; 7,5kg/L (Emb. atual: "&amp;K48&amp;" "&amp;L48&amp;" -&gt; usar "&amp;Q48&amp;")",IF(AND(LEFT(Q48,6)="3808.6",LEFT(E48,6)&lt;&gt;"3808.6"),"INCOMPATÍVEL — Molécula Nota Subpos. 2 c/ emb. "&amp;K48&amp;" "&amp;L48&amp;" exige NCM "&amp;Q48,IF(AND(OR(E48="3808.91.19",E48="3808.92.19",E48="3808.93.19",E48="3808.99.19"),K48&gt;=1),"INCOMPATÍVEL — Subitem .19 (Domissanitário) vedado p/ emb. agrícola de "&amp;K48&amp;" "&amp;L48,IF(AND(E48="3105.10.00",K48&gt;10.0001),"INCOMPATÍVEL — NCM 3105.10.00 exige peso bruto &lt;= 10kg (Emb. atual: "&amp;K48&amp;" "&amp;L48&amp;" -&gt; usar 3105.90.90)",IF(AND(LEFT(E48,2)="29",LEFT(Q48,4)="3808",K48&gt;0),"INCOMPATÍVEL — Produto formulado em emb. comercial ("&amp;K48&amp;" "&amp;L48&amp;") vedado no Cap. 29 -&gt; usar "&amp;Q48,"CONFORME — Embalagem ("&amp;K48&amp;" "&amp;L48&amp;") compatível c/ a NCM"))))))))</f>
        <v/>
      </c>
      <c r="T48" s="22" t="str">
        <f aca="false">IF(B48="","",IF(IF(ISNUMBER(MATCH(A48,'4.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Produtos)'!$P$4:$P$848,IF(ISNUMBER(MATCH(A48,'4. Base Mestre (845 Produtos)'!$A$4:$A$848,0)),MATCH(A48,'4. Base Mestre (845 Produtos)'!$A$4:$A$848,0),IF(ISNUMBER(MATCH(B48,'4. Base Mestre (845 Produtos)'!$B$4:$B$848,0)),MATCH(B48,'4. Base Mestre (845 Produtos)'!$B$4:$B$848,0),0))),IF(ISNUMBER(MATCH(D48,'3. Dicionario Principios Ativos'!$A$4:$A$245,0)),INDEX('3. Dicionario Principios Ativos'!$K$4:$K$245,MATCH(D48,'3. Dicionario Principios Ativos'!$A$4:$A$245,0)),"VERIFICAR BULA")))</f>
        <v/>
      </c>
      <c r="U48" s="20" t="str">
        <f aca="false">IF(B48="","",IF(ISNUMBER(SEARCH("ISENTO",T48)),IF(OR(F48=0,F48="0",F48="ISENTO",F48=""),"CONFORME (DISPENSADO) — Isento pelo Ato SDA/MAPA nº 104/2017","INCORRETO — Produto isento de registro MAPA (usar 0 ou ISENTO)"),IF(ISNUMBER(SEARCH("SIPEAGRO",T48)),IF(ISNUMBER(SEARCH("-",F48)),"CONFORME — Registro SIPEAGRO ("&amp;F48&amp;") Preenchido","ADEQUAR P/ SIPEAGRO — Substituir 0 pelo Registro (UF-XXXXX-XXXXX.X)"),IF(ISNUMBER(SEARCH("VINCULAR",T48)),IF(AND(F48&lt;&gt;0,F48&lt;&gt;"0",F48&lt;&gt;""),"INCORRETO / TROCADO — Código "&amp;F48&amp;" pertence a outro produto (Vincular bula da marca)","VINCULAR MARCA — Cadastro de P.A. s/ marca fixa (Vincular registro na NF-e)"),IF(OR(F48=0,F48="0",F48=""),"AUSENTE (ZERO) — Preencher Registro Oficial MAPA nº "&amp;T48,IF(TEXT(F48,"0")=TEXT(T48,"0"),"CONFORME — Registro MAPA nº "&amp;T48&amp;" Validado na Bula","INCORRETO / TROCADO — Substituir "&amp;F48&amp;" pelo Registro Oficial nº "&amp;T48))))))</f>
        <v/>
      </c>
      <c r="V48" s="20" t="str">
        <f aca="false">IF(B48="","",IF(IF(ISNUMBER(MATCH(A48,'4.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Produtos)'!$S$4:$S$848,IF(ISNUMBER(MATCH(A48,'4. Base Mestre (845 Produtos)'!$A$4:$A$848,0)),MATCH(A48,'4. Base Mestre (845 Produtos)'!$A$4:$A$848,0),IF(ISNUMBER(MATCH(B48,'4. Base Mestre (845 Produtos)'!$B$4:$B$848,0)),MATCH(B48,'4. Base Mestre (845 Produtos)'!$B$4:$B$848,0),0))),IF(ISNUMBER(MATCH(D48,'3. Dicionario Principios Ativos'!$A$4:$A$245,0)),INDEX('3. Dicionario Principios Ativos'!$L$4:$L$245,MATCH(D48,'3. Dicionario Principios Ativos'!$A$4:$A$245,0)),"Verificar NCM")))</f>
        <v/>
      </c>
      <c r="W48" s="20" t="str">
        <f aca="false">IF(B48="","",IF(IF(ISNUMBER(MATCH(A48,'4. Base Mestre (845 Produtos)'!$A$4:$A$848,0)),MATCH(A48,'4. Base Mestre (845 Produtos)'!$A$4:$A$848,0),IF(ISNUMBER(MATCH(B48,'4. Base Mestre (845 Produtos)'!$B$4:$B$848,0)),MATCH(B48,'4. Base Mestre (845 Produtos)'!$B$4:$B$848,0),0))&gt;0,INDEX('4. Base Mestre (845 Produtos)'!$T$4:$T$848,IF(ISNUMBER(MATCH(A48,'4. Base Mestre (845 Produtos)'!$A$4:$A$848,0)),MATCH(A48,'4. Base Mestre (845 Produtos)'!$A$4:$A$848,0),IF(ISNUMBER(MATCH(B48,'4. Base Mestre (845 Produtos)'!$B$4:$B$848,0)),MATCH(B48,'4. Base Mestre (845 Produtos)'!$B$4:$B$848,0),0))),IF(ISNUMBER(MATCH(D48,'3. Dicionario Principios Ativos'!$A$4:$A$245,0)),INDEX('3. Dicionario Principios Ativos'!$M$4:$M$245,MATCH(D48,'3. Dicionario Principios Ativos'!$A$4:$A$245,0)),"Verificar CST")))</f>
        <v/>
      </c>
      <c r="X48" s="20" t="str">
        <f aca="false">IF(B48="","",IF(AND(LEFT(M48,8)="CONFORME",LEFT(P48,8)="CONFORME",LEFT(R48,8)="CONFORME",LEFT(S48,8)="CONFORME",LEFT(U48,8)="CONFORME"),"CADASTRO 100% CONFORME — LIBERADO P/ ERP",IF(AND(LEFT(M48,8)="CONFORME",LEFT(P48,8)="CONFORME",LEFT(R48,8)="CONFORME",LEFT(S48,8)="CONFORME",OR(LEFT(U48,7)="ADEQUAR",LEFT(U48,8)="VINCULAR")),"FISCAL E EMBALAGEM OK — ADEQUAR CAMPO MAPA (SIPEAGRO / MARCA)","BLOQUEADO — CORRIGIR DIVERGÊNCIAS APONTADAS ANTES DE LIBERAR NO ERP")))</f>
        <v/>
      </c>
    </row>
    <row r="49" customFormat="false" ht="19.5" hidden="false" customHeight="true" outlineLevel="0" collapsed="false">
      <c r="A49" s="12"/>
      <c r="B49" s="13"/>
      <c r="C49" s="12"/>
      <c r="D49" s="13"/>
      <c r="E49" s="12"/>
      <c r="F49" s="12"/>
      <c r="G49" s="14"/>
      <c r="H49" s="13" t="s">
        <v>166</v>
      </c>
      <c r="I49" s="15" t="str">
        <f aca="false">IF(B49="","",IF(ISNUMBER(MATCH(A49,'4. Base Mestre (845 Produtos)'!$A$4:$A$848,0)),"Localizado por Código ("&amp;A49&amp;") na Base Mestre",IF(ISNUMBER(MATCH(B49,'4. Base Mestre (845 Produtos)'!$B$4:$B$848,0)),"Localizado por Descrição na Base Mestre",IF(ISNUMBER(MATCH(D49,'3. Dicionario Principios Ativos'!$A$4:$A$245,0)),"Produto Novo — Validado pelo Dicionário de P.A.","Não Localizado — Revisar Código/P.A."))))</f>
        <v/>
      </c>
      <c r="J49" s="15" t="str">
        <f aca="false">IF(B49="","",IF(IF(ISNUMBER(MATCH(A49,'4.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Produtos)'!$I$4:$I$848,IF(ISNUMBER(MATCH(A49,'4. Base Mestre (845 Produtos)'!$A$4:$A$848,0)),MATCH(A49,'4. Base Mestre (845 Produtos)'!$A$4:$A$848,0),IF(ISNUMBER(MATCH(B49,'4. Base Mestre (845 Produtos)'!$B$4:$B$848,0)),MATCH(B49,'4. Base Mestre (845 Produtos)'!$B$4:$B$848,0),0))),IF(ISNUMBER(MATCH(D49,'3. Dicionario Principios Ativos'!$A$4:$A$245,0)),INDEX('3. Dicionario Principios Ativos'!$B$4:$B$245,MATCH(D49,'3. Dicionario Principios Ativos'!$A$4:$A$245,0)),"Revisar Classificação")))</f>
        <v/>
      </c>
      <c r="K49" s="16" t="str">
        <f aca="false">IF(B49="","",IF(G49&lt;&gt;"",G49,IF(OR(ISNUMBER(SEARCH("PRINCIPIO ATIVO",B49)),ISNUMBER(SEARCH("PRINC. ATIVO",B49)),ISNUMBER(SEARCH("PR. ATIVO",B49)),ISNUMBER(SEARCH("PR.AT.",B49)),ISNUMBER(SEARCH("(P.A",B49)),ISNUMBER(SEARCH("(P. A",B49))),0,IF(OR(ISNUMBER(SEARCH("0,100KG",B49)),ISNUMBER(SEARCH("0,1KG",B49)),ISNUMBER(SEARCH("0,100L",B49))),0.1,IF(OR(ISNUMBER(SEARCH("0,200L",B49)),ISNUMBER(SEARCH("0,2L",B49)),ISNUMBER(SEARCH("0,200KG",B49)),ISNUMBER(SEARCH("0,2KG",B49))),0.2,IF(OR(ISNUMBER(SEARCH("0,240KG",B49)),ISNUMBER(SEARCH("0,250L",B49))),0.24,IF(OR(ISNUMBER(SEARCH("0,300KG",B49)),ISNUMBER(SEARCH("0,3KG",B49))),0.3,IF(OR(ISNUMBER(SEARCH("0,500L",B49)),ISNUMBER(SEARCH("0,5L",B49)),ISNUMBER(SEARCH("0,5KG",B49))),0.5,IF(ISNUMBER(SEARCH("0,8KG",B49)),0.8,IF(OR(ISNUMBER(SEARCH("1,5L",B49)),ISNUMBER(SEARCH("1,5KG",B49))),1.5,IF(OR(ISNUMBER(SEARCH("1,75L",B49)),ISNUMBER(SEARCH("1,8L",B49)),ISNUMBER(SEARCH("1.8L",B49))),1.8,IF(ISNUMBER(SEARCH("4,5KG",B49)),4.5,IF(ISNUMBER(SEARCH("7,5KG",B49)),7.5,IF(OR(ISNUMBER(SEARCH("1000L",B49)),ISNUMBER(SEARCH("1000KG",B49)),ISNUMBER(SEARCH("1.000KG",B49)),ISNUMBER(SEARCH("1.000L",B49)),ISNUMBER(SEARCH("1000 KG",B49)),ISNUMBER(SEARCH("GRANEL",B49)),ISNUMBER(SEARCH("(TON)",B49))),1000,IF(ISNUMBER(SEARCH("200L",B49)),200,IF(OR(ISNUMBER(SEARCH("25KG",B49)),ISNUMBER(SEARCH("25L",B49))),25,IF(OR(ISNUMBER(SEARCH("20L",B49)),ISNUMBER(SEARCH("20KG",B49))),20,IF(ISNUMBER(SEARCH("15KG",B49)),15,IF(OR(ISNUMBER(SEARCH("10L",B49)),ISNUMBER(SEARCH("10KG",B49))),10,IF(OR(ISNUMBER(SEARCH("5L",B49)),ISNUMBER(SEARCH("5KG",B49)),ISNUMBER(SEARCH("5LT",B49))),5,IF(OR(ISNUMBER(SEARCH("3KG",B49)),ISNUMBER(SEARCH("3L",B49))),3,IF(OR(ISNUMBER(SEARCH("2L",B49)),ISNUMBER(SEARCH("2KG",B49))),2,IF(OR(ISNUMBER(SEARCH("1L",B49)),ISNUMBER(SEARCH("1KG",B49)),ISNUMBER(SEARCH("1LT",B49))),1,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Produtos)'!$D$4:$D$848,IF(ISNUMBER(MATCH(A49,'4. Base Mestre (845 Produtos)'!$A$4:$A$848,0)),MATCH(A49,'4. Base Mestre (845 Produtos)'!$A$4:$A$848,0),IF(ISNUMBER(MATCH(B49,'4. Base Mestre (845 Produtos)'!$B$4:$B$848,0)),MATCH(B49,'4. Base Mestre (845 Produtos)'!$B$4:$B$848,0),0))),1))))))))))))))))))))))))</f>
        <v/>
      </c>
      <c r="L49" s="17" t="str">
        <f aca="false">IF(B49="","",IF(OR(ISNUMBER(SEARCH("KG",B49)),ISNUMBER(SEARCH("GR",B49))),"KG",IF(OR(ISNUMBER(SEARCH("0,200L",B49)),ISNUMBER(SEARCH("0,2L",B49)),ISNUMBER(SEARCH("0,5L",B49)),ISNUMBER(SEARCH("1,5L",B49)),ISNUMBER(SEARCH("1,8L",B49)),ISNUMBER(SEARCH("1.8L",B49)),ISNUMBER(SEARCH("1L",B49)),ISNUMBER(SEARCH("2L",B49)),ISNUMBER(SEARCH("3L",B49)),ISNUMBER(SEARCH("5L",B49)),ISNUMBER(SEARCH("10L",B49)),ISNUMBER(SEARCH("20L",B49)),ISNUMBER(SEARCH("25L",B49)),ISNUMBER(SEARCH("200L",B49)),ISNUMBER(SEARCH("1000L",B49)),ISNUMBER(SEARCH("LT",B49))),"L",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Produtos)'!$E$4:$E$848,IF(ISNUMBER(MATCH(A49,'4. Base Mestre (845 Produtos)'!$A$4:$A$848,0)),MATCH(A49,'4. Base Mestre (845 Produtos)'!$A$4:$A$848,0),IF(ISNUMBER(MATCH(B49,'4. Base Mestre (845 Produtos)'!$B$4:$B$848,0)),MATCH(B49,'4. Base Mestre (845 Produtos)'!$B$4:$B$848,0),0))),C49))))</f>
        <v/>
      </c>
      <c r="M49" s="15" t="str">
        <f aca="false">IF(B49="","",IF(C49=L49,"CONFORME — Unidade ("&amp;C49&amp;") compatível c/ Embalagem","DIVERGENTE — Embalagem em "&amp;L49&amp;", mas cadastrado em "&amp;C49))</f>
        <v/>
      </c>
      <c r="N49" s="15" t="str">
        <f aca="false">IF(B49="","",IF(K49=0,"Granel / Produto Técnico (Sem Embalagem Comercial)",IF(K49&lt;=0.3001,"Faixa 1 TIPI: Até 300g/mL (3808.61.00 / 3105.10.00)",IF(K49&lt;=7.5001,"Faixa 2 TIPI: De 300g a 7,5kg/L (3808.62.90 / 3105.10.00)",IF(K49&lt;=10.0001,"Faixa 3 TIPI: De 7,5kg a 10kg/L (3808.69.90 / 3105.10.00)","Faixa 4 TIPI: Acima de 10kg/L (3808.69.90 / Cap. 31 Geral)")))))</f>
        <v/>
      </c>
      <c r="O49" s="15" t="str">
        <f aca="false">IF(B49="","",IF(IF(ISNUMBER(MATCH(A49,'4.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Produtos)'!$H$4:$H$848,IF(ISNUMBER(MATCH(A49,'4. Base Mestre (845 Produtos)'!$A$4:$A$848,0)),MATCH(A49,'4. Base Mestre (845 Produtos)'!$A$4:$A$848,0),IF(ISNUMBER(MATCH(B49,'4. Base Mestre (845 Produtos)'!$B$4:$B$848,0)),MATCH(B49,'4. Base Mestre (845 Produtos)'!$B$4:$B$848,0),0))),IF(ISNUMBER(MATCH(D49,'3. Dicionario Principios Ativos'!$A$4:$A$245,0)),INDEX('3. Dicionario Principios Ativos'!$A$4:$A$245,MATCH(D49,'3. Dicionario Principios Ativos'!$A$4:$A$245,0)),D49)))</f>
        <v/>
      </c>
      <c r="P49" s="15" t="str">
        <f aca="false">IF(B49="","",IF(D49=O49,"CONFORME — Princípio Ativo Validado","DIVERGENTE — Substituir por: "&amp;O49))</f>
        <v/>
      </c>
      <c r="Q49" s="17" t="str">
        <f aca="false">IF(B49="","",IF(IF(IF(ISNUMBER(MATCH(A49,'4.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Produtos)'!$J$4:$J$848,IF(ISNUMBER(MATCH(A49,'4. Base Mestre (845 Produtos)'!$A$4:$A$848,0)),MATCH(A49,'4. Base Mestre (845 Produtos)'!$A$4:$A$848,0),IF(ISNUMBER(MATCH(B49,'4. Base Mestre (845 Produtos)'!$B$4:$B$848,0)),MATCH(B49,'4. Base Mestre (845 Produtos)'!$B$4:$B$848,0),0)))="SIM",IF(ISNUMBER(MATCH(D49,'3. Dicionario Principios Ativos'!$A$4:$A$245,0)),INDEX('3. Dicionario Principios Ativos'!$C$4:$C$245,MATCH(D49,'3. Dicionario Principios Ativos'!$A$4:$A$245,0))="SIM",FALSE())),IF(AND(K49&gt;0,K49&lt;=0.3001),"3808.61.00",IF(AND(K49&gt;0.3001,K49&lt;=7.5001),"3808.62.90","3808.69.90")),IF(AND(LEFT(IF(IF(ISNUMBER(MATCH(A49,'4.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Produtos)'!$L$4:$L$848,IF(ISNUMBER(MATCH(A49,'4. Base Mestre (845 Produtos)'!$A$4:$A$848,0)),MATCH(A49,'4. Base Mestre (845 Produtos)'!$A$4:$A$848,0),IF(ISNUMBER(MATCH(B49,'4. Base Mestre (845 Produtos)'!$B$4:$B$848,0)),MATCH(B49,'4. Base Mestre (845 Produtos)'!$B$4:$B$848,0),0))),IF(ISNUMBER(MATCH(D49,'3. Dicionario Principios Ativos'!$A$4:$A$245,0)),INDEX('3. Dicionario Principios Ativos'!$D$4:$D$245,MATCH(D49,'3. Dicionario Principios Ativos'!$A$4:$A$245,0)),E49)),2)="31",E49="3105.10.00",K49&gt;0,K49&lt;=10.0001),"3105.10.00",IF(AND(IF(IF(ISNUMBER(MATCH(A49,'4.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Produtos)'!$L$4:$L$848,IF(ISNUMBER(MATCH(A49,'4. Base Mestre (845 Produtos)'!$A$4:$A$848,0)),MATCH(A49,'4. Base Mestre (845 Produtos)'!$A$4:$A$848,0),IF(ISNUMBER(MATCH(B49,'4. Base Mestre (845 Produtos)'!$B$4:$B$848,0)),MATCH(B49,'4. Base Mestre (845 Produtos)'!$B$4:$B$848,0),0))),IF(ISNUMBER(MATCH(D49,'3. Dicionario Principios Ativos'!$A$4:$A$245,0)),INDEX('3. Dicionario Principios Ativos'!$D$4:$D$245,MATCH(D49,'3. Dicionario Principios Ativos'!$A$4:$A$245,0)),E49))="3105.10.00",K49&gt;10.0001),"3105.90.90",IF(IF(ISNUMBER(MATCH(A49,'4.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Produtos)'!$L$4:$L$848,IF(ISNUMBER(MATCH(A49,'4. Base Mestre (845 Produtos)'!$A$4:$A$848,0)),MATCH(A49,'4. Base Mestre (845 Produtos)'!$A$4:$A$848,0),IF(ISNUMBER(MATCH(B49,'4. Base Mestre (845 Produtos)'!$B$4:$B$848,0)),MATCH(B49,'4. Base Mestre (845 Produtos)'!$B$4:$B$848,0),0))),IF(ISNUMBER(MATCH(D49,'3. Dicionario Principios Ativos'!$A$4:$A$245,0)),INDEX('3. Dicionario Principios Ativos'!$D$4:$D$245,MATCH(D49,'3. Dicionario Principios Ativos'!$A$4:$A$245,0)),E49))))))</f>
        <v/>
      </c>
      <c r="R49" s="15" t="str">
        <f aca="false">IF(B49="","",IF(OR(E49=Q49,AND(Q49="3002.49.99",E49="3002.90.00")),"CONFORME — NCM "&amp;E49&amp;" Correta na TIPI","DIVERGENTE — Substituir "&amp;E49&amp;" por "&amp;Q49))</f>
        <v/>
      </c>
      <c r="S49" s="15" t="str">
        <f aca="false">IF(B49="","",IF(AND(E49="3808.61.00",OR(K49&gt;0.3001,K49=0)),"INCOMPATÍVEL — NCM 3808.61.00 exige emb. &lt;= 0,3kg/L (Emb. atual: "&amp;K49&amp;" "&amp;L49&amp;" -&gt; usar "&amp;Q49&amp;")",IF(AND(LEFT(E49,7)="3808.62",OR(K49&lt;=0.3001,K49&gt;7.5001)),"INCOMPATÍVEL — NCM 3808.62 exige emb. de 0,3 a 7,5kg/L (Emb. atual: "&amp;K49&amp;" "&amp;L49&amp;" -&gt; usar "&amp;Q49&amp;")",IF(AND(LEFT(E49,7)="3808.69",K49&gt;0,K49&lt;=7.5001),"INCOMPATÍVEL — NCM 3808.69 exige emb. &gt; 7,5kg/L (Emb. atual: "&amp;K49&amp;" "&amp;L49&amp;" -&gt; usar "&amp;Q49&amp;")",IF(AND(LEFT(Q49,6)="3808.6",LEFT(E49,6)&lt;&gt;"3808.6"),"INCOMPATÍVEL — Molécula Nota Subpos. 2 c/ emb. "&amp;K49&amp;" "&amp;L49&amp;" exige NCM "&amp;Q49,IF(AND(OR(E49="3808.91.19",E49="3808.92.19",E49="3808.93.19",E49="3808.99.19"),K49&gt;=1),"INCOMPATÍVEL — Subitem .19 (Domissanitário) vedado p/ emb. agrícola de "&amp;K49&amp;" "&amp;L49,IF(AND(E49="3105.10.00",K49&gt;10.0001),"INCOMPATÍVEL — NCM 3105.10.00 exige peso bruto &lt;= 10kg (Emb. atual: "&amp;K49&amp;" "&amp;L49&amp;" -&gt; usar 3105.90.90)",IF(AND(LEFT(E49,2)="29",LEFT(Q49,4)="3808",K49&gt;0),"INCOMPATÍVEL — Produto formulado em emb. comercial ("&amp;K49&amp;" "&amp;L49&amp;") vedado no Cap. 29 -&gt; usar "&amp;Q49,"CONFORME — Embalagem ("&amp;K49&amp;" "&amp;L49&amp;") compatível c/ a NCM"))))))))</f>
        <v/>
      </c>
      <c r="T49" s="17" t="str">
        <f aca="false">IF(B49="","",IF(IF(ISNUMBER(MATCH(A49,'4.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Produtos)'!$P$4:$P$848,IF(ISNUMBER(MATCH(A49,'4. Base Mestre (845 Produtos)'!$A$4:$A$848,0)),MATCH(A49,'4. Base Mestre (845 Produtos)'!$A$4:$A$848,0),IF(ISNUMBER(MATCH(B49,'4. Base Mestre (845 Produtos)'!$B$4:$B$848,0)),MATCH(B49,'4. Base Mestre (845 Produtos)'!$B$4:$B$848,0),0))),IF(ISNUMBER(MATCH(D49,'3. Dicionario Principios Ativos'!$A$4:$A$245,0)),INDEX('3. Dicionario Principios Ativos'!$K$4:$K$245,MATCH(D49,'3. Dicionario Principios Ativos'!$A$4:$A$245,0)),"VERIFICAR BULA")))</f>
        <v/>
      </c>
      <c r="U49" s="15" t="str">
        <f aca="false">IF(B49="","",IF(ISNUMBER(SEARCH("ISENTO",T49)),IF(OR(F49=0,F49="0",F49="ISENTO",F49=""),"CONFORME (DISPENSADO) — Isento pelo Ato SDA/MAPA nº 104/2017","INCORRETO — Produto isento de registro MAPA (usar 0 ou ISENTO)"),IF(ISNUMBER(SEARCH("SIPEAGRO",T49)),IF(ISNUMBER(SEARCH("-",F49)),"CONFORME — Registro SIPEAGRO ("&amp;F49&amp;") Preenchido","ADEQUAR P/ SIPEAGRO — Substituir 0 pelo Registro (UF-XXXXX-XXXXX.X)"),IF(ISNUMBER(SEARCH("VINCULAR",T49)),IF(AND(F49&lt;&gt;0,F49&lt;&gt;"0",F49&lt;&gt;""),"INCORRETO / TROCADO — Código "&amp;F49&amp;" pertence a outro produto (Vincular bula da marca)","VINCULAR MARCA — Cadastro de P.A. s/ marca fixa (Vincular registro na NF-e)"),IF(OR(F49=0,F49="0",F49=""),"AUSENTE (ZERO) — Preencher Registro Oficial MAPA nº "&amp;T49,IF(TEXT(F49,"0")=TEXT(T49,"0"),"CONFORME — Registro MAPA nº "&amp;T49&amp;" Validado na Bula","INCORRETO / TROCADO — Substituir "&amp;F49&amp;" pelo Registro Oficial nº "&amp;T49))))))</f>
        <v/>
      </c>
      <c r="V49" s="15" t="str">
        <f aca="false">IF(B49="","",IF(IF(ISNUMBER(MATCH(A49,'4.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Produtos)'!$S$4:$S$848,IF(ISNUMBER(MATCH(A49,'4. Base Mestre (845 Produtos)'!$A$4:$A$848,0)),MATCH(A49,'4. Base Mestre (845 Produtos)'!$A$4:$A$848,0),IF(ISNUMBER(MATCH(B49,'4. Base Mestre (845 Produtos)'!$B$4:$B$848,0)),MATCH(B49,'4. Base Mestre (845 Produtos)'!$B$4:$B$848,0),0))),IF(ISNUMBER(MATCH(D49,'3. Dicionario Principios Ativos'!$A$4:$A$245,0)),INDEX('3. Dicionario Principios Ativos'!$L$4:$L$245,MATCH(D49,'3. Dicionario Principios Ativos'!$A$4:$A$245,0)),"Verificar NCM")))</f>
        <v/>
      </c>
      <c r="W49" s="15" t="str">
        <f aca="false">IF(B49="","",IF(IF(ISNUMBER(MATCH(A49,'4. Base Mestre (845 Produtos)'!$A$4:$A$848,0)),MATCH(A49,'4. Base Mestre (845 Produtos)'!$A$4:$A$848,0),IF(ISNUMBER(MATCH(B49,'4. Base Mestre (845 Produtos)'!$B$4:$B$848,0)),MATCH(B49,'4. Base Mestre (845 Produtos)'!$B$4:$B$848,0),0))&gt;0,INDEX('4. Base Mestre (845 Produtos)'!$T$4:$T$848,IF(ISNUMBER(MATCH(A49,'4. Base Mestre (845 Produtos)'!$A$4:$A$848,0)),MATCH(A49,'4. Base Mestre (845 Produtos)'!$A$4:$A$848,0),IF(ISNUMBER(MATCH(B49,'4. Base Mestre (845 Produtos)'!$B$4:$B$848,0)),MATCH(B49,'4. Base Mestre (845 Produtos)'!$B$4:$B$848,0),0))),IF(ISNUMBER(MATCH(D49,'3. Dicionario Principios Ativos'!$A$4:$A$245,0)),INDEX('3. Dicionario Principios Ativos'!$M$4:$M$245,MATCH(D49,'3. Dicionario Principios Ativos'!$A$4:$A$245,0)),"Verificar CST")))</f>
        <v/>
      </c>
      <c r="X49" s="15" t="str">
        <f aca="false">IF(B49="","",IF(AND(LEFT(M49,8)="CONFORME",LEFT(P49,8)="CONFORME",LEFT(R49,8)="CONFORME",LEFT(S49,8)="CONFORME",LEFT(U49,8)="CONFORME"),"CADASTRO 100% CONFORME — LIBERADO P/ ERP",IF(AND(LEFT(M49,8)="CONFORME",LEFT(P49,8)="CONFORME",LEFT(R49,8)="CONFORME",LEFT(S49,8)="CONFORME",OR(LEFT(U49,7)="ADEQUAR",LEFT(U49,8)="VINCULAR")),"FISCAL E EMBALAGEM OK — ADEQUAR CAMPO MAPA (SIPEAGRO / MARCA)","BLOQUEADO — CORRIGIR DIVERGÊNCIAS APONTADAS ANTES DE LIBERAR NO ERP")))</f>
        <v/>
      </c>
    </row>
    <row r="50" customFormat="false" ht="19.5" hidden="false" customHeight="true" outlineLevel="0" collapsed="false">
      <c r="A50" s="12"/>
      <c r="B50" s="13"/>
      <c r="C50" s="12"/>
      <c r="D50" s="13"/>
      <c r="E50" s="12"/>
      <c r="F50" s="12"/>
      <c r="G50" s="14"/>
      <c r="H50" s="13" t="s">
        <v>166</v>
      </c>
      <c r="I50" s="20" t="str">
        <f aca="false">IF(B50="","",IF(ISNUMBER(MATCH(A50,'4. Base Mestre (845 Produtos)'!$A$4:$A$848,0)),"Localizado por Código ("&amp;A50&amp;") na Base Mestre",IF(ISNUMBER(MATCH(B50,'4. Base Mestre (845 Produtos)'!$B$4:$B$848,0)),"Localizado por Descrição na Base Mestre",IF(ISNUMBER(MATCH(D50,'3. Dicionario Principios Ativos'!$A$4:$A$245,0)),"Produto Novo — Validado pelo Dicionário de P.A.","Não Localizado — Revisar Código/P.A."))))</f>
        <v/>
      </c>
      <c r="J50" s="20" t="str">
        <f aca="false">IF(B50="","",IF(IF(ISNUMBER(MATCH(A50,'4.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Produtos)'!$I$4:$I$848,IF(ISNUMBER(MATCH(A50,'4. Base Mestre (845 Produtos)'!$A$4:$A$848,0)),MATCH(A50,'4. Base Mestre (845 Produtos)'!$A$4:$A$848,0),IF(ISNUMBER(MATCH(B50,'4. Base Mestre (845 Produtos)'!$B$4:$B$848,0)),MATCH(B50,'4. Base Mestre (845 Produtos)'!$B$4:$B$848,0),0))),IF(ISNUMBER(MATCH(D50,'3. Dicionario Principios Ativos'!$A$4:$A$245,0)),INDEX('3. Dicionario Principios Ativos'!$B$4:$B$245,MATCH(D50,'3. Dicionario Principios Ativos'!$A$4:$A$245,0)),"Revisar Classificação")))</f>
        <v/>
      </c>
      <c r="K50" s="21" t="str">
        <f aca="false">IF(B50="","",IF(G50&lt;&gt;"",G50,IF(OR(ISNUMBER(SEARCH("PRINCIPIO ATIVO",B50)),ISNUMBER(SEARCH("PRINC. ATIVO",B50)),ISNUMBER(SEARCH("PR. ATIVO",B50)),ISNUMBER(SEARCH("PR.AT.",B50)),ISNUMBER(SEARCH("(P.A",B50)),ISNUMBER(SEARCH("(P. A",B50))),0,IF(OR(ISNUMBER(SEARCH("0,100KG",B50)),ISNUMBER(SEARCH("0,1KG",B50)),ISNUMBER(SEARCH("0,100L",B50))),0.1,IF(OR(ISNUMBER(SEARCH("0,200L",B50)),ISNUMBER(SEARCH("0,2L",B50)),ISNUMBER(SEARCH("0,200KG",B50)),ISNUMBER(SEARCH("0,2KG",B50))),0.2,IF(OR(ISNUMBER(SEARCH("0,240KG",B50)),ISNUMBER(SEARCH("0,250L",B50))),0.24,IF(OR(ISNUMBER(SEARCH("0,300KG",B50)),ISNUMBER(SEARCH("0,3KG",B50))),0.3,IF(OR(ISNUMBER(SEARCH("0,500L",B50)),ISNUMBER(SEARCH("0,5L",B50)),ISNUMBER(SEARCH("0,5KG",B50))),0.5,IF(ISNUMBER(SEARCH("0,8KG",B50)),0.8,IF(OR(ISNUMBER(SEARCH("1,5L",B50)),ISNUMBER(SEARCH("1,5KG",B50))),1.5,IF(OR(ISNUMBER(SEARCH("1,75L",B50)),ISNUMBER(SEARCH("1,8L",B50)),ISNUMBER(SEARCH("1.8L",B50))),1.8,IF(ISNUMBER(SEARCH("4,5KG",B50)),4.5,IF(ISNUMBER(SEARCH("7,5KG",B50)),7.5,IF(OR(ISNUMBER(SEARCH("1000L",B50)),ISNUMBER(SEARCH("1000KG",B50)),ISNUMBER(SEARCH("1.000KG",B50)),ISNUMBER(SEARCH("1.000L",B50)),ISNUMBER(SEARCH("1000 KG",B50)),ISNUMBER(SEARCH("GRANEL",B50)),ISNUMBER(SEARCH("(TON)",B50))),1000,IF(ISNUMBER(SEARCH("200L",B50)),200,IF(OR(ISNUMBER(SEARCH("25KG",B50)),ISNUMBER(SEARCH("25L",B50))),25,IF(OR(ISNUMBER(SEARCH("20L",B50)),ISNUMBER(SEARCH("20KG",B50))),20,IF(ISNUMBER(SEARCH("15KG",B50)),15,IF(OR(ISNUMBER(SEARCH("10L",B50)),ISNUMBER(SEARCH("10KG",B50))),10,IF(OR(ISNUMBER(SEARCH("5L",B50)),ISNUMBER(SEARCH("5KG",B50)),ISNUMBER(SEARCH("5LT",B50))),5,IF(OR(ISNUMBER(SEARCH("3KG",B50)),ISNUMBER(SEARCH("3L",B50))),3,IF(OR(ISNUMBER(SEARCH("2L",B50)),ISNUMBER(SEARCH("2KG",B50))),2,IF(OR(ISNUMBER(SEARCH("1L",B50)),ISNUMBER(SEARCH("1KG",B50)),ISNUMBER(SEARCH("1LT",B50))),1,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Produtos)'!$D$4:$D$848,IF(ISNUMBER(MATCH(A50,'4. Base Mestre (845 Produtos)'!$A$4:$A$848,0)),MATCH(A50,'4. Base Mestre (845 Produtos)'!$A$4:$A$848,0),IF(ISNUMBER(MATCH(B50,'4. Base Mestre (845 Produtos)'!$B$4:$B$848,0)),MATCH(B50,'4. Base Mestre (845 Produtos)'!$B$4:$B$848,0),0))),1))))))))))))))))))))))))</f>
        <v/>
      </c>
      <c r="L50" s="22" t="str">
        <f aca="false">IF(B50="","",IF(OR(ISNUMBER(SEARCH("KG",B50)),ISNUMBER(SEARCH("GR",B50))),"KG",IF(OR(ISNUMBER(SEARCH("0,200L",B50)),ISNUMBER(SEARCH("0,2L",B50)),ISNUMBER(SEARCH("0,5L",B50)),ISNUMBER(SEARCH("1,5L",B50)),ISNUMBER(SEARCH("1,8L",B50)),ISNUMBER(SEARCH("1.8L",B50)),ISNUMBER(SEARCH("1L",B50)),ISNUMBER(SEARCH("2L",B50)),ISNUMBER(SEARCH("3L",B50)),ISNUMBER(SEARCH("5L",B50)),ISNUMBER(SEARCH("10L",B50)),ISNUMBER(SEARCH("20L",B50)),ISNUMBER(SEARCH("25L",B50)),ISNUMBER(SEARCH("200L",B50)),ISNUMBER(SEARCH("1000L",B50)),ISNUMBER(SEARCH("LT",B50))),"L",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Produtos)'!$E$4:$E$848,IF(ISNUMBER(MATCH(A50,'4. Base Mestre (845 Produtos)'!$A$4:$A$848,0)),MATCH(A50,'4. Base Mestre (845 Produtos)'!$A$4:$A$848,0),IF(ISNUMBER(MATCH(B50,'4. Base Mestre (845 Produtos)'!$B$4:$B$848,0)),MATCH(B50,'4. Base Mestre (845 Produtos)'!$B$4:$B$848,0),0))),C50))))</f>
        <v/>
      </c>
      <c r="M50" s="20" t="str">
        <f aca="false">IF(B50="","",IF(C50=L50,"CONFORME — Unidade ("&amp;C50&amp;") compatível c/ Embalagem","DIVERGENTE — Embalagem em "&amp;L50&amp;", mas cadastrado em "&amp;C50))</f>
        <v/>
      </c>
      <c r="N50" s="20" t="str">
        <f aca="false">IF(B50="","",IF(K50=0,"Granel / Produto Técnico (Sem Embalagem Comercial)",IF(K50&lt;=0.3001,"Faixa 1 TIPI: Até 300g/mL (3808.61.00 / 3105.10.00)",IF(K50&lt;=7.5001,"Faixa 2 TIPI: De 300g a 7,5kg/L (3808.62.90 / 3105.10.00)",IF(K50&lt;=10.0001,"Faixa 3 TIPI: De 7,5kg a 10kg/L (3808.69.90 / 3105.10.00)","Faixa 4 TIPI: Acima de 10kg/L (3808.69.90 / Cap. 31 Geral)")))))</f>
        <v/>
      </c>
      <c r="O50" s="20" t="str">
        <f aca="false">IF(B50="","",IF(IF(ISNUMBER(MATCH(A50,'4.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Produtos)'!$H$4:$H$848,IF(ISNUMBER(MATCH(A50,'4. Base Mestre (845 Produtos)'!$A$4:$A$848,0)),MATCH(A50,'4. Base Mestre (845 Produtos)'!$A$4:$A$848,0),IF(ISNUMBER(MATCH(B50,'4. Base Mestre (845 Produtos)'!$B$4:$B$848,0)),MATCH(B50,'4. Base Mestre (845 Produtos)'!$B$4:$B$848,0),0))),IF(ISNUMBER(MATCH(D50,'3. Dicionario Principios Ativos'!$A$4:$A$245,0)),INDEX('3. Dicionario Principios Ativos'!$A$4:$A$245,MATCH(D50,'3. Dicionario Principios Ativos'!$A$4:$A$245,0)),D50)))</f>
        <v/>
      </c>
      <c r="P50" s="20" t="str">
        <f aca="false">IF(B50="","",IF(D50=O50,"CONFORME — Princípio Ativo Validado","DIVERGENTE — Substituir por: "&amp;O50))</f>
        <v/>
      </c>
      <c r="Q50" s="22" t="str">
        <f aca="false">IF(B50="","",IF(IF(IF(ISNUMBER(MATCH(A50,'4.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Produtos)'!$J$4:$J$848,IF(ISNUMBER(MATCH(A50,'4. Base Mestre (845 Produtos)'!$A$4:$A$848,0)),MATCH(A50,'4. Base Mestre (845 Produtos)'!$A$4:$A$848,0),IF(ISNUMBER(MATCH(B50,'4. Base Mestre (845 Produtos)'!$B$4:$B$848,0)),MATCH(B50,'4. Base Mestre (845 Produtos)'!$B$4:$B$848,0),0)))="SIM",IF(ISNUMBER(MATCH(D50,'3. Dicionario Principios Ativos'!$A$4:$A$245,0)),INDEX('3. Dicionario Principios Ativos'!$C$4:$C$245,MATCH(D50,'3. Dicionario Principios Ativos'!$A$4:$A$245,0))="SIM",FALSE())),IF(AND(K50&gt;0,K50&lt;=0.3001),"3808.61.00",IF(AND(K50&gt;0.3001,K50&lt;=7.5001),"3808.62.90","3808.69.90")),IF(AND(LEFT(IF(IF(ISNUMBER(MATCH(A50,'4.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Produtos)'!$L$4:$L$848,IF(ISNUMBER(MATCH(A50,'4. Base Mestre (845 Produtos)'!$A$4:$A$848,0)),MATCH(A50,'4. Base Mestre (845 Produtos)'!$A$4:$A$848,0),IF(ISNUMBER(MATCH(B50,'4. Base Mestre (845 Produtos)'!$B$4:$B$848,0)),MATCH(B50,'4. Base Mestre (845 Produtos)'!$B$4:$B$848,0),0))),IF(ISNUMBER(MATCH(D50,'3. Dicionario Principios Ativos'!$A$4:$A$245,0)),INDEX('3. Dicionario Principios Ativos'!$D$4:$D$245,MATCH(D50,'3. Dicionario Principios Ativos'!$A$4:$A$245,0)),E50)),2)="31",E50="3105.10.00",K50&gt;0,K50&lt;=10.0001),"3105.10.00",IF(AND(IF(IF(ISNUMBER(MATCH(A50,'4.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Produtos)'!$L$4:$L$848,IF(ISNUMBER(MATCH(A50,'4. Base Mestre (845 Produtos)'!$A$4:$A$848,0)),MATCH(A50,'4. Base Mestre (845 Produtos)'!$A$4:$A$848,0),IF(ISNUMBER(MATCH(B50,'4. Base Mestre (845 Produtos)'!$B$4:$B$848,0)),MATCH(B50,'4. Base Mestre (845 Produtos)'!$B$4:$B$848,0),0))),IF(ISNUMBER(MATCH(D50,'3. Dicionario Principios Ativos'!$A$4:$A$245,0)),INDEX('3. Dicionario Principios Ativos'!$D$4:$D$245,MATCH(D50,'3. Dicionario Principios Ativos'!$A$4:$A$245,0)),E50))="3105.10.00",K50&gt;10.0001),"3105.90.90",IF(IF(ISNUMBER(MATCH(A50,'4.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Produtos)'!$L$4:$L$848,IF(ISNUMBER(MATCH(A50,'4. Base Mestre (845 Produtos)'!$A$4:$A$848,0)),MATCH(A50,'4. Base Mestre (845 Produtos)'!$A$4:$A$848,0),IF(ISNUMBER(MATCH(B50,'4. Base Mestre (845 Produtos)'!$B$4:$B$848,0)),MATCH(B50,'4. Base Mestre (845 Produtos)'!$B$4:$B$848,0),0))),IF(ISNUMBER(MATCH(D50,'3. Dicionario Principios Ativos'!$A$4:$A$245,0)),INDEX('3. Dicionario Principios Ativos'!$D$4:$D$245,MATCH(D50,'3. Dicionario Principios Ativos'!$A$4:$A$245,0)),E50))))))</f>
        <v/>
      </c>
      <c r="R50" s="20" t="str">
        <f aca="false">IF(B50="","",IF(OR(E50=Q50,AND(Q50="3002.49.99",E50="3002.90.00")),"CONFORME — NCM "&amp;E50&amp;" Correta na TIPI","DIVERGENTE — Substituir "&amp;E50&amp;" por "&amp;Q50))</f>
        <v/>
      </c>
      <c r="S50" s="20" t="str">
        <f aca="false">IF(B50="","",IF(AND(E50="3808.61.00",OR(K50&gt;0.3001,K50=0)),"INCOMPATÍVEL — NCM 3808.61.00 exige emb. &lt;= 0,3kg/L (Emb. atual: "&amp;K50&amp;" "&amp;L50&amp;" -&gt; usar "&amp;Q50&amp;")",IF(AND(LEFT(E50,7)="3808.62",OR(K50&lt;=0.3001,K50&gt;7.5001)),"INCOMPATÍVEL — NCM 3808.62 exige emb. de 0,3 a 7,5kg/L (Emb. atual: "&amp;K50&amp;" "&amp;L50&amp;" -&gt; usar "&amp;Q50&amp;")",IF(AND(LEFT(E50,7)="3808.69",K50&gt;0,K50&lt;=7.5001),"INCOMPATÍVEL — NCM 3808.69 exige emb. &gt; 7,5kg/L (Emb. atual: "&amp;K50&amp;" "&amp;L50&amp;" -&gt; usar "&amp;Q50&amp;")",IF(AND(LEFT(Q50,6)="3808.6",LEFT(E50,6)&lt;&gt;"3808.6"),"INCOMPATÍVEL — Molécula Nota Subpos. 2 c/ emb. "&amp;K50&amp;" "&amp;L50&amp;" exige NCM "&amp;Q50,IF(AND(OR(E50="3808.91.19",E50="3808.92.19",E50="3808.93.19",E50="3808.99.19"),K50&gt;=1),"INCOMPATÍVEL — Subitem .19 (Domissanitário) vedado p/ emb. agrícola de "&amp;K50&amp;" "&amp;L50,IF(AND(E50="3105.10.00",K50&gt;10.0001),"INCOMPATÍVEL — NCM 3105.10.00 exige peso bruto &lt;= 10kg (Emb. atual: "&amp;K50&amp;" "&amp;L50&amp;" -&gt; usar 3105.90.90)",IF(AND(LEFT(E50,2)="29",LEFT(Q50,4)="3808",K50&gt;0),"INCOMPATÍVEL — Produto formulado em emb. comercial ("&amp;K50&amp;" "&amp;L50&amp;") vedado no Cap. 29 -&gt; usar "&amp;Q50,"CONFORME — Embalagem ("&amp;K50&amp;" "&amp;L50&amp;") compatível c/ a NCM"))))))))</f>
        <v/>
      </c>
      <c r="T50" s="22" t="str">
        <f aca="false">IF(B50="","",IF(IF(ISNUMBER(MATCH(A50,'4.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Produtos)'!$P$4:$P$848,IF(ISNUMBER(MATCH(A50,'4. Base Mestre (845 Produtos)'!$A$4:$A$848,0)),MATCH(A50,'4. Base Mestre (845 Produtos)'!$A$4:$A$848,0),IF(ISNUMBER(MATCH(B50,'4. Base Mestre (845 Produtos)'!$B$4:$B$848,0)),MATCH(B50,'4. Base Mestre (845 Produtos)'!$B$4:$B$848,0),0))),IF(ISNUMBER(MATCH(D50,'3. Dicionario Principios Ativos'!$A$4:$A$245,0)),INDEX('3. Dicionario Principios Ativos'!$K$4:$K$245,MATCH(D50,'3. Dicionario Principios Ativos'!$A$4:$A$245,0)),"VERIFICAR BULA")))</f>
        <v/>
      </c>
      <c r="U50" s="20" t="str">
        <f aca="false">IF(B50="","",IF(ISNUMBER(SEARCH("ISENTO",T50)),IF(OR(F50=0,F50="0",F50="ISENTO",F50=""),"CONFORME (DISPENSADO) — Isento pelo Ato SDA/MAPA nº 104/2017","INCORRETO — Produto isento de registro MAPA (usar 0 ou ISENTO)"),IF(ISNUMBER(SEARCH("SIPEAGRO",T50)),IF(ISNUMBER(SEARCH("-",F50)),"CONFORME — Registro SIPEAGRO ("&amp;F50&amp;") Preenchido","ADEQUAR P/ SIPEAGRO — Substituir 0 pelo Registro (UF-XXXXX-XXXXX.X)"),IF(ISNUMBER(SEARCH("VINCULAR",T50)),IF(AND(F50&lt;&gt;0,F50&lt;&gt;"0",F50&lt;&gt;""),"INCORRETO / TROCADO — Código "&amp;F50&amp;" pertence a outro produto (Vincular bula da marca)","VINCULAR MARCA — Cadastro de P.A. s/ marca fixa (Vincular registro na NF-e)"),IF(OR(F50=0,F50="0",F50=""),"AUSENTE (ZERO) — Preencher Registro Oficial MAPA nº "&amp;T50,IF(TEXT(F50,"0")=TEXT(T50,"0"),"CONFORME — Registro MAPA nº "&amp;T50&amp;" Validado na Bula","INCORRETO / TROCADO — Substituir "&amp;F50&amp;" pelo Registro Oficial nº "&amp;T50))))))</f>
        <v/>
      </c>
      <c r="V50" s="20" t="str">
        <f aca="false">IF(B50="","",IF(IF(ISNUMBER(MATCH(A50,'4.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Produtos)'!$S$4:$S$848,IF(ISNUMBER(MATCH(A50,'4. Base Mestre (845 Produtos)'!$A$4:$A$848,0)),MATCH(A50,'4. Base Mestre (845 Produtos)'!$A$4:$A$848,0),IF(ISNUMBER(MATCH(B50,'4. Base Mestre (845 Produtos)'!$B$4:$B$848,0)),MATCH(B50,'4. Base Mestre (845 Produtos)'!$B$4:$B$848,0),0))),IF(ISNUMBER(MATCH(D50,'3. Dicionario Principios Ativos'!$A$4:$A$245,0)),INDEX('3. Dicionario Principios Ativos'!$L$4:$L$245,MATCH(D50,'3. Dicionario Principios Ativos'!$A$4:$A$245,0)),"Verificar NCM")))</f>
        <v/>
      </c>
      <c r="W50" s="20" t="str">
        <f aca="false">IF(B50="","",IF(IF(ISNUMBER(MATCH(A50,'4. Base Mestre (845 Produtos)'!$A$4:$A$848,0)),MATCH(A50,'4. Base Mestre (845 Produtos)'!$A$4:$A$848,0),IF(ISNUMBER(MATCH(B50,'4. Base Mestre (845 Produtos)'!$B$4:$B$848,0)),MATCH(B50,'4. Base Mestre (845 Produtos)'!$B$4:$B$848,0),0))&gt;0,INDEX('4. Base Mestre (845 Produtos)'!$T$4:$T$848,IF(ISNUMBER(MATCH(A50,'4. Base Mestre (845 Produtos)'!$A$4:$A$848,0)),MATCH(A50,'4. Base Mestre (845 Produtos)'!$A$4:$A$848,0),IF(ISNUMBER(MATCH(B50,'4. Base Mestre (845 Produtos)'!$B$4:$B$848,0)),MATCH(B50,'4. Base Mestre (845 Produtos)'!$B$4:$B$848,0),0))),IF(ISNUMBER(MATCH(D50,'3. Dicionario Principios Ativos'!$A$4:$A$245,0)),INDEX('3. Dicionario Principios Ativos'!$M$4:$M$245,MATCH(D50,'3. Dicionario Principios Ativos'!$A$4:$A$245,0)),"Verificar CST")))</f>
        <v/>
      </c>
      <c r="X50" s="20" t="str">
        <f aca="false">IF(B50="","",IF(AND(LEFT(M50,8)="CONFORME",LEFT(P50,8)="CONFORME",LEFT(R50,8)="CONFORME",LEFT(S50,8)="CONFORME",LEFT(U50,8)="CONFORME"),"CADASTRO 100% CONFORME — LIBERADO P/ ERP",IF(AND(LEFT(M50,8)="CONFORME",LEFT(P50,8)="CONFORME",LEFT(R50,8)="CONFORME",LEFT(S50,8)="CONFORME",OR(LEFT(U50,7)="ADEQUAR",LEFT(U50,8)="VINCULAR")),"FISCAL E EMBALAGEM OK — ADEQUAR CAMPO MAPA (SIPEAGRO / MARCA)","BLOQUEADO — CORRIGIR DIVERGÊNCIAS APONTADAS ANTES DE LIBERAR NO ERP")))</f>
        <v/>
      </c>
    </row>
    <row r="51" customFormat="false" ht="19.5" hidden="false" customHeight="true" outlineLevel="0" collapsed="false">
      <c r="A51" s="12"/>
      <c r="B51" s="13"/>
      <c r="C51" s="12"/>
      <c r="D51" s="13"/>
      <c r="E51" s="12"/>
      <c r="F51" s="12"/>
      <c r="G51" s="14"/>
      <c r="H51" s="13" t="s">
        <v>166</v>
      </c>
      <c r="I51" s="15" t="str">
        <f aca="false">IF(B51="","",IF(ISNUMBER(MATCH(A51,'4. Base Mestre (845 Produtos)'!$A$4:$A$848,0)),"Localizado por Código ("&amp;A51&amp;") na Base Mestre",IF(ISNUMBER(MATCH(B51,'4. Base Mestre (845 Produtos)'!$B$4:$B$848,0)),"Localizado por Descrição na Base Mestre",IF(ISNUMBER(MATCH(D51,'3. Dicionario Principios Ativos'!$A$4:$A$245,0)),"Produto Novo — Validado pelo Dicionário de P.A.","Não Localizado — Revisar Código/P.A."))))</f>
        <v/>
      </c>
      <c r="J51" s="15" t="str">
        <f aca="false">IF(B51="","",IF(IF(ISNUMBER(MATCH(A51,'4.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Produtos)'!$I$4:$I$848,IF(ISNUMBER(MATCH(A51,'4. Base Mestre (845 Produtos)'!$A$4:$A$848,0)),MATCH(A51,'4. Base Mestre (845 Produtos)'!$A$4:$A$848,0),IF(ISNUMBER(MATCH(B51,'4. Base Mestre (845 Produtos)'!$B$4:$B$848,0)),MATCH(B51,'4. Base Mestre (845 Produtos)'!$B$4:$B$848,0),0))),IF(ISNUMBER(MATCH(D51,'3. Dicionario Principios Ativos'!$A$4:$A$245,0)),INDEX('3. Dicionario Principios Ativos'!$B$4:$B$245,MATCH(D51,'3. Dicionario Principios Ativos'!$A$4:$A$245,0)),"Revisar Classificação")))</f>
        <v/>
      </c>
      <c r="K51" s="16" t="str">
        <f aca="false">IF(B51="","",IF(G51&lt;&gt;"",G51,IF(OR(ISNUMBER(SEARCH("PRINCIPIO ATIVO",B51)),ISNUMBER(SEARCH("PRINC. ATIVO",B51)),ISNUMBER(SEARCH("PR. ATIVO",B51)),ISNUMBER(SEARCH("PR.AT.",B51)),ISNUMBER(SEARCH("(P.A",B51)),ISNUMBER(SEARCH("(P. A",B51))),0,IF(OR(ISNUMBER(SEARCH("0,100KG",B51)),ISNUMBER(SEARCH("0,1KG",B51)),ISNUMBER(SEARCH("0,100L",B51))),0.1,IF(OR(ISNUMBER(SEARCH("0,200L",B51)),ISNUMBER(SEARCH("0,2L",B51)),ISNUMBER(SEARCH("0,200KG",B51)),ISNUMBER(SEARCH("0,2KG",B51))),0.2,IF(OR(ISNUMBER(SEARCH("0,240KG",B51)),ISNUMBER(SEARCH("0,250L",B51))),0.24,IF(OR(ISNUMBER(SEARCH("0,300KG",B51)),ISNUMBER(SEARCH("0,3KG",B51))),0.3,IF(OR(ISNUMBER(SEARCH("0,500L",B51)),ISNUMBER(SEARCH("0,5L",B51)),ISNUMBER(SEARCH("0,5KG",B51))),0.5,IF(ISNUMBER(SEARCH("0,8KG",B51)),0.8,IF(OR(ISNUMBER(SEARCH("1,5L",B51)),ISNUMBER(SEARCH("1,5KG",B51))),1.5,IF(OR(ISNUMBER(SEARCH("1,75L",B51)),ISNUMBER(SEARCH("1,8L",B51)),ISNUMBER(SEARCH("1.8L",B51))),1.8,IF(ISNUMBER(SEARCH("4,5KG",B51)),4.5,IF(ISNUMBER(SEARCH("7,5KG",B51)),7.5,IF(OR(ISNUMBER(SEARCH("1000L",B51)),ISNUMBER(SEARCH("1000KG",B51)),ISNUMBER(SEARCH("1.000KG",B51)),ISNUMBER(SEARCH("1.000L",B51)),ISNUMBER(SEARCH("1000 KG",B51)),ISNUMBER(SEARCH("GRANEL",B51)),ISNUMBER(SEARCH("(TON)",B51))),1000,IF(ISNUMBER(SEARCH("200L",B51)),200,IF(OR(ISNUMBER(SEARCH("25KG",B51)),ISNUMBER(SEARCH("25L",B51))),25,IF(OR(ISNUMBER(SEARCH("20L",B51)),ISNUMBER(SEARCH("20KG",B51))),20,IF(ISNUMBER(SEARCH("15KG",B51)),15,IF(OR(ISNUMBER(SEARCH("10L",B51)),ISNUMBER(SEARCH("10KG",B51))),10,IF(OR(ISNUMBER(SEARCH("5L",B51)),ISNUMBER(SEARCH("5KG",B51)),ISNUMBER(SEARCH("5LT",B51))),5,IF(OR(ISNUMBER(SEARCH("3KG",B51)),ISNUMBER(SEARCH("3L",B51))),3,IF(OR(ISNUMBER(SEARCH("2L",B51)),ISNUMBER(SEARCH("2KG",B51))),2,IF(OR(ISNUMBER(SEARCH("1L",B51)),ISNUMBER(SEARCH("1KG",B51)),ISNUMBER(SEARCH("1LT",B51))),1,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Produtos)'!$D$4:$D$848,IF(ISNUMBER(MATCH(A51,'4. Base Mestre (845 Produtos)'!$A$4:$A$848,0)),MATCH(A51,'4. Base Mestre (845 Produtos)'!$A$4:$A$848,0),IF(ISNUMBER(MATCH(B51,'4. Base Mestre (845 Produtos)'!$B$4:$B$848,0)),MATCH(B51,'4. Base Mestre (845 Produtos)'!$B$4:$B$848,0),0))),1))))))))))))))))))))))))</f>
        <v/>
      </c>
      <c r="L51" s="17" t="str">
        <f aca="false">IF(B51="","",IF(OR(ISNUMBER(SEARCH("KG",B51)),ISNUMBER(SEARCH("GR",B51))),"KG",IF(OR(ISNUMBER(SEARCH("0,200L",B51)),ISNUMBER(SEARCH("0,2L",B51)),ISNUMBER(SEARCH("0,5L",B51)),ISNUMBER(SEARCH("1,5L",B51)),ISNUMBER(SEARCH("1,8L",B51)),ISNUMBER(SEARCH("1.8L",B51)),ISNUMBER(SEARCH("1L",B51)),ISNUMBER(SEARCH("2L",B51)),ISNUMBER(SEARCH("3L",B51)),ISNUMBER(SEARCH("5L",B51)),ISNUMBER(SEARCH("10L",B51)),ISNUMBER(SEARCH("20L",B51)),ISNUMBER(SEARCH("25L",B51)),ISNUMBER(SEARCH("200L",B51)),ISNUMBER(SEARCH("1000L",B51)),ISNUMBER(SEARCH("LT",B51))),"L",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Produtos)'!$E$4:$E$848,IF(ISNUMBER(MATCH(A51,'4. Base Mestre (845 Produtos)'!$A$4:$A$848,0)),MATCH(A51,'4. Base Mestre (845 Produtos)'!$A$4:$A$848,0),IF(ISNUMBER(MATCH(B51,'4. Base Mestre (845 Produtos)'!$B$4:$B$848,0)),MATCH(B51,'4. Base Mestre (845 Produtos)'!$B$4:$B$848,0),0))),C51))))</f>
        <v/>
      </c>
      <c r="M51" s="15" t="str">
        <f aca="false">IF(B51="","",IF(C51=L51,"CONFORME — Unidade ("&amp;C51&amp;") compatível c/ Embalagem","DIVERGENTE — Embalagem em "&amp;L51&amp;", mas cadastrado em "&amp;C51))</f>
        <v/>
      </c>
      <c r="N51" s="15" t="str">
        <f aca="false">IF(B51="","",IF(K51=0,"Granel / Produto Técnico (Sem Embalagem Comercial)",IF(K51&lt;=0.3001,"Faixa 1 TIPI: Até 300g/mL (3808.61.00 / 3105.10.00)",IF(K51&lt;=7.5001,"Faixa 2 TIPI: De 300g a 7,5kg/L (3808.62.90 / 3105.10.00)",IF(K51&lt;=10.0001,"Faixa 3 TIPI: De 7,5kg a 10kg/L (3808.69.90 / 3105.10.00)","Faixa 4 TIPI: Acima de 10kg/L (3808.69.90 / Cap. 31 Geral)")))))</f>
        <v/>
      </c>
      <c r="O51" s="15" t="str">
        <f aca="false">IF(B51="","",IF(IF(ISNUMBER(MATCH(A51,'4.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Produtos)'!$H$4:$H$848,IF(ISNUMBER(MATCH(A51,'4. Base Mestre (845 Produtos)'!$A$4:$A$848,0)),MATCH(A51,'4. Base Mestre (845 Produtos)'!$A$4:$A$848,0),IF(ISNUMBER(MATCH(B51,'4. Base Mestre (845 Produtos)'!$B$4:$B$848,0)),MATCH(B51,'4. Base Mestre (845 Produtos)'!$B$4:$B$848,0),0))),IF(ISNUMBER(MATCH(D51,'3. Dicionario Principios Ativos'!$A$4:$A$245,0)),INDEX('3. Dicionario Principios Ativos'!$A$4:$A$245,MATCH(D51,'3. Dicionario Principios Ativos'!$A$4:$A$245,0)),D51)))</f>
        <v/>
      </c>
      <c r="P51" s="15" t="str">
        <f aca="false">IF(B51="","",IF(D51=O51,"CONFORME — Princípio Ativo Validado","DIVERGENTE — Substituir por: "&amp;O51))</f>
        <v/>
      </c>
      <c r="Q51" s="17" t="str">
        <f aca="false">IF(B51="","",IF(IF(IF(ISNUMBER(MATCH(A51,'4.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Produtos)'!$J$4:$J$848,IF(ISNUMBER(MATCH(A51,'4. Base Mestre (845 Produtos)'!$A$4:$A$848,0)),MATCH(A51,'4. Base Mestre (845 Produtos)'!$A$4:$A$848,0),IF(ISNUMBER(MATCH(B51,'4. Base Mestre (845 Produtos)'!$B$4:$B$848,0)),MATCH(B51,'4. Base Mestre (845 Produtos)'!$B$4:$B$848,0),0)))="SIM",IF(ISNUMBER(MATCH(D51,'3. Dicionario Principios Ativos'!$A$4:$A$245,0)),INDEX('3. Dicionario Principios Ativos'!$C$4:$C$245,MATCH(D51,'3. Dicionario Principios Ativos'!$A$4:$A$245,0))="SIM",FALSE())),IF(AND(K51&gt;0,K51&lt;=0.3001),"3808.61.00",IF(AND(K51&gt;0.3001,K51&lt;=7.5001),"3808.62.90","3808.69.90")),IF(AND(LEFT(IF(IF(ISNUMBER(MATCH(A51,'4.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Produtos)'!$L$4:$L$848,IF(ISNUMBER(MATCH(A51,'4. Base Mestre (845 Produtos)'!$A$4:$A$848,0)),MATCH(A51,'4. Base Mestre (845 Produtos)'!$A$4:$A$848,0),IF(ISNUMBER(MATCH(B51,'4. Base Mestre (845 Produtos)'!$B$4:$B$848,0)),MATCH(B51,'4. Base Mestre (845 Produtos)'!$B$4:$B$848,0),0))),IF(ISNUMBER(MATCH(D51,'3. Dicionario Principios Ativos'!$A$4:$A$245,0)),INDEX('3. Dicionario Principios Ativos'!$D$4:$D$245,MATCH(D51,'3. Dicionario Principios Ativos'!$A$4:$A$245,0)),E51)),2)="31",E51="3105.10.00",K51&gt;0,K51&lt;=10.0001),"3105.10.00",IF(AND(IF(IF(ISNUMBER(MATCH(A51,'4.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Produtos)'!$L$4:$L$848,IF(ISNUMBER(MATCH(A51,'4. Base Mestre (845 Produtos)'!$A$4:$A$848,0)),MATCH(A51,'4. Base Mestre (845 Produtos)'!$A$4:$A$848,0),IF(ISNUMBER(MATCH(B51,'4. Base Mestre (845 Produtos)'!$B$4:$B$848,0)),MATCH(B51,'4. Base Mestre (845 Produtos)'!$B$4:$B$848,0),0))),IF(ISNUMBER(MATCH(D51,'3. Dicionario Principios Ativos'!$A$4:$A$245,0)),INDEX('3. Dicionario Principios Ativos'!$D$4:$D$245,MATCH(D51,'3. Dicionario Principios Ativos'!$A$4:$A$245,0)),E51))="3105.10.00",K51&gt;10.0001),"3105.90.90",IF(IF(ISNUMBER(MATCH(A51,'4.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Produtos)'!$L$4:$L$848,IF(ISNUMBER(MATCH(A51,'4. Base Mestre (845 Produtos)'!$A$4:$A$848,0)),MATCH(A51,'4. Base Mestre (845 Produtos)'!$A$4:$A$848,0),IF(ISNUMBER(MATCH(B51,'4. Base Mestre (845 Produtos)'!$B$4:$B$848,0)),MATCH(B51,'4. Base Mestre (845 Produtos)'!$B$4:$B$848,0),0))),IF(ISNUMBER(MATCH(D51,'3. Dicionario Principios Ativos'!$A$4:$A$245,0)),INDEX('3. Dicionario Principios Ativos'!$D$4:$D$245,MATCH(D51,'3. Dicionario Principios Ativos'!$A$4:$A$245,0)),E51))))))</f>
        <v/>
      </c>
      <c r="R51" s="15" t="str">
        <f aca="false">IF(B51="","",IF(OR(E51=Q51,AND(Q51="3002.49.99",E51="3002.90.00")),"CONFORME — NCM "&amp;E51&amp;" Correta na TIPI","DIVERGENTE — Substituir "&amp;E51&amp;" por "&amp;Q51))</f>
        <v/>
      </c>
      <c r="S51" s="15" t="str">
        <f aca="false">IF(B51="","",IF(AND(E51="3808.61.00",OR(K51&gt;0.3001,K51=0)),"INCOMPATÍVEL — NCM 3808.61.00 exige emb. &lt;= 0,3kg/L (Emb. atual: "&amp;K51&amp;" "&amp;L51&amp;" -&gt; usar "&amp;Q51&amp;")",IF(AND(LEFT(E51,7)="3808.62",OR(K51&lt;=0.3001,K51&gt;7.5001)),"INCOMPATÍVEL — NCM 3808.62 exige emb. de 0,3 a 7,5kg/L (Emb. atual: "&amp;K51&amp;" "&amp;L51&amp;" -&gt; usar "&amp;Q51&amp;")",IF(AND(LEFT(E51,7)="3808.69",K51&gt;0,K51&lt;=7.5001),"INCOMPATÍVEL — NCM 3808.69 exige emb. &gt; 7,5kg/L (Emb. atual: "&amp;K51&amp;" "&amp;L51&amp;" -&gt; usar "&amp;Q51&amp;")",IF(AND(LEFT(Q51,6)="3808.6",LEFT(E51,6)&lt;&gt;"3808.6"),"INCOMPATÍVEL — Molécula Nota Subpos. 2 c/ emb. "&amp;K51&amp;" "&amp;L51&amp;" exige NCM "&amp;Q51,IF(AND(OR(E51="3808.91.19",E51="3808.92.19",E51="3808.93.19",E51="3808.99.19"),K51&gt;=1),"INCOMPATÍVEL — Subitem .19 (Domissanitário) vedado p/ emb. agrícola de "&amp;K51&amp;" "&amp;L51,IF(AND(E51="3105.10.00",K51&gt;10.0001),"INCOMPATÍVEL — NCM 3105.10.00 exige peso bruto &lt;= 10kg (Emb. atual: "&amp;K51&amp;" "&amp;L51&amp;" -&gt; usar 3105.90.90)",IF(AND(LEFT(E51,2)="29",LEFT(Q51,4)="3808",K51&gt;0),"INCOMPATÍVEL — Produto formulado em emb. comercial ("&amp;K51&amp;" "&amp;L51&amp;") vedado no Cap. 29 -&gt; usar "&amp;Q51,"CONFORME — Embalagem ("&amp;K51&amp;" "&amp;L51&amp;") compatível c/ a NCM"))))))))</f>
        <v/>
      </c>
      <c r="T51" s="17" t="str">
        <f aca="false">IF(B51="","",IF(IF(ISNUMBER(MATCH(A51,'4.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Produtos)'!$P$4:$P$848,IF(ISNUMBER(MATCH(A51,'4. Base Mestre (845 Produtos)'!$A$4:$A$848,0)),MATCH(A51,'4. Base Mestre (845 Produtos)'!$A$4:$A$848,0),IF(ISNUMBER(MATCH(B51,'4. Base Mestre (845 Produtos)'!$B$4:$B$848,0)),MATCH(B51,'4. Base Mestre (845 Produtos)'!$B$4:$B$848,0),0))),IF(ISNUMBER(MATCH(D51,'3. Dicionario Principios Ativos'!$A$4:$A$245,0)),INDEX('3. Dicionario Principios Ativos'!$K$4:$K$245,MATCH(D51,'3. Dicionario Principios Ativos'!$A$4:$A$245,0)),"VERIFICAR BULA")))</f>
        <v/>
      </c>
      <c r="U51" s="15" t="str">
        <f aca="false">IF(B51="","",IF(ISNUMBER(SEARCH("ISENTO",T51)),IF(OR(F51=0,F51="0",F51="ISENTO",F51=""),"CONFORME (DISPENSADO) — Isento pelo Ato SDA/MAPA nº 104/2017","INCORRETO — Produto isento de registro MAPA (usar 0 ou ISENTO)"),IF(ISNUMBER(SEARCH("SIPEAGRO",T51)),IF(ISNUMBER(SEARCH("-",F51)),"CONFORME — Registro SIPEAGRO ("&amp;F51&amp;") Preenchido","ADEQUAR P/ SIPEAGRO — Substituir 0 pelo Registro (UF-XXXXX-XXXXX.X)"),IF(ISNUMBER(SEARCH("VINCULAR",T51)),IF(AND(F51&lt;&gt;0,F51&lt;&gt;"0",F51&lt;&gt;""),"INCORRETO / TROCADO — Código "&amp;F51&amp;" pertence a outro produto (Vincular bula da marca)","VINCULAR MARCA — Cadastro de P.A. s/ marca fixa (Vincular registro na NF-e)"),IF(OR(F51=0,F51="0",F51=""),"AUSENTE (ZERO) — Preencher Registro Oficial MAPA nº "&amp;T51,IF(TEXT(F51,"0")=TEXT(T51,"0"),"CONFORME — Registro MAPA nº "&amp;T51&amp;" Validado na Bula","INCORRETO / TROCADO — Substituir "&amp;F51&amp;" pelo Registro Oficial nº "&amp;T51))))))</f>
        <v/>
      </c>
      <c r="V51" s="15" t="str">
        <f aca="false">IF(B51="","",IF(IF(ISNUMBER(MATCH(A51,'4.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Produtos)'!$S$4:$S$848,IF(ISNUMBER(MATCH(A51,'4. Base Mestre (845 Produtos)'!$A$4:$A$848,0)),MATCH(A51,'4. Base Mestre (845 Produtos)'!$A$4:$A$848,0),IF(ISNUMBER(MATCH(B51,'4. Base Mestre (845 Produtos)'!$B$4:$B$848,0)),MATCH(B51,'4. Base Mestre (845 Produtos)'!$B$4:$B$848,0),0))),IF(ISNUMBER(MATCH(D51,'3. Dicionario Principios Ativos'!$A$4:$A$245,0)),INDEX('3. Dicionario Principios Ativos'!$L$4:$L$245,MATCH(D51,'3. Dicionario Principios Ativos'!$A$4:$A$245,0)),"Verificar NCM")))</f>
        <v/>
      </c>
      <c r="W51" s="15" t="str">
        <f aca="false">IF(B51="","",IF(IF(ISNUMBER(MATCH(A51,'4. Base Mestre (845 Produtos)'!$A$4:$A$848,0)),MATCH(A51,'4. Base Mestre (845 Produtos)'!$A$4:$A$848,0),IF(ISNUMBER(MATCH(B51,'4. Base Mestre (845 Produtos)'!$B$4:$B$848,0)),MATCH(B51,'4. Base Mestre (845 Produtos)'!$B$4:$B$848,0),0))&gt;0,INDEX('4. Base Mestre (845 Produtos)'!$T$4:$T$848,IF(ISNUMBER(MATCH(A51,'4. Base Mestre (845 Produtos)'!$A$4:$A$848,0)),MATCH(A51,'4. Base Mestre (845 Produtos)'!$A$4:$A$848,0),IF(ISNUMBER(MATCH(B51,'4. Base Mestre (845 Produtos)'!$B$4:$B$848,0)),MATCH(B51,'4. Base Mestre (845 Produtos)'!$B$4:$B$848,0),0))),IF(ISNUMBER(MATCH(D51,'3. Dicionario Principios Ativos'!$A$4:$A$245,0)),INDEX('3. Dicionario Principios Ativos'!$M$4:$M$245,MATCH(D51,'3. Dicionario Principios Ativos'!$A$4:$A$245,0)),"Verificar CST")))</f>
        <v/>
      </c>
      <c r="X51" s="15" t="str">
        <f aca="false">IF(B51="","",IF(AND(LEFT(M51,8)="CONFORME",LEFT(P51,8)="CONFORME",LEFT(R51,8)="CONFORME",LEFT(S51,8)="CONFORME",LEFT(U51,8)="CONFORME"),"CADASTRO 100% CONFORME — LIBERADO P/ ERP",IF(AND(LEFT(M51,8)="CONFORME",LEFT(P51,8)="CONFORME",LEFT(R51,8)="CONFORME",LEFT(S51,8)="CONFORME",OR(LEFT(U51,7)="ADEQUAR",LEFT(U51,8)="VINCULAR")),"FISCAL E EMBALAGEM OK — ADEQUAR CAMPO MAPA (SIPEAGRO / MARCA)","BLOQUEADO — CORRIGIR DIVERGÊNCIAS APONTADAS ANTES DE LIBERAR NO ERP")))</f>
        <v/>
      </c>
    </row>
    <row r="52" customFormat="false" ht="19.5" hidden="false" customHeight="true" outlineLevel="0" collapsed="false">
      <c r="A52" s="12"/>
      <c r="B52" s="13"/>
      <c r="C52" s="12"/>
      <c r="D52" s="13"/>
      <c r="E52" s="12"/>
      <c r="F52" s="12"/>
      <c r="G52" s="14"/>
      <c r="H52" s="13" t="s">
        <v>166</v>
      </c>
      <c r="I52" s="20" t="str">
        <f aca="false">IF(B52="","",IF(ISNUMBER(MATCH(A52,'4. Base Mestre (845 Produtos)'!$A$4:$A$848,0)),"Localizado por Código ("&amp;A52&amp;") na Base Mestre",IF(ISNUMBER(MATCH(B52,'4. Base Mestre (845 Produtos)'!$B$4:$B$848,0)),"Localizado por Descrição na Base Mestre",IF(ISNUMBER(MATCH(D52,'3. Dicionario Principios Ativos'!$A$4:$A$245,0)),"Produto Novo — Validado pelo Dicionário de P.A.","Não Localizado — Revisar Código/P.A."))))</f>
        <v/>
      </c>
      <c r="J52" s="20" t="str">
        <f aca="false">IF(B52="","",IF(IF(ISNUMBER(MATCH(A52,'4.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Produtos)'!$I$4:$I$848,IF(ISNUMBER(MATCH(A52,'4. Base Mestre (845 Produtos)'!$A$4:$A$848,0)),MATCH(A52,'4. Base Mestre (845 Produtos)'!$A$4:$A$848,0),IF(ISNUMBER(MATCH(B52,'4. Base Mestre (845 Produtos)'!$B$4:$B$848,0)),MATCH(B52,'4. Base Mestre (845 Produtos)'!$B$4:$B$848,0),0))),IF(ISNUMBER(MATCH(D52,'3. Dicionario Principios Ativos'!$A$4:$A$245,0)),INDEX('3. Dicionario Principios Ativos'!$B$4:$B$245,MATCH(D52,'3. Dicionario Principios Ativos'!$A$4:$A$245,0)),"Revisar Classificação")))</f>
        <v/>
      </c>
      <c r="K52" s="21" t="str">
        <f aca="false">IF(B52="","",IF(G52&lt;&gt;"",G52,IF(OR(ISNUMBER(SEARCH("PRINCIPIO ATIVO",B52)),ISNUMBER(SEARCH("PRINC. ATIVO",B52)),ISNUMBER(SEARCH("PR. ATIVO",B52)),ISNUMBER(SEARCH("PR.AT.",B52)),ISNUMBER(SEARCH("(P.A",B52)),ISNUMBER(SEARCH("(P. A",B52))),0,IF(OR(ISNUMBER(SEARCH("0,100KG",B52)),ISNUMBER(SEARCH("0,1KG",B52)),ISNUMBER(SEARCH("0,100L",B52))),0.1,IF(OR(ISNUMBER(SEARCH("0,200L",B52)),ISNUMBER(SEARCH("0,2L",B52)),ISNUMBER(SEARCH("0,200KG",B52)),ISNUMBER(SEARCH("0,2KG",B52))),0.2,IF(OR(ISNUMBER(SEARCH("0,240KG",B52)),ISNUMBER(SEARCH("0,250L",B52))),0.24,IF(OR(ISNUMBER(SEARCH("0,300KG",B52)),ISNUMBER(SEARCH("0,3KG",B52))),0.3,IF(OR(ISNUMBER(SEARCH("0,500L",B52)),ISNUMBER(SEARCH("0,5L",B52)),ISNUMBER(SEARCH("0,5KG",B52))),0.5,IF(ISNUMBER(SEARCH("0,8KG",B52)),0.8,IF(OR(ISNUMBER(SEARCH("1,5L",B52)),ISNUMBER(SEARCH("1,5KG",B52))),1.5,IF(OR(ISNUMBER(SEARCH("1,75L",B52)),ISNUMBER(SEARCH("1,8L",B52)),ISNUMBER(SEARCH("1.8L",B52))),1.8,IF(ISNUMBER(SEARCH("4,5KG",B52)),4.5,IF(ISNUMBER(SEARCH("7,5KG",B52)),7.5,IF(OR(ISNUMBER(SEARCH("1000L",B52)),ISNUMBER(SEARCH("1000KG",B52)),ISNUMBER(SEARCH("1.000KG",B52)),ISNUMBER(SEARCH("1.000L",B52)),ISNUMBER(SEARCH("1000 KG",B52)),ISNUMBER(SEARCH("GRANEL",B52)),ISNUMBER(SEARCH("(TON)",B52))),1000,IF(ISNUMBER(SEARCH("200L",B52)),200,IF(OR(ISNUMBER(SEARCH("25KG",B52)),ISNUMBER(SEARCH("25L",B52))),25,IF(OR(ISNUMBER(SEARCH("20L",B52)),ISNUMBER(SEARCH("20KG",B52))),20,IF(ISNUMBER(SEARCH("15KG",B52)),15,IF(OR(ISNUMBER(SEARCH("10L",B52)),ISNUMBER(SEARCH("10KG",B52))),10,IF(OR(ISNUMBER(SEARCH("5L",B52)),ISNUMBER(SEARCH("5KG",B52)),ISNUMBER(SEARCH("5LT",B52))),5,IF(OR(ISNUMBER(SEARCH("3KG",B52)),ISNUMBER(SEARCH("3L",B52))),3,IF(OR(ISNUMBER(SEARCH("2L",B52)),ISNUMBER(SEARCH("2KG",B52))),2,IF(OR(ISNUMBER(SEARCH("1L",B52)),ISNUMBER(SEARCH("1KG",B52)),ISNUMBER(SEARCH("1LT",B52))),1,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Produtos)'!$D$4:$D$848,IF(ISNUMBER(MATCH(A52,'4. Base Mestre (845 Produtos)'!$A$4:$A$848,0)),MATCH(A52,'4. Base Mestre (845 Produtos)'!$A$4:$A$848,0),IF(ISNUMBER(MATCH(B52,'4. Base Mestre (845 Produtos)'!$B$4:$B$848,0)),MATCH(B52,'4. Base Mestre (845 Produtos)'!$B$4:$B$848,0),0))),1))))))))))))))))))))))))</f>
        <v/>
      </c>
      <c r="L52" s="22" t="str">
        <f aca="false">IF(B52="","",IF(OR(ISNUMBER(SEARCH("KG",B52)),ISNUMBER(SEARCH("GR",B52))),"KG",IF(OR(ISNUMBER(SEARCH("0,200L",B52)),ISNUMBER(SEARCH("0,2L",B52)),ISNUMBER(SEARCH("0,5L",B52)),ISNUMBER(SEARCH("1,5L",B52)),ISNUMBER(SEARCH("1,8L",B52)),ISNUMBER(SEARCH("1.8L",B52)),ISNUMBER(SEARCH("1L",B52)),ISNUMBER(SEARCH("2L",B52)),ISNUMBER(SEARCH("3L",B52)),ISNUMBER(SEARCH("5L",B52)),ISNUMBER(SEARCH("10L",B52)),ISNUMBER(SEARCH("20L",B52)),ISNUMBER(SEARCH("25L",B52)),ISNUMBER(SEARCH("200L",B52)),ISNUMBER(SEARCH("1000L",B52)),ISNUMBER(SEARCH("LT",B52))),"L",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Produtos)'!$E$4:$E$848,IF(ISNUMBER(MATCH(A52,'4. Base Mestre (845 Produtos)'!$A$4:$A$848,0)),MATCH(A52,'4. Base Mestre (845 Produtos)'!$A$4:$A$848,0),IF(ISNUMBER(MATCH(B52,'4. Base Mestre (845 Produtos)'!$B$4:$B$848,0)),MATCH(B52,'4. Base Mestre (845 Produtos)'!$B$4:$B$848,0),0))),C52))))</f>
        <v/>
      </c>
      <c r="M52" s="20" t="str">
        <f aca="false">IF(B52="","",IF(C52=L52,"CONFORME — Unidade ("&amp;C52&amp;") compatível c/ Embalagem","DIVERGENTE — Embalagem em "&amp;L52&amp;", mas cadastrado em "&amp;C52))</f>
        <v/>
      </c>
      <c r="N52" s="20" t="str">
        <f aca="false">IF(B52="","",IF(K52=0,"Granel / Produto Técnico (Sem Embalagem Comercial)",IF(K52&lt;=0.3001,"Faixa 1 TIPI: Até 300g/mL (3808.61.00 / 3105.10.00)",IF(K52&lt;=7.5001,"Faixa 2 TIPI: De 300g a 7,5kg/L (3808.62.90 / 3105.10.00)",IF(K52&lt;=10.0001,"Faixa 3 TIPI: De 7,5kg a 10kg/L (3808.69.90 / 3105.10.00)","Faixa 4 TIPI: Acima de 10kg/L (3808.69.90 / Cap. 31 Geral)")))))</f>
        <v/>
      </c>
      <c r="O52" s="20" t="str">
        <f aca="false">IF(B52="","",IF(IF(ISNUMBER(MATCH(A52,'4.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Produtos)'!$H$4:$H$848,IF(ISNUMBER(MATCH(A52,'4. Base Mestre (845 Produtos)'!$A$4:$A$848,0)),MATCH(A52,'4. Base Mestre (845 Produtos)'!$A$4:$A$848,0),IF(ISNUMBER(MATCH(B52,'4. Base Mestre (845 Produtos)'!$B$4:$B$848,0)),MATCH(B52,'4. Base Mestre (845 Produtos)'!$B$4:$B$848,0),0))),IF(ISNUMBER(MATCH(D52,'3. Dicionario Principios Ativos'!$A$4:$A$245,0)),INDEX('3. Dicionario Principios Ativos'!$A$4:$A$245,MATCH(D52,'3. Dicionario Principios Ativos'!$A$4:$A$245,0)),D52)))</f>
        <v/>
      </c>
      <c r="P52" s="20" t="str">
        <f aca="false">IF(B52="","",IF(D52=O52,"CONFORME — Princípio Ativo Validado","DIVERGENTE — Substituir por: "&amp;O52))</f>
        <v/>
      </c>
      <c r="Q52" s="22" t="str">
        <f aca="false">IF(B52="","",IF(IF(IF(ISNUMBER(MATCH(A52,'4.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Produtos)'!$J$4:$J$848,IF(ISNUMBER(MATCH(A52,'4. Base Mestre (845 Produtos)'!$A$4:$A$848,0)),MATCH(A52,'4. Base Mestre (845 Produtos)'!$A$4:$A$848,0),IF(ISNUMBER(MATCH(B52,'4. Base Mestre (845 Produtos)'!$B$4:$B$848,0)),MATCH(B52,'4. Base Mestre (845 Produtos)'!$B$4:$B$848,0),0)))="SIM",IF(ISNUMBER(MATCH(D52,'3. Dicionario Principios Ativos'!$A$4:$A$245,0)),INDEX('3. Dicionario Principios Ativos'!$C$4:$C$245,MATCH(D52,'3. Dicionario Principios Ativos'!$A$4:$A$245,0))="SIM",FALSE())),IF(AND(K52&gt;0,K52&lt;=0.3001),"3808.61.00",IF(AND(K52&gt;0.3001,K52&lt;=7.5001),"3808.62.90","3808.69.90")),IF(AND(LEFT(IF(IF(ISNUMBER(MATCH(A52,'4.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Produtos)'!$L$4:$L$848,IF(ISNUMBER(MATCH(A52,'4. Base Mestre (845 Produtos)'!$A$4:$A$848,0)),MATCH(A52,'4. Base Mestre (845 Produtos)'!$A$4:$A$848,0),IF(ISNUMBER(MATCH(B52,'4. Base Mestre (845 Produtos)'!$B$4:$B$848,0)),MATCH(B52,'4. Base Mestre (845 Produtos)'!$B$4:$B$848,0),0))),IF(ISNUMBER(MATCH(D52,'3. Dicionario Principios Ativos'!$A$4:$A$245,0)),INDEX('3. Dicionario Principios Ativos'!$D$4:$D$245,MATCH(D52,'3. Dicionario Principios Ativos'!$A$4:$A$245,0)),E52)),2)="31",E52="3105.10.00",K52&gt;0,K52&lt;=10.0001),"3105.10.00",IF(AND(IF(IF(ISNUMBER(MATCH(A52,'4.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Produtos)'!$L$4:$L$848,IF(ISNUMBER(MATCH(A52,'4. Base Mestre (845 Produtos)'!$A$4:$A$848,0)),MATCH(A52,'4. Base Mestre (845 Produtos)'!$A$4:$A$848,0),IF(ISNUMBER(MATCH(B52,'4. Base Mestre (845 Produtos)'!$B$4:$B$848,0)),MATCH(B52,'4. Base Mestre (845 Produtos)'!$B$4:$B$848,0),0))),IF(ISNUMBER(MATCH(D52,'3. Dicionario Principios Ativos'!$A$4:$A$245,0)),INDEX('3. Dicionario Principios Ativos'!$D$4:$D$245,MATCH(D52,'3. Dicionario Principios Ativos'!$A$4:$A$245,0)),E52))="3105.10.00",K52&gt;10.0001),"3105.90.90",IF(IF(ISNUMBER(MATCH(A52,'4.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Produtos)'!$L$4:$L$848,IF(ISNUMBER(MATCH(A52,'4. Base Mestre (845 Produtos)'!$A$4:$A$848,0)),MATCH(A52,'4. Base Mestre (845 Produtos)'!$A$4:$A$848,0),IF(ISNUMBER(MATCH(B52,'4. Base Mestre (845 Produtos)'!$B$4:$B$848,0)),MATCH(B52,'4. Base Mestre (845 Produtos)'!$B$4:$B$848,0),0))),IF(ISNUMBER(MATCH(D52,'3. Dicionario Principios Ativos'!$A$4:$A$245,0)),INDEX('3. Dicionario Principios Ativos'!$D$4:$D$245,MATCH(D52,'3. Dicionario Principios Ativos'!$A$4:$A$245,0)),E52))))))</f>
        <v/>
      </c>
      <c r="R52" s="20" t="str">
        <f aca="false">IF(B52="","",IF(OR(E52=Q52,AND(Q52="3002.49.99",E52="3002.90.00")),"CONFORME — NCM "&amp;E52&amp;" Correta na TIPI","DIVERGENTE — Substituir "&amp;E52&amp;" por "&amp;Q52))</f>
        <v/>
      </c>
      <c r="S52" s="20" t="str">
        <f aca="false">IF(B52="","",IF(AND(E52="3808.61.00",OR(K52&gt;0.3001,K52=0)),"INCOMPATÍVEL — NCM 3808.61.00 exige emb. &lt;= 0,3kg/L (Emb. atual: "&amp;K52&amp;" "&amp;L52&amp;" -&gt; usar "&amp;Q52&amp;")",IF(AND(LEFT(E52,7)="3808.62",OR(K52&lt;=0.3001,K52&gt;7.5001)),"INCOMPATÍVEL — NCM 3808.62 exige emb. de 0,3 a 7,5kg/L (Emb. atual: "&amp;K52&amp;" "&amp;L52&amp;" -&gt; usar "&amp;Q52&amp;")",IF(AND(LEFT(E52,7)="3808.69",K52&gt;0,K52&lt;=7.5001),"INCOMPATÍVEL — NCM 3808.69 exige emb. &gt; 7,5kg/L (Emb. atual: "&amp;K52&amp;" "&amp;L52&amp;" -&gt; usar "&amp;Q52&amp;")",IF(AND(LEFT(Q52,6)="3808.6",LEFT(E52,6)&lt;&gt;"3808.6"),"INCOMPATÍVEL — Molécula Nota Subpos. 2 c/ emb. "&amp;K52&amp;" "&amp;L52&amp;" exige NCM "&amp;Q52,IF(AND(OR(E52="3808.91.19",E52="3808.92.19",E52="3808.93.19",E52="3808.99.19"),K52&gt;=1),"INCOMPATÍVEL — Subitem .19 (Domissanitário) vedado p/ emb. agrícola de "&amp;K52&amp;" "&amp;L52,IF(AND(E52="3105.10.00",K52&gt;10.0001),"INCOMPATÍVEL — NCM 3105.10.00 exige peso bruto &lt;= 10kg (Emb. atual: "&amp;K52&amp;" "&amp;L52&amp;" -&gt; usar 3105.90.90)",IF(AND(LEFT(E52,2)="29",LEFT(Q52,4)="3808",K52&gt;0),"INCOMPATÍVEL — Produto formulado em emb. comercial ("&amp;K52&amp;" "&amp;L52&amp;") vedado no Cap. 29 -&gt; usar "&amp;Q52,"CONFORME — Embalagem ("&amp;K52&amp;" "&amp;L52&amp;") compatível c/ a NCM"))))))))</f>
        <v/>
      </c>
      <c r="T52" s="22" t="str">
        <f aca="false">IF(B52="","",IF(IF(ISNUMBER(MATCH(A52,'4.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Produtos)'!$P$4:$P$848,IF(ISNUMBER(MATCH(A52,'4. Base Mestre (845 Produtos)'!$A$4:$A$848,0)),MATCH(A52,'4. Base Mestre (845 Produtos)'!$A$4:$A$848,0),IF(ISNUMBER(MATCH(B52,'4. Base Mestre (845 Produtos)'!$B$4:$B$848,0)),MATCH(B52,'4. Base Mestre (845 Produtos)'!$B$4:$B$848,0),0))),IF(ISNUMBER(MATCH(D52,'3. Dicionario Principios Ativos'!$A$4:$A$245,0)),INDEX('3. Dicionario Principios Ativos'!$K$4:$K$245,MATCH(D52,'3. Dicionario Principios Ativos'!$A$4:$A$245,0)),"VERIFICAR BULA")))</f>
        <v/>
      </c>
      <c r="U52" s="20" t="str">
        <f aca="false">IF(B52="","",IF(ISNUMBER(SEARCH("ISENTO",T52)),IF(OR(F52=0,F52="0",F52="ISENTO",F52=""),"CONFORME (DISPENSADO) — Isento pelo Ato SDA/MAPA nº 104/2017","INCORRETO — Produto isento de registro MAPA (usar 0 ou ISENTO)"),IF(ISNUMBER(SEARCH("SIPEAGRO",T52)),IF(ISNUMBER(SEARCH("-",F52)),"CONFORME — Registro SIPEAGRO ("&amp;F52&amp;") Preenchido","ADEQUAR P/ SIPEAGRO — Substituir 0 pelo Registro (UF-XXXXX-XXXXX.X)"),IF(ISNUMBER(SEARCH("VINCULAR",T52)),IF(AND(F52&lt;&gt;0,F52&lt;&gt;"0",F52&lt;&gt;""),"INCORRETO / TROCADO — Código "&amp;F52&amp;" pertence a outro produto (Vincular bula da marca)","VINCULAR MARCA — Cadastro de P.A. s/ marca fixa (Vincular registro na NF-e)"),IF(OR(F52=0,F52="0",F52=""),"AUSENTE (ZERO) — Preencher Registro Oficial MAPA nº "&amp;T52,IF(TEXT(F52,"0")=TEXT(T52,"0"),"CONFORME — Registro MAPA nº "&amp;T52&amp;" Validado na Bula","INCORRETO / TROCADO — Substituir "&amp;F52&amp;" pelo Registro Oficial nº "&amp;T52))))))</f>
        <v/>
      </c>
      <c r="V52" s="20" t="str">
        <f aca="false">IF(B52="","",IF(IF(ISNUMBER(MATCH(A52,'4.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Produtos)'!$S$4:$S$848,IF(ISNUMBER(MATCH(A52,'4. Base Mestre (845 Produtos)'!$A$4:$A$848,0)),MATCH(A52,'4. Base Mestre (845 Produtos)'!$A$4:$A$848,0),IF(ISNUMBER(MATCH(B52,'4. Base Mestre (845 Produtos)'!$B$4:$B$848,0)),MATCH(B52,'4. Base Mestre (845 Produtos)'!$B$4:$B$848,0),0))),IF(ISNUMBER(MATCH(D52,'3. Dicionario Principios Ativos'!$A$4:$A$245,0)),INDEX('3. Dicionario Principios Ativos'!$L$4:$L$245,MATCH(D52,'3. Dicionario Principios Ativos'!$A$4:$A$245,0)),"Verificar NCM")))</f>
        <v/>
      </c>
      <c r="W52" s="20" t="str">
        <f aca="false">IF(B52="","",IF(IF(ISNUMBER(MATCH(A52,'4. Base Mestre (845 Produtos)'!$A$4:$A$848,0)),MATCH(A52,'4. Base Mestre (845 Produtos)'!$A$4:$A$848,0),IF(ISNUMBER(MATCH(B52,'4. Base Mestre (845 Produtos)'!$B$4:$B$848,0)),MATCH(B52,'4. Base Mestre (845 Produtos)'!$B$4:$B$848,0),0))&gt;0,INDEX('4. Base Mestre (845 Produtos)'!$T$4:$T$848,IF(ISNUMBER(MATCH(A52,'4. Base Mestre (845 Produtos)'!$A$4:$A$848,0)),MATCH(A52,'4. Base Mestre (845 Produtos)'!$A$4:$A$848,0),IF(ISNUMBER(MATCH(B52,'4. Base Mestre (845 Produtos)'!$B$4:$B$848,0)),MATCH(B52,'4. Base Mestre (845 Produtos)'!$B$4:$B$848,0),0))),IF(ISNUMBER(MATCH(D52,'3. Dicionario Principios Ativos'!$A$4:$A$245,0)),INDEX('3. Dicionario Principios Ativos'!$M$4:$M$245,MATCH(D52,'3. Dicionario Principios Ativos'!$A$4:$A$245,0)),"Verificar CST")))</f>
        <v/>
      </c>
      <c r="X52" s="20" t="str">
        <f aca="false">IF(B52="","",IF(AND(LEFT(M52,8)="CONFORME",LEFT(P52,8)="CONFORME",LEFT(R52,8)="CONFORME",LEFT(S52,8)="CONFORME",LEFT(U52,8)="CONFORME"),"CADASTRO 100% CONFORME — LIBERADO P/ ERP",IF(AND(LEFT(M52,8)="CONFORME",LEFT(P52,8)="CONFORME",LEFT(R52,8)="CONFORME",LEFT(S52,8)="CONFORME",OR(LEFT(U52,7)="ADEQUAR",LEFT(U52,8)="VINCULAR")),"FISCAL E EMBALAGEM OK — ADEQUAR CAMPO MAPA (SIPEAGRO / MARCA)","BLOQUEADO — CORRIGIR DIVERGÊNCIAS APONTADAS ANTES DE LIBERAR NO ERP")))</f>
        <v/>
      </c>
    </row>
    <row r="53" customFormat="false" ht="19.5" hidden="false" customHeight="true" outlineLevel="0" collapsed="false">
      <c r="A53" s="12"/>
      <c r="B53" s="13"/>
      <c r="C53" s="12"/>
      <c r="D53" s="13"/>
      <c r="E53" s="12"/>
      <c r="F53" s="12"/>
      <c r="G53" s="14"/>
      <c r="H53" s="13" t="s">
        <v>166</v>
      </c>
      <c r="I53" s="15" t="str">
        <f aca="false">IF(B53="","",IF(ISNUMBER(MATCH(A53,'4. Base Mestre (845 Produtos)'!$A$4:$A$848,0)),"Localizado por Código ("&amp;A53&amp;") na Base Mestre",IF(ISNUMBER(MATCH(B53,'4. Base Mestre (845 Produtos)'!$B$4:$B$848,0)),"Localizado por Descrição na Base Mestre",IF(ISNUMBER(MATCH(D53,'3. Dicionario Principios Ativos'!$A$4:$A$245,0)),"Produto Novo — Validado pelo Dicionário de P.A.","Não Localizado — Revisar Código/P.A."))))</f>
        <v/>
      </c>
      <c r="J53" s="15" t="str">
        <f aca="false">IF(B53="","",IF(IF(ISNUMBER(MATCH(A53,'4.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Produtos)'!$I$4:$I$848,IF(ISNUMBER(MATCH(A53,'4. Base Mestre (845 Produtos)'!$A$4:$A$848,0)),MATCH(A53,'4. Base Mestre (845 Produtos)'!$A$4:$A$848,0),IF(ISNUMBER(MATCH(B53,'4. Base Mestre (845 Produtos)'!$B$4:$B$848,0)),MATCH(B53,'4. Base Mestre (845 Produtos)'!$B$4:$B$848,0),0))),IF(ISNUMBER(MATCH(D53,'3. Dicionario Principios Ativos'!$A$4:$A$245,0)),INDEX('3. Dicionario Principios Ativos'!$B$4:$B$245,MATCH(D53,'3. Dicionario Principios Ativos'!$A$4:$A$245,0)),"Revisar Classificação")))</f>
        <v/>
      </c>
      <c r="K53" s="16" t="str">
        <f aca="false">IF(B53="","",IF(G53&lt;&gt;"",G53,IF(OR(ISNUMBER(SEARCH("PRINCIPIO ATIVO",B53)),ISNUMBER(SEARCH("PRINC. ATIVO",B53)),ISNUMBER(SEARCH("PR. ATIVO",B53)),ISNUMBER(SEARCH("PR.AT.",B53)),ISNUMBER(SEARCH("(P.A",B53)),ISNUMBER(SEARCH("(P. A",B53))),0,IF(OR(ISNUMBER(SEARCH("0,100KG",B53)),ISNUMBER(SEARCH("0,1KG",B53)),ISNUMBER(SEARCH("0,100L",B53))),0.1,IF(OR(ISNUMBER(SEARCH("0,200L",B53)),ISNUMBER(SEARCH("0,2L",B53)),ISNUMBER(SEARCH("0,200KG",B53)),ISNUMBER(SEARCH("0,2KG",B53))),0.2,IF(OR(ISNUMBER(SEARCH("0,240KG",B53)),ISNUMBER(SEARCH("0,250L",B53))),0.24,IF(OR(ISNUMBER(SEARCH("0,300KG",B53)),ISNUMBER(SEARCH("0,3KG",B53))),0.3,IF(OR(ISNUMBER(SEARCH("0,500L",B53)),ISNUMBER(SEARCH("0,5L",B53)),ISNUMBER(SEARCH("0,5KG",B53))),0.5,IF(ISNUMBER(SEARCH("0,8KG",B53)),0.8,IF(OR(ISNUMBER(SEARCH("1,5L",B53)),ISNUMBER(SEARCH("1,5KG",B53))),1.5,IF(OR(ISNUMBER(SEARCH("1,75L",B53)),ISNUMBER(SEARCH("1,8L",B53)),ISNUMBER(SEARCH("1.8L",B53))),1.8,IF(ISNUMBER(SEARCH("4,5KG",B53)),4.5,IF(ISNUMBER(SEARCH("7,5KG",B53)),7.5,IF(OR(ISNUMBER(SEARCH("1000L",B53)),ISNUMBER(SEARCH("1000KG",B53)),ISNUMBER(SEARCH("1.000KG",B53)),ISNUMBER(SEARCH("1.000L",B53)),ISNUMBER(SEARCH("1000 KG",B53)),ISNUMBER(SEARCH("GRANEL",B53)),ISNUMBER(SEARCH("(TON)",B53))),1000,IF(ISNUMBER(SEARCH("200L",B53)),200,IF(OR(ISNUMBER(SEARCH("25KG",B53)),ISNUMBER(SEARCH("25L",B53))),25,IF(OR(ISNUMBER(SEARCH("20L",B53)),ISNUMBER(SEARCH("20KG",B53))),20,IF(ISNUMBER(SEARCH("15KG",B53)),15,IF(OR(ISNUMBER(SEARCH("10L",B53)),ISNUMBER(SEARCH("10KG",B53))),10,IF(OR(ISNUMBER(SEARCH("5L",B53)),ISNUMBER(SEARCH("5KG",B53)),ISNUMBER(SEARCH("5LT",B53))),5,IF(OR(ISNUMBER(SEARCH("3KG",B53)),ISNUMBER(SEARCH("3L",B53))),3,IF(OR(ISNUMBER(SEARCH("2L",B53)),ISNUMBER(SEARCH("2KG",B53))),2,IF(OR(ISNUMBER(SEARCH("1L",B53)),ISNUMBER(SEARCH("1KG",B53)),ISNUMBER(SEARCH("1LT",B53))),1,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Produtos)'!$D$4:$D$848,IF(ISNUMBER(MATCH(A53,'4. Base Mestre (845 Produtos)'!$A$4:$A$848,0)),MATCH(A53,'4. Base Mestre (845 Produtos)'!$A$4:$A$848,0),IF(ISNUMBER(MATCH(B53,'4. Base Mestre (845 Produtos)'!$B$4:$B$848,0)),MATCH(B53,'4. Base Mestre (845 Produtos)'!$B$4:$B$848,0),0))),1))))))))))))))))))))))))</f>
        <v/>
      </c>
      <c r="L53" s="17" t="str">
        <f aca="false">IF(B53="","",IF(OR(ISNUMBER(SEARCH("KG",B53)),ISNUMBER(SEARCH("GR",B53))),"KG",IF(OR(ISNUMBER(SEARCH("0,200L",B53)),ISNUMBER(SEARCH("0,2L",B53)),ISNUMBER(SEARCH("0,5L",B53)),ISNUMBER(SEARCH("1,5L",B53)),ISNUMBER(SEARCH("1,8L",B53)),ISNUMBER(SEARCH("1.8L",B53)),ISNUMBER(SEARCH("1L",B53)),ISNUMBER(SEARCH("2L",B53)),ISNUMBER(SEARCH("3L",B53)),ISNUMBER(SEARCH("5L",B53)),ISNUMBER(SEARCH("10L",B53)),ISNUMBER(SEARCH("20L",B53)),ISNUMBER(SEARCH("25L",B53)),ISNUMBER(SEARCH("200L",B53)),ISNUMBER(SEARCH("1000L",B53)),ISNUMBER(SEARCH("LT",B53))),"L",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Produtos)'!$E$4:$E$848,IF(ISNUMBER(MATCH(A53,'4. Base Mestre (845 Produtos)'!$A$4:$A$848,0)),MATCH(A53,'4. Base Mestre (845 Produtos)'!$A$4:$A$848,0),IF(ISNUMBER(MATCH(B53,'4. Base Mestre (845 Produtos)'!$B$4:$B$848,0)),MATCH(B53,'4. Base Mestre (845 Produtos)'!$B$4:$B$848,0),0))),C53))))</f>
        <v/>
      </c>
      <c r="M53" s="15" t="str">
        <f aca="false">IF(B53="","",IF(C53=L53,"CONFORME — Unidade ("&amp;C53&amp;") compatível c/ Embalagem","DIVERGENTE — Embalagem em "&amp;L53&amp;", mas cadastrado em "&amp;C53))</f>
        <v/>
      </c>
      <c r="N53" s="15" t="str">
        <f aca="false">IF(B53="","",IF(K53=0,"Granel / Produto Técnico (Sem Embalagem Comercial)",IF(K53&lt;=0.3001,"Faixa 1 TIPI: Até 300g/mL (3808.61.00 / 3105.10.00)",IF(K53&lt;=7.5001,"Faixa 2 TIPI: De 300g a 7,5kg/L (3808.62.90 / 3105.10.00)",IF(K53&lt;=10.0001,"Faixa 3 TIPI: De 7,5kg a 10kg/L (3808.69.90 / 3105.10.00)","Faixa 4 TIPI: Acima de 10kg/L (3808.69.90 / Cap. 31 Geral)")))))</f>
        <v/>
      </c>
      <c r="O53" s="15" t="str">
        <f aca="false">IF(B53="","",IF(IF(ISNUMBER(MATCH(A53,'4.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Produtos)'!$H$4:$H$848,IF(ISNUMBER(MATCH(A53,'4. Base Mestre (845 Produtos)'!$A$4:$A$848,0)),MATCH(A53,'4. Base Mestre (845 Produtos)'!$A$4:$A$848,0),IF(ISNUMBER(MATCH(B53,'4. Base Mestre (845 Produtos)'!$B$4:$B$848,0)),MATCH(B53,'4. Base Mestre (845 Produtos)'!$B$4:$B$848,0),0))),IF(ISNUMBER(MATCH(D53,'3. Dicionario Principios Ativos'!$A$4:$A$245,0)),INDEX('3. Dicionario Principios Ativos'!$A$4:$A$245,MATCH(D53,'3. Dicionario Principios Ativos'!$A$4:$A$245,0)),D53)))</f>
        <v/>
      </c>
      <c r="P53" s="15" t="str">
        <f aca="false">IF(B53="","",IF(D53=O53,"CONFORME — Princípio Ativo Validado","DIVERGENTE — Substituir por: "&amp;O53))</f>
        <v/>
      </c>
      <c r="Q53" s="17" t="str">
        <f aca="false">IF(B53="","",IF(IF(IF(ISNUMBER(MATCH(A53,'4.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Produtos)'!$J$4:$J$848,IF(ISNUMBER(MATCH(A53,'4. Base Mestre (845 Produtos)'!$A$4:$A$848,0)),MATCH(A53,'4. Base Mestre (845 Produtos)'!$A$4:$A$848,0),IF(ISNUMBER(MATCH(B53,'4. Base Mestre (845 Produtos)'!$B$4:$B$848,0)),MATCH(B53,'4. Base Mestre (845 Produtos)'!$B$4:$B$848,0),0)))="SIM",IF(ISNUMBER(MATCH(D53,'3. Dicionario Principios Ativos'!$A$4:$A$245,0)),INDEX('3. Dicionario Principios Ativos'!$C$4:$C$245,MATCH(D53,'3. Dicionario Principios Ativos'!$A$4:$A$245,0))="SIM",FALSE())),IF(AND(K53&gt;0,K53&lt;=0.3001),"3808.61.00",IF(AND(K53&gt;0.3001,K53&lt;=7.5001),"3808.62.90","3808.69.90")),IF(AND(LEFT(IF(IF(ISNUMBER(MATCH(A53,'4.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Produtos)'!$L$4:$L$848,IF(ISNUMBER(MATCH(A53,'4. Base Mestre (845 Produtos)'!$A$4:$A$848,0)),MATCH(A53,'4. Base Mestre (845 Produtos)'!$A$4:$A$848,0),IF(ISNUMBER(MATCH(B53,'4. Base Mestre (845 Produtos)'!$B$4:$B$848,0)),MATCH(B53,'4. Base Mestre (845 Produtos)'!$B$4:$B$848,0),0))),IF(ISNUMBER(MATCH(D53,'3. Dicionario Principios Ativos'!$A$4:$A$245,0)),INDEX('3. Dicionario Principios Ativos'!$D$4:$D$245,MATCH(D53,'3. Dicionario Principios Ativos'!$A$4:$A$245,0)),E53)),2)="31",E53="3105.10.00",K53&gt;0,K53&lt;=10.0001),"3105.10.00",IF(AND(IF(IF(ISNUMBER(MATCH(A53,'4.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Produtos)'!$L$4:$L$848,IF(ISNUMBER(MATCH(A53,'4. Base Mestre (845 Produtos)'!$A$4:$A$848,0)),MATCH(A53,'4. Base Mestre (845 Produtos)'!$A$4:$A$848,0),IF(ISNUMBER(MATCH(B53,'4. Base Mestre (845 Produtos)'!$B$4:$B$848,0)),MATCH(B53,'4. Base Mestre (845 Produtos)'!$B$4:$B$848,0),0))),IF(ISNUMBER(MATCH(D53,'3. Dicionario Principios Ativos'!$A$4:$A$245,0)),INDEX('3. Dicionario Principios Ativos'!$D$4:$D$245,MATCH(D53,'3. Dicionario Principios Ativos'!$A$4:$A$245,0)),E53))="3105.10.00",K53&gt;10.0001),"3105.90.90",IF(IF(ISNUMBER(MATCH(A53,'4.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Produtos)'!$L$4:$L$848,IF(ISNUMBER(MATCH(A53,'4. Base Mestre (845 Produtos)'!$A$4:$A$848,0)),MATCH(A53,'4. Base Mestre (845 Produtos)'!$A$4:$A$848,0),IF(ISNUMBER(MATCH(B53,'4. Base Mestre (845 Produtos)'!$B$4:$B$848,0)),MATCH(B53,'4. Base Mestre (845 Produtos)'!$B$4:$B$848,0),0))),IF(ISNUMBER(MATCH(D53,'3. Dicionario Principios Ativos'!$A$4:$A$245,0)),INDEX('3. Dicionario Principios Ativos'!$D$4:$D$245,MATCH(D53,'3. Dicionario Principios Ativos'!$A$4:$A$245,0)),E53))))))</f>
        <v/>
      </c>
      <c r="R53" s="15" t="str">
        <f aca="false">IF(B53="","",IF(OR(E53=Q53,AND(Q53="3002.49.99",E53="3002.90.00")),"CONFORME — NCM "&amp;E53&amp;" Correta na TIPI","DIVERGENTE — Substituir "&amp;E53&amp;" por "&amp;Q53))</f>
        <v/>
      </c>
      <c r="S53" s="15" t="str">
        <f aca="false">IF(B53="","",IF(AND(E53="3808.61.00",OR(K53&gt;0.3001,K53=0)),"INCOMPATÍVEL — NCM 3808.61.00 exige emb. &lt;= 0,3kg/L (Emb. atual: "&amp;K53&amp;" "&amp;L53&amp;" -&gt; usar "&amp;Q53&amp;")",IF(AND(LEFT(E53,7)="3808.62",OR(K53&lt;=0.3001,K53&gt;7.5001)),"INCOMPATÍVEL — NCM 3808.62 exige emb. de 0,3 a 7,5kg/L (Emb. atual: "&amp;K53&amp;" "&amp;L53&amp;" -&gt; usar "&amp;Q53&amp;")",IF(AND(LEFT(E53,7)="3808.69",K53&gt;0,K53&lt;=7.5001),"INCOMPATÍVEL — NCM 3808.69 exige emb. &gt; 7,5kg/L (Emb. atual: "&amp;K53&amp;" "&amp;L53&amp;" -&gt; usar "&amp;Q53&amp;")",IF(AND(LEFT(Q53,6)="3808.6",LEFT(E53,6)&lt;&gt;"3808.6"),"INCOMPATÍVEL — Molécula Nota Subpos. 2 c/ emb. "&amp;K53&amp;" "&amp;L53&amp;" exige NCM "&amp;Q53,IF(AND(OR(E53="3808.91.19",E53="3808.92.19",E53="3808.93.19",E53="3808.99.19"),K53&gt;=1),"INCOMPATÍVEL — Subitem .19 (Domissanitário) vedado p/ emb. agrícola de "&amp;K53&amp;" "&amp;L53,IF(AND(E53="3105.10.00",K53&gt;10.0001),"INCOMPATÍVEL — NCM 3105.10.00 exige peso bruto &lt;= 10kg (Emb. atual: "&amp;K53&amp;" "&amp;L53&amp;" -&gt; usar 3105.90.90)",IF(AND(LEFT(E53,2)="29",LEFT(Q53,4)="3808",K53&gt;0),"INCOMPATÍVEL — Produto formulado em emb. comercial ("&amp;K53&amp;" "&amp;L53&amp;") vedado no Cap. 29 -&gt; usar "&amp;Q53,"CONFORME — Embalagem ("&amp;K53&amp;" "&amp;L53&amp;") compatível c/ a NCM"))))))))</f>
        <v/>
      </c>
      <c r="T53" s="17" t="str">
        <f aca="false">IF(B53="","",IF(IF(ISNUMBER(MATCH(A53,'4.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Produtos)'!$P$4:$P$848,IF(ISNUMBER(MATCH(A53,'4. Base Mestre (845 Produtos)'!$A$4:$A$848,0)),MATCH(A53,'4. Base Mestre (845 Produtos)'!$A$4:$A$848,0),IF(ISNUMBER(MATCH(B53,'4. Base Mestre (845 Produtos)'!$B$4:$B$848,0)),MATCH(B53,'4. Base Mestre (845 Produtos)'!$B$4:$B$848,0),0))),IF(ISNUMBER(MATCH(D53,'3. Dicionario Principios Ativos'!$A$4:$A$245,0)),INDEX('3. Dicionario Principios Ativos'!$K$4:$K$245,MATCH(D53,'3. Dicionario Principios Ativos'!$A$4:$A$245,0)),"VERIFICAR BULA")))</f>
        <v/>
      </c>
      <c r="U53" s="15" t="str">
        <f aca="false">IF(B53="","",IF(ISNUMBER(SEARCH("ISENTO",T53)),IF(OR(F53=0,F53="0",F53="ISENTO",F53=""),"CONFORME (DISPENSADO) — Isento pelo Ato SDA/MAPA nº 104/2017","INCORRETO — Produto isento de registro MAPA (usar 0 ou ISENTO)"),IF(ISNUMBER(SEARCH("SIPEAGRO",T53)),IF(ISNUMBER(SEARCH("-",F53)),"CONFORME — Registro SIPEAGRO ("&amp;F53&amp;") Preenchido","ADEQUAR P/ SIPEAGRO — Substituir 0 pelo Registro (UF-XXXXX-XXXXX.X)"),IF(ISNUMBER(SEARCH("VINCULAR",T53)),IF(AND(F53&lt;&gt;0,F53&lt;&gt;"0",F53&lt;&gt;""),"INCORRETO / TROCADO — Código "&amp;F53&amp;" pertence a outro produto (Vincular bula da marca)","VINCULAR MARCA — Cadastro de P.A. s/ marca fixa (Vincular registro na NF-e)"),IF(OR(F53=0,F53="0",F53=""),"AUSENTE (ZERO) — Preencher Registro Oficial MAPA nº "&amp;T53,IF(TEXT(F53,"0")=TEXT(T53,"0"),"CONFORME — Registro MAPA nº "&amp;T53&amp;" Validado na Bula","INCORRETO / TROCADO — Substituir "&amp;F53&amp;" pelo Registro Oficial nº "&amp;T53))))))</f>
        <v/>
      </c>
      <c r="V53" s="15" t="str">
        <f aca="false">IF(B53="","",IF(IF(ISNUMBER(MATCH(A53,'4.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Produtos)'!$S$4:$S$848,IF(ISNUMBER(MATCH(A53,'4. Base Mestre (845 Produtos)'!$A$4:$A$848,0)),MATCH(A53,'4. Base Mestre (845 Produtos)'!$A$4:$A$848,0),IF(ISNUMBER(MATCH(B53,'4. Base Mestre (845 Produtos)'!$B$4:$B$848,0)),MATCH(B53,'4. Base Mestre (845 Produtos)'!$B$4:$B$848,0),0))),IF(ISNUMBER(MATCH(D53,'3. Dicionario Principios Ativos'!$A$4:$A$245,0)),INDEX('3. Dicionario Principios Ativos'!$L$4:$L$245,MATCH(D53,'3. Dicionario Principios Ativos'!$A$4:$A$245,0)),"Verificar NCM")))</f>
        <v/>
      </c>
      <c r="W53" s="15" t="str">
        <f aca="false">IF(B53="","",IF(IF(ISNUMBER(MATCH(A53,'4. Base Mestre (845 Produtos)'!$A$4:$A$848,0)),MATCH(A53,'4. Base Mestre (845 Produtos)'!$A$4:$A$848,0),IF(ISNUMBER(MATCH(B53,'4. Base Mestre (845 Produtos)'!$B$4:$B$848,0)),MATCH(B53,'4. Base Mestre (845 Produtos)'!$B$4:$B$848,0),0))&gt;0,INDEX('4. Base Mestre (845 Produtos)'!$T$4:$T$848,IF(ISNUMBER(MATCH(A53,'4. Base Mestre (845 Produtos)'!$A$4:$A$848,0)),MATCH(A53,'4. Base Mestre (845 Produtos)'!$A$4:$A$848,0),IF(ISNUMBER(MATCH(B53,'4. Base Mestre (845 Produtos)'!$B$4:$B$848,0)),MATCH(B53,'4. Base Mestre (845 Produtos)'!$B$4:$B$848,0),0))),IF(ISNUMBER(MATCH(D53,'3. Dicionario Principios Ativos'!$A$4:$A$245,0)),INDEX('3. Dicionario Principios Ativos'!$M$4:$M$245,MATCH(D53,'3. Dicionario Principios Ativos'!$A$4:$A$245,0)),"Verificar CST")))</f>
        <v/>
      </c>
      <c r="X53" s="15" t="str">
        <f aca="false">IF(B53="","",IF(AND(LEFT(M53,8)="CONFORME",LEFT(P53,8)="CONFORME",LEFT(R53,8)="CONFORME",LEFT(S53,8)="CONFORME",LEFT(U53,8)="CONFORME"),"CADASTRO 100% CONFORME — LIBERADO P/ ERP",IF(AND(LEFT(M53,8)="CONFORME",LEFT(P53,8)="CONFORME",LEFT(R53,8)="CONFORME",LEFT(S53,8)="CONFORME",OR(LEFT(U53,7)="ADEQUAR",LEFT(U53,8)="VINCULAR")),"FISCAL E EMBALAGEM OK — ADEQUAR CAMPO MAPA (SIPEAGRO / MARCA)","BLOQUEADO — CORRIGIR DIVERGÊNCIAS APONTADAS ANTES DE LIBERAR NO ERP")))</f>
        <v/>
      </c>
    </row>
    <row r="54" customFormat="false" ht="19.5" hidden="false" customHeight="true" outlineLevel="0" collapsed="false">
      <c r="A54" s="12"/>
      <c r="B54" s="13"/>
      <c r="C54" s="12"/>
      <c r="D54" s="13"/>
      <c r="E54" s="12"/>
      <c r="F54" s="12"/>
      <c r="G54" s="14"/>
      <c r="H54" s="13" t="s">
        <v>166</v>
      </c>
      <c r="I54" s="20" t="str">
        <f aca="false">IF(B54="","",IF(ISNUMBER(MATCH(A54,'4. Base Mestre (845 Produtos)'!$A$4:$A$848,0)),"Localizado por Código ("&amp;A54&amp;") na Base Mestre",IF(ISNUMBER(MATCH(B54,'4. Base Mestre (845 Produtos)'!$B$4:$B$848,0)),"Localizado por Descrição na Base Mestre",IF(ISNUMBER(MATCH(D54,'3. Dicionario Principios Ativos'!$A$4:$A$245,0)),"Produto Novo — Validado pelo Dicionário de P.A.","Não Localizado — Revisar Código/P.A."))))</f>
        <v/>
      </c>
      <c r="J54" s="20" t="str">
        <f aca="false">IF(B54="","",IF(IF(ISNUMBER(MATCH(A54,'4.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Produtos)'!$I$4:$I$848,IF(ISNUMBER(MATCH(A54,'4. Base Mestre (845 Produtos)'!$A$4:$A$848,0)),MATCH(A54,'4. Base Mestre (845 Produtos)'!$A$4:$A$848,0),IF(ISNUMBER(MATCH(B54,'4. Base Mestre (845 Produtos)'!$B$4:$B$848,0)),MATCH(B54,'4. Base Mestre (845 Produtos)'!$B$4:$B$848,0),0))),IF(ISNUMBER(MATCH(D54,'3. Dicionario Principios Ativos'!$A$4:$A$245,0)),INDEX('3. Dicionario Principios Ativos'!$B$4:$B$245,MATCH(D54,'3. Dicionario Principios Ativos'!$A$4:$A$245,0)),"Revisar Classificação")))</f>
        <v/>
      </c>
      <c r="K54" s="21" t="str">
        <f aca="false">IF(B54="","",IF(G54&lt;&gt;"",G54,IF(OR(ISNUMBER(SEARCH("PRINCIPIO ATIVO",B54)),ISNUMBER(SEARCH("PRINC. ATIVO",B54)),ISNUMBER(SEARCH("PR. ATIVO",B54)),ISNUMBER(SEARCH("PR.AT.",B54)),ISNUMBER(SEARCH("(P.A",B54)),ISNUMBER(SEARCH("(P. A",B54))),0,IF(OR(ISNUMBER(SEARCH("0,100KG",B54)),ISNUMBER(SEARCH("0,1KG",B54)),ISNUMBER(SEARCH("0,100L",B54))),0.1,IF(OR(ISNUMBER(SEARCH("0,200L",B54)),ISNUMBER(SEARCH("0,2L",B54)),ISNUMBER(SEARCH("0,200KG",B54)),ISNUMBER(SEARCH("0,2KG",B54))),0.2,IF(OR(ISNUMBER(SEARCH("0,240KG",B54)),ISNUMBER(SEARCH("0,250L",B54))),0.24,IF(OR(ISNUMBER(SEARCH("0,300KG",B54)),ISNUMBER(SEARCH("0,3KG",B54))),0.3,IF(OR(ISNUMBER(SEARCH("0,500L",B54)),ISNUMBER(SEARCH("0,5L",B54)),ISNUMBER(SEARCH("0,5KG",B54))),0.5,IF(ISNUMBER(SEARCH("0,8KG",B54)),0.8,IF(OR(ISNUMBER(SEARCH("1,5L",B54)),ISNUMBER(SEARCH("1,5KG",B54))),1.5,IF(OR(ISNUMBER(SEARCH("1,75L",B54)),ISNUMBER(SEARCH("1,8L",B54)),ISNUMBER(SEARCH("1.8L",B54))),1.8,IF(ISNUMBER(SEARCH("4,5KG",B54)),4.5,IF(ISNUMBER(SEARCH("7,5KG",B54)),7.5,IF(OR(ISNUMBER(SEARCH("1000L",B54)),ISNUMBER(SEARCH("1000KG",B54)),ISNUMBER(SEARCH("1.000KG",B54)),ISNUMBER(SEARCH("1.000L",B54)),ISNUMBER(SEARCH("1000 KG",B54)),ISNUMBER(SEARCH("GRANEL",B54)),ISNUMBER(SEARCH("(TON)",B54))),1000,IF(ISNUMBER(SEARCH("200L",B54)),200,IF(OR(ISNUMBER(SEARCH("25KG",B54)),ISNUMBER(SEARCH("25L",B54))),25,IF(OR(ISNUMBER(SEARCH("20L",B54)),ISNUMBER(SEARCH("20KG",B54))),20,IF(ISNUMBER(SEARCH("15KG",B54)),15,IF(OR(ISNUMBER(SEARCH("10L",B54)),ISNUMBER(SEARCH("10KG",B54))),10,IF(OR(ISNUMBER(SEARCH("5L",B54)),ISNUMBER(SEARCH("5KG",B54)),ISNUMBER(SEARCH("5LT",B54))),5,IF(OR(ISNUMBER(SEARCH("3KG",B54)),ISNUMBER(SEARCH("3L",B54))),3,IF(OR(ISNUMBER(SEARCH("2L",B54)),ISNUMBER(SEARCH("2KG",B54))),2,IF(OR(ISNUMBER(SEARCH("1L",B54)),ISNUMBER(SEARCH("1KG",B54)),ISNUMBER(SEARCH("1LT",B54))),1,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Produtos)'!$D$4:$D$848,IF(ISNUMBER(MATCH(A54,'4. Base Mestre (845 Produtos)'!$A$4:$A$848,0)),MATCH(A54,'4. Base Mestre (845 Produtos)'!$A$4:$A$848,0),IF(ISNUMBER(MATCH(B54,'4. Base Mestre (845 Produtos)'!$B$4:$B$848,0)),MATCH(B54,'4. Base Mestre (845 Produtos)'!$B$4:$B$848,0),0))),1))))))))))))))))))))))))</f>
        <v/>
      </c>
      <c r="L54" s="22" t="str">
        <f aca="false">IF(B54="","",IF(OR(ISNUMBER(SEARCH("KG",B54)),ISNUMBER(SEARCH("GR",B54))),"KG",IF(OR(ISNUMBER(SEARCH("0,200L",B54)),ISNUMBER(SEARCH("0,2L",B54)),ISNUMBER(SEARCH("0,5L",B54)),ISNUMBER(SEARCH("1,5L",B54)),ISNUMBER(SEARCH("1,8L",B54)),ISNUMBER(SEARCH("1.8L",B54)),ISNUMBER(SEARCH("1L",B54)),ISNUMBER(SEARCH("2L",B54)),ISNUMBER(SEARCH("3L",B54)),ISNUMBER(SEARCH("5L",B54)),ISNUMBER(SEARCH("10L",B54)),ISNUMBER(SEARCH("20L",B54)),ISNUMBER(SEARCH("25L",B54)),ISNUMBER(SEARCH("200L",B54)),ISNUMBER(SEARCH("1000L",B54)),ISNUMBER(SEARCH("LT",B54))),"L",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Produtos)'!$E$4:$E$848,IF(ISNUMBER(MATCH(A54,'4. Base Mestre (845 Produtos)'!$A$4:$A$848,0)),MATCH(A54,'4. Base Mestre (845 Produtos)'!$A$4:$A$848,0),IF(ISNUMBER(MATCH(B54,'4. Base Mestre (845 Produtos)'!$B$4:$B$848,0)),MATCH(B54,'4. Base Mestre (845 Produtos)'!$B$4:$B$848,0),0))),C54))))</f>
        <v/>
      </c>
      <c r="M54" s="20" t="str">
        <f aca="false">IF(B54="","",IF(C54=L54,"CONFORME — Unidade ("&amp;C54&amp;") compatível c/ Embalagem","DIVERGENTE — Embalagem em "&amp;L54&amp;", mas cadastrado em "&amp;C54))</f>
        <v/>
      </c>
      <c r="N54" s="20" t="str">
        <f aca="false">IF(B54="","",IF(K54=0,"Granel / Produto Técnico (Sem Embalagem Comercial)",IF(K54&lt;=0.3001,"Faixa 1 TIPI: Até 300g/mL (3808.61.00 / 3105.10.00)",IF(K54&lt;=7.5001,"Faixa 2 TIPI: De 300g a 7,5kg/L (3808.62.90 / 3105.10.00)",IF(K54&lt;=10.0001,"Faixa 3 TIPI: De 7,5kg a 10kg/L (3808.69.90 / 3105.10.00)","Faixa 4 TIPI: Acima de 10kg/L (3808.69.90 / Cap. 31 Geral)")))))</f>
        <v/>
      </c>
      <c r="O54" s="20" t="str">
        <f aca="false">IF(B54="","",IF(IF(ISNUMBER(MATCH(A54,'4.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Produtos)'!$H$4:$H$848,IF(ISNUMBER(MATCH(A54,'4. Base Mestre (845 Produtos)'!$A$4:$A$848,0)),MATCH(A54,'4. Base Mestre (845 Produtos)'!$A$4:$A$848,0),IF(ISNUMBER(MATCH(B54,'4. Base Mestre (845 Produtos)'!$B$4:$B$848,0)),MATCH(B54,'4. Base Mestre (845 Produtos)'!$B$4:$B$848,0),0))),IF(ISNUMBER(MATCH(D54,'3. Dicionario Principios Ativos'!$A$4:$A$245,0)),INDEX('3. Dicionario Principios Ativos'!$A$4:$A$245,MATCH(D54,'3. Dicionario Principios Ativos'!$A$4:$A$245,0)),D54)))</f>
        <v/>
      </c>
      <c r="P54" s="20" t="str">
        <f aca="false">IF(B54="","",IF(D54=O54,"CONFORME — Princípio Ativo Validado","DIVERGENTE — Substituir por: "&amp;O54))</f>
        <v/>
      </c>
      <c r="Q54" s="22" t="str">
        <f aca="false">IF(B54="","",IF(IF(IF(ISNUMBER(MATCH(A54,'4.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Produtos)'!$J$4:$J$848,IF(ISNUMBER(MATCH(A54,'4. Base Mestre (845 Produtos)'!$A$4:$A$848,0)),MATCH(A54,'4. Base Mestre (845 Produtos)'!$A$4:$A$848,0),IF(ISNUMBER(MATCH(B54,'4. Base Mestre (845 Produtos)'!$B$4:$B$848,0)),MATCH(B54,'4. Base Mestre (845 Produtos)'!$B$4:$B$848,0),0)))="SIM",IF(ISNUMBER(MATCH(D54,'3. Dicionario Principios Ativos'!$A$4:$A$245,0)),INDEX('3. Dicionario Principios Ativos'!$C$4:$C$245,MATCH(D54,'3. Dicionario Principios Ativos'!$A$4:$A$245,0))="SIM",FALSE())),IF(AND(K54&gt;0,K54&lt;=0.3001),"3808.61.00",IF(AND(K54&gt;0.3001,K54&lt;=7.5001),"3808.62.90","3808.69.90")),IF(AND(LEFT(IF(IF(ISNUMBER(MATCH(A54,'4.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Produtos)'!$L$4:$L$848,IF(ISNUMBER(MATCH(A54,'4. Base Mestre (845 Produtos)'!$A$4:$A$848,0)),MATCH(A54,'4. Base Mestre (845 Produtos)'!$A$4:$A$848,0),IF(ISNUMBER(MATCH(B54,'4. Base Mestre (845 Produtos)'!$B$4:$B$848,0)),MATCH(B54,'4. Base Mestre (845 Produtos)'!$B$4:$B$848,0),0))),IF(ISNUMBER(MATCH(D54,'3. Dicionario Principios Ativos'!$A$4:$A$245,0)),INDEX('3. Dicionario Principios Ativos'!$D$4:$D$245,MATCH(D54,'3. Dicionario Principios Ativos'!$A$4:$A$245,0)),E54)),2)="31",E54="3105.10.00",K54&gt;0,K54&lt;=10.0001),"3105.10.00",IF(AND(IF(IF(ISNUMBER(MATCH(A54,'4.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Produtos)'!$L$4:$L$848,IF(ISNUMBER(MATCH(A54,'4. Base Mestre (845 Produtos)'!$A$4:$A$848,0)),MATCH(A54,'4. Base Mestre (845 Produtos)'!$A$4:$A$848,0),IF(ISNUMBER(MATCH(B54,'4. Base Mestre (845 Produtos)'!$B$4:$B$848,0)),MATCH(B54,'4. Base Mestre (845 Produtos)'!$B$4:$B$848,0),0))),IF(ISNUMBER(MATCH(D54,'3. Dicionario Principios Ativos'!$A$4:$A$245,0)),INDEX('3. Dicionario Principios Ativos'!$D$4:$D$245,MATCH(D54,'3. Dicionario Principios Ativos'!$A$4:$A$245,0)),E54))="3105.10.00",K54&gt;10.0001),"3105.90.90",IF(IF(ISNUMBER(MATCH(A54,'4.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Produtos)'!$L$4:$L$848,IF(ISNUMBER(MATCH(A54,'4. Base Mestre (845 Produtos)'!$A$4:$A$848,0)),MATCH(A54,'4. Base Mestre (845 Produtos)'!$A$4:$A$848,0),IF(ISNUMBER(MATCH(B54,'4. Base Mestre (845 Produtos)'!$B$4:$B$848,0)),MATCH(B54,'4. Base Mestre (845 Produtos)'!$B$4:$B$848,0),0))),IF(ISNUMBER(MATCH(D54,'3. Dicionario Principios Ativos'!$A$4:$A$245,0)),INDEX('3. Dicionario Principios Ativos'!$D$4:$D$245,MATCH(D54,'3. Dicionario Principios Ativos'!$A$4:$A$245,0)),E54))))))</f>
        <v/>
      </c>
      <c r="R54" s="20" t="str">
        <f aca="false">IF(B54="","",IF(OR(E54=Q54,AND(Q54="3002.49.99",E54="3002.90.00")),"CONFORME — NCM "&amp;E54&amp;" Correta na TIPI","DIVERGENTE — Substituir "&amp;E54&amp;" por "&amp;Q54))</f>
        <v/>
      </c>
      <c r="S54" s="20" t="str">
        <f aca="false">IF(B54="","",IF(AND(E54="3808.61.00",OR(K54&gt;0.3001,K54=0)),"INCOMPATÍVEL — NCM 3808.61.00 exige emb. &lt;= 0,3kg/L (Emb. atual: "&amp;K54&amp;" "&amp;L54&amp;" -&gt; usar "&amp;Q54&amp;")",IF(AND(LEFT(E54,7)="3808.62",OR(K54&lt;=0.3001,K54&gt;7.5001)),"INCOMPATÍVEL — NCM 3808.62 exige emb. de 0,3 a 7,5kg/L (Emb. atual: "&amp;K54&amp;" "&amp;L54&amp;" -&gt; usar "&amp;Q54&amp;")",IF(AND(LEFT(E54,7)="3808.69",K54&gt;0,K54&lt;=7.5001),"INCOMPATÍVEL — NCM 3808.69 exige emb. &gt; 7,5kg/L (Emb. atual: "&amp;K54&amp;" "&amp;L54&amp;" -&gt; usar "&amp;Q54&amp;")",IF(AND(LEFT(Q54,6)="3808.6",LEFT(E54,6)&lt;&gt;"3808.6"),"INCOMPATÍVEL — Molécula Nota Subpos. 2 c/ emb. "&amp;K54&amp;" "&amp;L54&amp;" exige NCM "&amp;Q54,IF(AND(OR(E54="3808.91.19",E54="3808.92.19",E54="3808.93.19",E54="3808.99.19"),K54&gt;=1),"INCOMPATÍVEL — Subitem .19 (Domissanitário) vedado p/ emb. agrícola de "&amp;K54&amp;" "&amp;L54,IF(AND(E54="3105.10.00",K54&gt;10.0001),"INCOMPATÍVEL — NCM 3105.10.00 exige peso bruto &lt;= 10kg (Emb. atual: "&amp;K54&amp;" "&amp;L54&amp;" -&gt; usar 3105.90.90)",IF(AND(LEFT(E54,2)="29",LEFT(Q54,4)="3808",K54&gt;0),"INCOMPATÍVEL — Produto formulado em emb. comercial ("&amp;K54&amp;" "&amp;L54&amp;") vedado no Cap. 29 -&gt; usar "&amp;Q54,"CONFORME — Embalagem ("&amp;K54&amp;" "&amp;L54&amp;") compatível c/ a NCM"))))))))</f>
        <v/>
      </c>
      <c r="T54" s="22" t="str">
        <f aca="false">IF(B54="","",IF(IF(ISNUMBER(MATCH(A54,'4.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Produtos)'!$P$4:$P$848,IF(ISNUMBER(MATCH(A54,'4. Base Mestre (845 Produtos)'!$A$4:$A$848,0)),MATCH(A54,'4. Base Mestre (845 Produtos)'!$A$4:$A$848,0),IF(ISNUMBER(MATCH(B54,'4. Base Mestre (845 Produtos)'!$B$4:$B$848,0)),MATCH(B54,'4. Base Mestre (845 Produtos)'!$B$4:$B$848,0),0))),IF(ISNUMBER(MATCH(D54,'3. Dicionario Principios Ativos'!$A$4:$A$245,0)),INDEX('3. Dicionario Principios Ativos'!$K$4:$K$245,MATCH(D54,'3. Dicionario Principios Ativos'!$A$4:$A$245,0)),"VERIFICAR BULA")))</f>
        <v/>
      </c>
      <c r="U54" s="20" t="str">
        <f aca="false">IF(B54="","",IF(ISNUMBER(SEARCH("ISENTO",T54)),IF(OR(F54=0,F54="0",F54="ISENTO",F54=""),"CONFORME (DISPENSADO) — Isento pelo Ato SDA/MAPA nº 104/2017","INCORRETO — Produto isento de registro MAPA (usar 0 ou ISENTO)"),IF(ISNUMBER(SEARCH("SIPEAGRO",T54)),IF(ISNUMBER(SEARCH("-",F54)),"CONFORME — Registro SIPEAGRO ("&amp;F54&amp;") Preenchido","ADEQUAR P/ SIPEAGRO — Substituir 0 pelo Registro (UF-XXXXX-XXXXX.X)"),IF(ISNUMBER(SEARCH("VINCULAR",T54)),IF(AND(F54&lt;&gt;0,F54&lt;&gt;"0",F54&lt;&gt;""),"INCORRETO / TROCADO — Código "&amp;F54&amp;" pertence a outro produto (Vincular bula da marca)","VINCULAR MARCA — Cadastro de P.A. s/ marca fixa (Vincular registro na NF-e)"),IF(OR(F54=0,F54="0",F54=""),"AUSENTE (ZERO) — Preencher Registro Oficial MAPA nº "&amp;T54,IF(TEXT(F54,"0")=TEXT(T54,"0"),"CONFORME — Registro MAPA nº "&amp;T54&amp;" Validado na Bula","INCORRETO / TROCADO — Substituir "&amp;F54&amp;" pelo Registro Oficial nº "&amp;T54))))))</f>
        <v/>
      </c>
      <c r="V54" s="20" t="str">
        <f aca="false">IF(B54="","",IF(IF(ISNUMBER(MATCH(A54,'4.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Produtos)'!$S$4:$S$848,IF(ISNUMBER(MATCH(A54,'4. Base Mestre (845 Produtos)'!$A$4:$A$848,0)),MATCH(A54,'4. Base Mestre (845 Produtos)'!$A$4:$A$848,0),IF(ISNUMBER(MATCH(B54,'4. Base Mestre (845 Produtos)'!$B$4:$B$848,0)),MATCH(B54,'4. Base Mestre (845 Produtos)'!$B$4:$B$848,0),0))),IF(ISNUMBER(MATCH(D54,'3. Dicionario Principios Ativos'!$A$4:$A$245,0)),INDEX('3. Dicionario Principios Ativos'!$L$4:$L$245,MATCH(D54,'3. Dicionario Principios Ativos'!$A$4:$A$245,0)),"Verificar NCM")))</f>
        <v/>
      </c>
      <c r="W54" s="20" t="str">
        <f aca="false">IF(B54="","",IF(IF(ISNUMBER(MATCH(A54,'4. Base Mestre (845 Produtos)'!$A$4:$A$848,0)),MATCH(A54,'4. Base Mestre (845 Produtos)'!$A$4:$A$848,0),IF(ISNUMBER(MATCH(B54,'4. Base Mestre (845 Produtos)'!$B$4:$B$848,0)),MATCH(B54,'4. Base Mestre (845 Produtos)'!$B$4:$B$848,0),0))&gt;0,INDEX('4. Base Mestre (845 Produtos)'!$T$4:$T$848,IF(ISNUMBER(MATCH(A54,'4. Base Mestre (845 Produtos)'!$A$4:$A$848,0)),MATCH(A54,'4. Base Mestre (845 Produtos)'!$A$4:$A$848,0),IF(ISNUMBER(MATCH(B54,'4. Base Mestre (845 Produtos)'!$B$4:$B$848,0)),MATCH(B54,'4. Base Mestre (845 Produtos)'!$B$4:$B$848,0),0))),IF(ISNUMBER(MATCH(D54,'3. Dicionario Principios Ativos'!$A$4:$A$245,0)),INDEX('3. Dicionario Principios Ativos'!$M$4:$M$245,MATCH(D54,'3. Dicionario Principios Ativos'!$A$4:$A$245,0)),"Verificar CST")))</f>
        <v/>
      </c>
      <c r="X54" s="20" t="str">
        <f aca="false">IF(B54="","",IF(AND(LEFT(M54,8)="CONFORME",LEFT(P54,8)="CONFORME",LEFT(R54,8)="CONFORME",LEFT(S54,8)="CONFORME",LEFT(U54,8)="CONFORME"),"CADASTRO 100% CONFORME — LIBERADO P/ ERP",IF(AND(LEFT(M54,8)="CONFORME",LEFT(P54,8)="CONFORME",LEFT(R54,8)="CONFORME",LEFT(S54,8)="CONFORME",OR(LEFT(U54,7)="ADEQUAR",LEFT(U54,8)="VINCULAR")),"FISCAL E EMBALAGEM OK — ADEQUAR CAMPO MAPA (SIPEAGRO / MARCA)","BLOQUEADO — CORRIGIR DIVERGÊNCIAS APONTADAS ANTES DE LIBERAR NO ERP")))</f>
        <v/>
      </c>
    </row>
    <row r="55" customFormat="false" ht="19.5" hidden="false" customHeight="true" outlineLevel="0" collapsed="false">
      <c r="A55" s="12"/>
      <c r="B55" s="13"/>
      <c r="C55" s="12"/>
      <c r="D55" s="13"/>
      <c r="E55" s="12"/>
      <c r="F55" s="12"/>
      <c r="G55" s="14"/>
      <c r="H55" s="13" t="s">
        <v>166</v>
      </c>
      <c r="I55" s="15" t="str">
        <f aca="false">IF(B55="","",IF(ISNUMBER(MATCH(A55,'4. Base Mestre (845 Produtos)'!$A$4:$A$848,0)),"Localizado por Código ("&amp;A55&amp;") na Base Mestre",IF(ISNUMBER(MATCH(B55,'4. Base Mestre (845 Produtos)'!$B$4:$B$848,0)),"Localizado por Descrição na Base Mestre",IF(ISNUMBER(MATCH(D55,'3. Dicionario Principios Ativos'!$A$4:$A$245,0)),"Produto Novo — Validado pelo Dicionário de P.A.","Não Localizado — Revisar Código/P.A."))))</f>
        <v/>
      </c>
      <c r="J55" s="15" t="str">
        <f aca="false">IF(B55="","",IF(IF(ISNUMBER(MATCH(A55,'4.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Produtos)'!$I$4:$I$848,IF(ISNUMBER(MATCH(A55,'4. Base Mestre (845 Produtos)'!$A$4:$A$848,0)),MATCH(A55,'4. Base Mestre (845 Produtos)'!$A$4:$A$848,0),IF(ISNUMBER(MATCH(B55,'4. Base Mestre (845 Produtos)'!$B$4:$B$848,0)),MATCH(B55,'4. Base Mestre (845 Produtos)'!$B$4:$B$848,0),0))),IF(ISNUMBER(MATCH(D55,'3. Dicionario Principios Ativos'!$A$4:$A$245,0)),INDEX('3. Dicionario Principios Ativos'!$B$4:$B$245,MATCH(D55,'3. Dicionario Principios Ativos'!$A$4:$A$245,0)),"Revisar Classificação")))</f>
        <v/>
      </c>
      <c r="K55" s="16" t="str">
        <f aca="false">IF(B55="","",IF(G55&lt;&gt;"",G55,IF(OR(ISNUMBER(SEARCH("PRINCIPIO ATIVO",B55)),ISNUMBER(SEARCH("PRINC. ATIVO",B55)),ISNUMBER(SEARCH("PR. ATIVO",B55)),ISNUMBER(SEARCH("PR.AT.",B55)),ISNUMBER(SEARCH("(P.A",B55)),ISNUMBER(SEARCH("(P. A",B55))),0,IF(OR(ISNUMBER(SEARCH("0,100KG",B55)),ISNUMBER(SEARCH("0,1KG",B55)),ISNUMBER(SEARCH("0,100L",B55))),0.1,IF(OR(ISNUMBER(SEARCH("0,200L",B55)),ISNUMBER(SEARCH("0,2L",B55)),ISNUMBER(SEARCH("0,200KG",B55)),ISNUMBER(SEARCH("0,2KG",B55))),0.2,IF(OR(ISNUMBER(SEARCH("0,240KG",B55)),ISNUMBER(SEARCH("0,250L",B55))),0.24,IF(OR(ISNUMBER(SEARCH("0,300KG",B55)),ISNUMBER(SEARCH("0,3KG",B55))),0.3,IF(OR(ISNUMBER(SEARCH("0,500L",B55)),ISNUMBER(SEARCH("0,5L",B55)),ISNUMBER(SEARCH("0,5KG",B55))),0.5,IF(ISNUMBER(SEARCH("0,8KG",B55)),0.8,IF(OR(ISNUMBER(SEARCH("1,5L",B55)),ISNUMBER(SEARCH("1,5KG",B55))),1.5,IF(OR(ISNUMBER(SEARCH("1,75L",B55)),ISNUMBER(SEARCH("1,8L",B55)),ISNUMBER(SEARCH("1.8L",B55))),1.8,IF(ISNUMBER(SEARCH("4,5KG",B55)),4.5,IF(ISNUMBER(SEARCH("7,5KG",B55)),7.5,IF(OR(ISNUMBER(SEARCH("1000L",B55)),ISNUMBER(SEARCH("1000KG",B55)),ISNUMBER(SEARCH("1.000KG",B55)),ISNUMBER(SEARCH("1.000L",B55)),ISNUMBER(SEARCH("1000 KG",B55)),ISNUMBER(SEARCH("GRANEL",B55)),ISNUMBER(SEARCH("(TON)",B55))),1000,IF(ISNUMBER(SEARCH("200L",B55)),200,IF(OR(ISNUMBER(SEARCH("25KG",B55)),ISNUMBER(SEARCH("25L",B55))),25,IF(OR(ISNUMBER(SEARCH("20L",B55)),ISNUMBER(SEARCH("20KG",B55))),20,IF(ISNUMBER(SEARCH("15KG",B55)),15,IF(OR(ISNUMBER(SEARCH("10L",B55)),ISNUMBER(SEARCH("10KG",B55))),10,IF(OR(ISNUMBER(SEARCH("5L",B55)),ISNUMBER(SEARCH("5KG",B55)),ISNUMBER(SEARCH("5LT",B55))),5,IF(OR(ISNUMBER(SEARCH("3KG",B55)),ISNUMBER(SEARCH("3L",B55))),3,IF(OR(ISNUMBER(SEARCH("2L",B55)),ISNUMBER(SEARCH("2KG",B55))),2,IF(OR(ISNUMBER(SEARCH("1L",B55)),ISNUMBER(SEARCH("1KG",B55)),ISNUMBER(SEARCH("1LT",B55))),1,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Produtos)'!$D$4:$D$848,IF(ISNUMBER(MATCH(A55,'4. Base Mestre (845 Produtos)'!$A$4:$A$848,0)),MATCH(A55,'4. Base Mestre (845 Produtos)'!$A$4:$A$848,0),IF(ISNUMBER(MATCH(B55,'4. Base Mestre (845 Produtos)'!$B$4:$B$848,0)),MATCH(B55,'4. Base Mestre (845 Produtos)'!$B$4:$B$848,0),0))),1))))))))))))))))))))))))</f>
        <v/>
      </c>
      <c r="L55" s="17" t="str">
        <f aca="false">IF(B55="","",IF(OR(ISNUMBER(SEARCH("KG",B55)),ISNUMBER(SEARCH("GR",B55))),"KG",IF(OR(ISNUMBER(SEARCH("0,200L",B55)),ISNUMBER(SEARCH("0,2L",B55)),ISNUMBER(SEARCH("0,5L",B55)),ISNUMBER(SEARCH("1,5L",B55)),ISNUMBER(SEARCH("1,8L",B55)),ISNUMBER(SEARCH("1.8L",B55)),ISNUMBER(SEARCH("1L",B55)),ISNUMBER(SEARCH("2L",B55)),ISNUMBER(SEARCH("3L",B55)),ISNUMBER(SEARCH("5L",B55)),ISNUMBER(SEARCH("10L",B55)),ISNUMBER(SEARCH("20L",B55)),ISNUMBER(SEARCH("25L",B55)),ISNUMBER(SEARCH("200L",B55)),ISNUMBER(SEARCH("1000L",B55)),ISNUMBER(SEARCH("LT",B55))),"L",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Produtos)'!$E$4:$E$848,IF(ISNUMBER(MATCH(A55,'4. Base Mestre (845 Produtos)'!$A$4:$A$848,0)),MATCH(A55,'4. Base Mestre (845 Produtos)'!$A$4:$A$848,0),IF(ISNUMBER(MATCH(B55,'4. Base Mestre (845 Produtos)'!$B$4:$B$848,0)),MATCH(B55,'4. Base Mestre (845 Produtos)'!$B$4:$B$848,0),0))),C55))))</f>
        <v/>
      </c>
      <c r="M55" s="15" t="str">
        <f aca="false">IF(B55="","",IF(C55=L55,"CONFORME — Unidade ("&amp;C55&amp;") compatível c/ Embalagem","DIVERGENTE — Embalagem em "&amp;L55&amp;", mas cadastrado em "&amp;C55))</f>
        <v/>
      </c>
      <c r="N55" s="15" t="str">
        <f aca="false">IF(B55="","",IF(K55=0,"Granel / Produto Técnico (Sem Embalagem Comercial)",IF(K55&lt;=0.3001,"Faixa 1 TIPI: Até 300g/mL (3808.61.00 / 3105.10.00)",IF(K55&lt;=7.5001,"Faixa 2 TIPI: De 300g a 7,5kg/L (3808.62.90 / 3105.10.00)",IF(K55&lt;=10.0001,"Faixa 3 TIPI: De 7,5kg a 10kg/L (3808.69.90 / 3105.10.00)","Faixa 4 TIPI: Acima de 10kg/L (3808.69.90 / Cap. 31 Geral)")))))</f>
        <v/>
      </c>
      <c r="O55" s="15" t="str">
        <f aca="false">IF(B55="","",IF(IF(ISNUMBER(MATCH(A55,'4.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Produtos)'!$H$4:$H$848,IF(ISNUMBER(MATCH(A55,'4. Base Mestre (845 Produtos)'!$A$4:$A$848,0)),MATCH(A55,'4. Base Mestre (845 Produtos)'!$A$4:$A$848,0),IF(ISNUMBER(MATCH(B55,'4. Base Mestre (845 Produtos)'!$B$4:$B$848,0)),MATCH(B55,'4. Base Mestre (845 Produtos)'!$B$4:$B$848,0),0))),IF(ISNUMBER(MATCH(D55,'3. Dicionario Principios Ativos'!$A$4:$A$245,0)),INDEX('3. Dicionario Principios Ativos'!$A$4:$A$245,MATCH(D55,'3. Dicionario Principios Ativos'!$A$4:$A$245,0)),D55)))</f>
        <v/>
      </c>
      <c r="P55" s="15" t="str">
        <f aca="false">IF(B55="","",IF(D55=O55,"CONFORME — Princípio Ativo Validado","DIVERGENTE — Substituir por: "&amp;O55))</f>
        <v/>
      </c>
      <c r="Q55" s="17" t="str">
        <f aca="false">IF(B55="","",IF(IF(IF(ISNUMBER(MATCH(A55,'4.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Produtos)'!$J$4:$J$848,IF(ISNUMBER(MATCH(A55,'4. Base Mestre (845 Produtos)'!$A$4:$A$848,0)),MATCH(A55,'4. Base Mestre (845 Produtos)'!$A$4:$A$848,0),IF(ISNUMBER(MATCH(B55,'4. Base Mestre (845 Produtos)'!$B$4:$B$848,0)),MATCH(B55,'4. Base Mestre (845 Produtos)'!$B$4:$B$848,0),0)))="SIM",IF(ISNUMBER(MATCH(D55,'3. Dicionario Principios Ativos'!$A$4:$A$245,0)),INDEX('3. Dicionario Principios Ativos'!$C$4:$C$245,MATCH(D55,'3. Dicionario Principios Ativos'!$A$4:$A$245,0))="SIM",FALSE())),IF(AND(K55&gt;0,K55&lt;=0.3001),"3808.61.00",IF(AND(K55&gt;0.3001,K55&lt;=7.5001),"3808.62.90","3808.69.90")),IF(AND(LEFT(IF(IF(ISNUMBER(MATCH(A55,'4.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Produtos)'!$L$4:$L$848,IF(ISNUMBER(MATCH(A55,'4. Base Mestre (845 Produtos)'!$A$4:$A$848,0)),MATCH(A55,'4. Base Mestre (845 Produtos)'!$A$4:$A$848,0),IF(ISNUMBER(MATCH(B55,'4. Base Mestre (845 Produtos)'!$B$4:$B$848,0)),MATCH(B55,'4. Base Mestre (845 Produtos)'!$B$4:$B$848,0),0))),IF(ISNUMBER(MATCH(D55,'3. Dicionario Principios Ativos'!$A$4:$A$245,0)),INDEX('3. Dicionario Principios Ativos'!$D$4:$D$245,MATCH(D55,'3. Dicionario Principios Ativos'!$A$4:$A$245,0)),E55)),2)="31",E55="3105.10.00",K55&gt;0,K55&lt;=10.0001),"3105.10.00",IF(AND(IF(IF(ISNUMBER(MATCH(A55,'4.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Produtos)'!$L$4:$L$848,IF(ISNUMBER(MATCH(A55,'4. Base Mestre (845 Produtos)'!$A$4:$A$848,0)),MATCH(A55,'4. Base Mestre (845 Produtos)'!$A$4:$A$848,0),IF(ISNUMBER(MATCH(B55,'4. Base Mestre (845 Produtos)'!$B$4:$B$848,0)),MATCH(B55,'4. Base Mestre (845 Produtos)'!$B$4:$B$848,0),0))),IF(ISNUMBER(MATCH(D55,'3. Dicionario Principios Ativos'!$A$4:$A$245,0)),INDEX('3. Dicionario Principios Ativos'!$D$4:$D$245,MATCH(D55,'3. Dicionario Principios Ativos'!$A$4:$A$245,0)),E55))="3105.10.00",K55&gt;10.0001),"3105.90.90",IF(IF(ISNUMBER(MATCH(A55,'4.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Produtos)'!$L$4:$L$848,IF(ISNUMBER(MATCH(A55,'4. Base Mestre (845 Produtos)'!$A$4:$A$848,0)),MATCH(A55,'4. Base Mestre (845 Produtos)'!$A$4:$A$848,0),IF(ISNUMBER(MATCH(B55,'4. Base Mestre (845 Produtos)'!$B$4:$B$848,0)),MATCH(B55,'4. Base Mestre (845 Produtos)'!$B$4:$B$848,0),0))),IF(ISNUMBER(MATCH(D55,'3. Dicionario Principios Ativos'!$A$4:$A$245,0)),INDEX('3. Dicionario Principios Ativos'!$D$4:$D$245,MATCH(D55,'3. Dicionario Principios Ativos'!$A$4:$A$245,0)),E55))))))</f>
        <v/>
      </c>
      <c r="R55" s="15" t="str">
        <f aca="false">IF(B55="","",IF(OR(E55=Q55,AND(Q55="3002.49.99",E55="3002.90.00")),"CONFORME — NCM "&amp;E55&amp;" Correta na TIPI","DIVERGENTE — Substituir "&amp;E55&amp;" por "&amp;Q55))</f>
        <v/>
      </c>
      <c r="S55" s="15" t="str">
        <f aca="false">IF(B55="","",IF(AND(E55="3808.61.00",OR(K55&gt;0.3001,K55=0)),"INCOMPATÍVEL — NCM 3808.61.00 exige emb. &lt;= 0,3kg/L (Emb. atual: "&amp;K55&amp;" "&amp;L55&amp;" -&gt; usar "&amp;Q55&amp;")",IF(AND(LEFT(E55,7)="3808.62",OR(K55&lt;=0.3001,K55&gt;7.5001)),"INCOMPATÍVEL — NCM 3808.62 exige emb. de 0,3 a 7,5kg/L (Emb. atual: "&amp;K55&amp;" "&amp;L55&amp;" -&gt; usar "&amp;Q55&amp;")",IF(AND(LEFT(E55,7)="3808.69",K55&gt;0,K55&lt;=7.5001),"INCOMPATÍVEL — NCM 3808.69 exige emb. &gt; 7,5kg/L (Emb. atual: "&amp;K55&amp;" "&amp;L55&amp;" -&gt; usar "&amp;Q55&amp;")",IF(AND(LEFT(Q55,6)="3808.6",LEFT(E55,6)&lt;&gt;"3808.6"),"INCOMPATÍVEL — Molécula Nota Subpos. 2 c/ emb. "&amp;K55&amp;" "&amp;L55&amp;" exige NCM "&amp;Q55,IF(AND(OR(E55="3808.91.19",E55="3808.92.19",E55="3808.93.19",E55="3808.99.19"),K55&gt;=1),"INCOMPATÍVEL — Subitem .19 (Domissanitário) vedado p/ emb. agrícola de "&amp;K55&amp;" "&amp;L55,IF(AND(E55="3105.10.00",K55&gt;10.0001),"INCOMPATÍVEL — NCM 3105.10.00 exige peso bruto &lt;= 10kg (Emb. atual: "&amp;K55&amp;" "&amp;L55&amp;" -&gt; usar 3105.90.90)",IF(AND(LEFT(E55,2)="29",LEFT(Q55,4)="3808",K55&gt;0),"INCOMPATÍVEL — Produto formulado em emb. comercial ("&amp;K55&amp;" "&amp;L55&amp;") vedado no Cap. 29 -&gt; usar "&amp;Q55,"CONFORME — Embalagem ("&amp;K55&amp;" "&amp;L55&amp;") compatível c/ a NCM"))))))))</f>
        <v/>
      </c>
      <c r="T55" s="17" t="str">
        <f aca="false">IF(B55="","",IF(IF(ISNUMBER(MATCH(A55,'4.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Produtos)'!$P$4:$P$848,IF(ISNUMBER(MATCH(A55,'4. Base Mestre (845 Produtos)'!$A$4:$A$848,0)),MATCH(A55,'4. Base Mestre (845 Produtos)'!$A$4:$A$848,0),IF(ISNUMBER(MATCH(B55,'4. Base Mestre (845 Produtos)'!$B$4:$B$848,0)),MATCH(B55,'4. Base Mestre (845 Produtos)'!$B$4:$B$848,0),0))),IF(ISNUMBER(MATCH(D55,'3. Dicionario Principios Ativos'!$A$4:$A$245,0)),INDEX('3. Dicionario Principios Ativos'!$K$4:$K$245,MATCH(D55,'3. Dicionario Principios Ativos'!$A$4:$A$245,0)),"VERIFICAR BULA")))</f>
        <v/>
      </c>
      <c r="U55" s="15" t="str">
        <f aca="false">IF(B55="","",IF(ISNUMBER(SEARCH("ISENTO",T55)),IF(OR(F55=0,F55="0",F55="ISENTO",F55=""),"CONFORME (DISPENSADO) — Isento pelo Ato SDA/MAPA nº 104/2017","INCORRETO — Produto isento de registro MAPA (usar 0 ou ISENTO)"),IF(ISNUMBER(SEARCH("SIPEAGRO",T55)),IF(ISNUMBER(SEARCH("-",F55)),"CONFORME — Registro SIPEAGRO ("&amp;F55&amp;") Preenchido","ADEQUAR P/ SIPEAGRO — Substituir 0 pelo Registro (UF-XXXXX-XXXXX.X)"),IF(ISNUMBER(SEARCH("VINCULAR",T55)),IF(AND(F55&lt;&gt;0,F55&lt;&gt;"0",F55&lt;&gt;""),"INCORRETO / TROCADO — Código "&amp;F55&amp;" pertence a outro produto (Vincular bula da marca)","VINCULAR MARCA — Cadastro de P.A. s/ marca fixa (Vincular registro na NF-e)"),IF(OR(F55=0,F55="0",F55=""),"AUSENTE (ZERO) — Preencher Registro Oficial MAPA nº "&amp;T55,IF(TEXT(F55,"0")=TEXT(T55,"0"),"CONFORME — Registro MAPA nº "&amp;T55&amp;" Validado na Bula","INCORRETO / TROCADO — Substituir "&amp;F55&amp;" pelo Registro Oficial nº "&amp;T55))))))</f>
        <v/>
      </c>
      <c r="V55" s="15" t="str">
        <f aca="false">IF(B55="","",IF(IF(ISNUMBER(MATCH(A55,'4.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Produtos)'!$S$4:$S$848,IF(ISNUMBER(MATCH(A55,'4. Base Mestre (845 Produtos)'!$A$4:$A$848,0)),MATCH(A55,'4. Base Mestre (845 Produtos)'!$A$4:$A$848,0),IF(ISNUMBER(MATCH(B55,'4. Base Mestre (845 Produtos)'!$B$4:$B$848,0)),MATCH(B55,'4. Base Mestre (845 Produtos)'!$B$4:$B$848,0),0))),IF(ISNUMBER(MATCH(D55,'3. Dicionario Principios Ativos'!$A$4:$A$245,0)),INDEX('3. Dicionario Principios Ativos'!$L$4:$L$245,MATCH(D55,'3. Dicionario Principios Ativos'!$A$4:$A$245,0)),"Verificar NCM")))</f>
        <v/>
      </c>
      <c r="W55" s="15" t="str">
        <f aca="false">IF(B55="","",IF(IF(ISNUMBER(MATCH(A55,'4. Base Mestre (845 Produtos)'!$A$4:$A$848,0)),MATCH(A55,'4. Base Mestre (845 Produtos)'!$A$4:$A$848,0),IF(ISNUMBER(MATCH(B55,'4. Base Mestre (845 Produtos)'!$B$4:$B$848,0)),MATCH(B55,'4. Base Mestre (845 Produtos)'!$B$4:$B$848,0),0))&gt;0,INDEX('4. Base Mestre (845 Produtos)'!$T$4:$T$848,IF(ISNUMBER(MATCH(A55,'4. Base Mestre (845 Produtos)'!$A$4:$A$848,0)),MATCH(A55,'4. Base Mestre (845 Produtos)'!$A$4:$A$848,0),IF(ISNUMBER(MATCH(B55,'4. Base Mestre (845 Produtos)'!$B$4:$B$848,0)),MATCH(B55,'4. Base Mestre (845 Produtos)'!$B$4:$B$848,0),0))),IF(ISNUMBER(MATCH(D55,'3. Dicionario Principios Ativos'!$A$4:$A$245,0)),INDEX('3. Dicionario Principios Ativos'!$M$4:$M$245,MATCH(D55,'3. Dicionario Principios Ativos'!$A$4:$A$245,0)),"Verificar CST")))</f>
        <v/>
      </c>
      <c r="X55" s="15" t="str">
        <f aca="false">IF(B55="","",IF(AND(LEFT(M55,8)="CONFORME",LEFT(P55,8)="CONFORME",LEFT(R55,8)="CONFORME",LEFT(S55,8)="CONFORME",LEFT(U55,8)="CONFORME"),"CADASTRO 100% CONFORME — LIBERADO P/ ERP",IF(AND(LEFT(M55,8)="CONFORME",LEFT(P55,8)="CONFORME",LEFT(R55,8)="CONFORME",LEFT(S55,8)="CONFORME",OR(LEFT(U55,7)="ADEQUAR",LEFT(U55,8)="VINCULAR")),"FISCAL E EMBALAGEM OK — ADEQUAR CAMPO MAPA (SIPEAGRO / MARCA)","BLOQUEADO — CORRIGIR DIVERGÊNCIAS APONTADAS ANTES DE LIBERAR NO ERP")))</f>
        <v/>
      </c>
    </row>
    <row r="56" customFormat="false" ht="19.5" hidden="false" customHeight="true" outlineLevel="0" collapsed="false">
      <c r="A56" s="12"/>
      <c r="B56" s="13"/>
      <c r="C56" s="12"/>
      <c r="D56" s="13"/>
      <c r="E56" s="12"/>
      <c r="F56" s="12"/>
      <c r="G56" s="14"/>
      <c r="H56" s="13" t="s">
        <v>166</v>
      </c>
      <c r="I56" s="20" t="str">
        <f aca="false">IF(B56="","",IF(ISNUMBER(MATCH(A56,'4. Base Mestre (845 Produtos)'!$A$4:$A$848,0)),"Localizado por Código ("&amp;A56&amp;") na Base Mestre",IF(ISNUMBER(MATCH(B56,'4. Base Mestre (845 Produtos)'!$B$4:$B$848,0)),"Localizado por Descrição na Base Mestre",IF(ISNUMBER(MATCH(D56,'3. Dicionario Principios Ativos'!$A$4:$A$245,0)),"Produto Novo — Validado pelo Dicionário de P.A.","Não Localizado — Revisar Código/P.A."))))</f>
        <v/>
      </c>
      <c r="J56" s="20" t="str">
        <f aca="false">IF(B56="","",IF(IF(ISNUMBER(MATCH(A56,'4.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Produtos)'!$I$4:$I$848,IF(ISNUMBER(MATCH(A56,'4. Base Mestre (845 Produtos)'!$A$4:$A$848,0)),MATCH(A56,'4. Base Mestre (845 Produtos)'!$A$4:$A$848,0),IF(ISNUMBER(MATCH(B56,'4. Base Mestre (845 Produtos)'!$B$4:$B$848,0)),MATCH(B56,'4. Base Mestre (845 Produtos)'!$B$4:$B$848,0),0))),IF(ISNUMBER(MATCH(D56,'3. Dicionario Principios Ativos'!$A$4:$A$245,0)),INDEX('3. Dicionario Principios Ativos'!$B$4:$B$245,MATCH(D56,'3. Dicionario Principios Ativos'!$A$4:$A$245,0)),"Revisar Classificação")))</f>
        <v/>
      </c>
      <c r="K56" s="21" t="str">
        <f aca="false">IF(B56="","",IF(G56&lt;&gt;"",G56,IF(OR(ISNUMBER(SEARCH("PRINCIPIO ATIVO",B56)),ISNUMBER(SEARCH("PRINC. ATIVO",B56)),ISNUMBER(SEARCH("PR. ATIVO",B56)),ISNUMBER(SEARCH("PR.AT.",B56)),ISNUMBER(SEARCH("(P.A",B56)),ISNUMBER(SEARCH("(P. A",B56))),0,IF(OR(ISNUMBER(SEARCH("0,100KG",B56)),ISNUMBER(SEARCH("0,1KG",B56)),ISNUMBER(SEARCH("0,100L",B56))),0.1,IF(OR(ISNUMBER(SEARCH("0,200L",B56)),ISNUMBER(SEARCH("0,2L",B56)),ISNUMBER(SEARCH("0,200KG",B56)),ISNUMBER(SEARCH("0,2KG",B56))),0.2,IF(OR(ISNUMBER(SEARCH("0,240KG",B56)),ISNUMBER(SEARCH("0,250L",B56))),0.24,IF(OR(ISNUMBER(SEARCH("0,300KG",B56)),ISNUMBER(SEARCH("0,3KG",B56))),0.3,IF(OR(ISNUMBER(SEARCH("0,500L",B56)),ISNUMBER(SEARCH("0,5L",B56)),ISNUMBER(SEARCH("0,5KG",B56))),0.5,IF(ISNUMBER(SEARCH("0,8KG",B56)),0.8,IF(OR(ISNUMBER(SEARCH("1,5L",B56)),ISNUMBER(SEARCH("1,5KG",B56))),1.5,IF(OR(ISNUMBER(SEARCH("1,75L",B56)),ISNUMBER(SEARCH("1,8L",B56)),ISNUMBER(SEARCH("1.8L",B56))),1.8,IF(ISNUMBER(SEARCH("4,5KG",B56)),4.5,IF(ISNUMBER(SEARCH("7,5KG",B56)),7.5,IF(OR(ISNUMBER(SEARCH("1000L",B56)),ISNUMBER(SEARCH("1000KG",B56)),ISNUMBER(SEARCH("1.000KG",B56)),ISNUMBER(SEARCH("1.000L",B56)),ISNUMBER(SEARCH("1000 KG",B56)),ISNUMBER(SEARCH("GRANEL",B56)),ISNUMBER(SEARCH("(TON)",B56))),1000,IF(ISNUMBER(SEARCH("200L",B56)),200,IF(OR(ISNUMBER(SEARCH("25KG",B56)),ISNUMBER(SEARCH("25L",B56))),25,IF(OR(ISNUMBER(SEARCH("20L",B56)),ISNUMBER(SEARCH("20KG",B56))),20,IF(ISNUMBER(SEARCH("15KG",B56)),15,IF(OR(ISNUMBER(SEARCH("10L",B56)),ISNUMBER(SEARCH("10KG",B56))),10,IF(OR(ISNUMBER(SEARCH("5L",B56)),ISNUMBER(SEARCH("5KG",B56)),ISNUMBER(SEARCH("5LT",B56))),5,IF(OR(ISNUMBER(SEARCH("3KG",B56)),ISNUMBER(SEARCH("3L",B56))),3,IF(OR(ISNUMBER(SEARCH("2L",B56)),ISNUMBER(SEARCH("2KG",B56))),2,IF(OR(ISNUMBER(SEARCH("1L",B56)),ISNUMBER(SEARCH("1KG",B56)),ISNUMBER(SEARCH("1LT",B56))),1,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Produtos)'!$D$4:$D$848,IF(ISNUMBER(MATCH(A56,'4. Base Mestre (845 Produtos)'!$A$4:$A$848,0)),MATCH(A56,'4. Base Mestre (845 Produtos)'!$A$4:$A$848,0),IF(ISNUMBER(MATCH(B56,'4. Base Mestre (845 Produtos)'!$B$4:$B$848,0)),MATCH(B56,'4. Base Mestre (845 Produtos)'!$B$4:$B$848,0),0))),1))))))))))))))))))))))))</f>
        <v/>
      </c>
      <c r="L56" s="22" t="str">
        <f aca="false">IF(B56="","",IF(OR(ISNUMBER(SEARCH("KG",B56)),ISNUMBER(SEARCH("GR",B56))),"KG",IF(OR(ISNUMBER(SEARCH("0,200L",B56)),ISNUMBER(SEARCH("0,2L",B56)),ISNUMBER(SEARCH("0,5L",B56)),ISNUMBER(SEARCH("1,5L",B56)),ISNUMBER(SEARCH("1,8L",B56)),ISNUMBER(SEARCH("1.8L",B56)),ISNUMBER(SEARCH("1L",B56)),ISNUMBER(SEARCH("2L",B56)),ISNUMBER(SEARCH("3L",B56)),ISNUMBER(SEARCH("5L",B56)),ISNUMBER(SEARCH("10L",B56)),ISNUMBER(SEARCH("20L",B56)),ISNUMBER(SEARCH("25L",B56)),ISNUMBER(SEARCH("200L",B56)),ISNUMBER(SEARCH("1000L",B56)),ISNUMBER(SEARCH("LT",B56))),"L",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Produtos)'!$E$4:$E$848,IF(ISNUMBER(MATCH(A56,'4. Base Mestre (845 Produtos)'!$A$4:$A$848,0)),MATCH(A56,'4. Base Mestre (845 Produtos)'!$A$4:$A$848,0),IF(ISNUMBER(MATCH(B56,'4. Base Mestre (845 Produtos)'!$B$4:$B$848,0)),MATCH(B56,'4. Base Mestre (845 Produtos)'!$B$4:$B$848,0),0))),C56))))</f>
        <v/>
      </c>
      <c r="M56" s="20" t="str">
        <f aca="false">IF(B56="","",IF(C56=L56,"CONFORME — Unidade ("&amp;C56&amp;") compatível c/ Embalagem","DIVERGENTE — Embalagem em "&amp;L56&amp;", mas cadastrado em "&amp;C56))</f>
        <v/>
      </c>
      <c r="N56" s="20" t="str">
        <f aca="false">IF(B56="","",IF(K56=0,"Granel / Produto Técnico (Sem Embalagem Comercial)",IF(K56&lt;=0.3001,"Faixa 1 TIPI: Até 300g/mL (3808.61.00 / 3105.10.00)",IF(K56&lt;=7.5001,"Faixa 2 TIPI: De 300g a 7,5kg/L (3808.62.90 / 3105.10.00)",IF(K56&lt;=10.0001,"Faixa 3 TIPI: De 7,5kg a 10kg/L (3808.69.90 / 3105.10.00)","Faixa 4 TIPI: Acima de 10kg/L (3808.69.90 / Cap. 31 Geral)")))))</f>
        <v/>
      </c>
      <c r="O56" s="20" t="str">
        <f aca="false">IF(B56="","",IF(IF(ISNUMBER(MATCH(A56,'4.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Produtos)'!$H$4:$H$848,IF(ISNUMBER(MATCH(A56,'4. Base Mestre (845 Produtos)'!$A$4:$A$848,0)),MATCH(A56,'4. Base Mestre (845 Produtos)'!$A$4:$A$848,0),IF(ISNUMBER(MATCH(B56,'4. Base Mestre (845 Produtos)'!$B$4:$B$848,0)),MATCH(B56,'4. Base Mestre (845 Produtos)'!$B$4:$B$848,0),0))),IF(ISNUMBER(MATCH(D56,'3. Dicionario Principios Ativos'!$A$4:$A$245,0)),INDEX('3. Dicionario Principios Ativos'!$A$4:$A$245,MATCH(D56,'3. Dicionario Principios Ativos'!$A$4:$A$245,0)),D56)))</f>
        <v/>
      </c>
      <c r="P56" s="20" t="str">
        <f aca="false">IF(B56="","",IF(D56=O56,"CONFORME — Princípio Ativo Validado","DIVERGENTE — Substituir por: "&amp;O56))</f>
        <v/>
      </c>
      <c r="Q56" s="22" t="str">
        <f aca="false">IF(B56="","",IF(IF(IF(ISNUMBER(MATCH(A56,'4.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Produtos)'!$J$4:$J$848,IF(ISNUMBER(MATCH(A56,'4. Base Mestre (845 Produtos)'!$A$4:$A$848,0)),MATCH(A56,'4. Base Mestre (845 Produtos)'!$A$4:$A$848,0),IF(ISNUMBER(MATCH(B56,'4. Base Mestre (845 Produtos)'!$B$4:$B$848,0)),MATCH(B56,'4. Base Mestre (845 Produtos)'!$B$4:$B$848,0),0)))="SIM",IF(ISNUMBER(MATCH(D56,'3. Dicionario Principios Ativos'!$A$4:$A$245,0)),INDEX('3. Dicionario Principios Ativos'!$C$4:$C$245,MATCH(D56,'3. Dicionario Principios Ativos'!$A$4:$A$245,0))="SIM",FALSE())),IF(AND(K56&gt;0,K56&lt;=0.3001),"3808.61.00",IF(AND(K56&gt;0.3001,K56&lt;=7.5001),"3808.62.90","3808.69.90")),IF(AND(LEFT(IF(IF(ISNUMBER(MATCH(A56,'4.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Produtos)'!$L$4:$L$848,IF(ISNUMBER(MATCH(A56,'4. Base Mestre (845 Produtos)'!$A$4:$A$848,0)),MATCH(A56,'4. Base Mestre (845 Produtos)'!$A$4:$A$848,0),IF(ISNUMBER(MATCH(B56,'4. Base Mestre (845 Produtos)'!$B$4:$B$848,0)),MATCH(B56,'4. Base Mestre (845 Produtos)'!$B$4:$B$848,0),0))),IF(ISNUMBER(MATCH(D56,'3. Dicionario Principios Ativos'!$A$4:$A$245,0)),INDEX('3. Dicionario Principios Ativos'!$D$4:$D$245,MATCH(D56,'3. Dicionario Principios Ativos'!$A$4:$A$245,0)),E56)),2)="31",E56="3105.10.00",K56&gt;0,K56&lt;=10.0001),"3105.10.00",IF(AND(IF(IF(ISNUMBER(MATCH(A56,'4.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Produtos)'!$L$4:$L$848,IF(ISNUMBER(MATCH(A56,'4. Base Mestre (845 Produtos)'!$A$4:$A$848,0)),MATCH(A56,'4. Base Mestre (845 Produtos)'!$A$4:$A$848,0),IF(ISNUMBER(MATCH(B56,'4. Base Mestre (845 Produtos)'!$B$4:$B$848,0)),MATCH(B56,'4. Base Mestre (845 Produtos)'!$B$4:$B$848,0),0))),IF(ISNUMBER(MATCH(D56,'3. Dicionario Principios Ativos'!$A$4:$A$245,0)),INDEX('3. Dicionario Principios Ativos'!$D$4:$D$245,MATCH(D56,'3. Dicionario Principios Ativos'!$A$4:$A$245,0)),E56))="3105.10.00",K56&gt;10.0001),"3105.90.90",IF(IF(ISNUMBER(MATCH(A56,'4.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Produtos)'!$L$4:$L$848,IF(ISNUMBER(MATCH(A56,'4. Base Mestre (845 Produtos)'!$A$4:$A$848,0)),MATCH(A56,'4. Base Mestre (845 Produtos)'!$A$4:$A$848,0),IF(ISNUMBER(MATCH(B56,'4. Base Mestre (845 Produtos)'!$B$4:$B$848,0)),MATCH(B56,'4. Base Mestre (845 Produtos)'!$B$4:$B$848,0),0))),IF(ISNUMBER(MATCH(D56,'3. Dicionario Principios Ativos'!$A$4:$A$245,0)),INDEX('3. Dicionario Principios Ativos'!$D$4:$D$245,MATCH(D56,'3. Dicionario Principios Ativos'!$A$4:$A$245,0)),E56))))))</f>
        <v/>
      </c>
      <c r="R56" s="20" t="str">
        <f aca="false">IF(B56="","",IF(OR(E56=Q56,AND(Q56="3002.49.99",E56="3002.90.00")),"CONFORME — NCM "&amp;E56&amp;" Correta na TIPI","DIVERGENTE — Substituir "&amp;E56&amp;" por "&amp;Q56))</f>
        <v/>
      </c>
      <c r="S56" s="20" t="str">
        <f aca="false">IF(B56="","",IF(AND(E56="3808.61.00",OR(K56&gt;0.3001,K56=0)),"INCOMPATÍVEL — NCM 3808.61.00 exige emb. &lt;= 0,3kg/L (Emb. atual: "&amp;K56&amp;" "&amp;L56&amp;" -&gt; usar "&amp;Q56&amp;")",IF(AND(LEFT(E56,7)="3808.62",OR(K56&lt;=0.3001,K56&gt;7.5001)),"INCOMPATÍVEL — NCM 3808.62 exige emb. de 0,3 a 7,5kg/L (Emb. atual: "&amp;K56&amp;" "&amp;L56&amp;" -&gt; usar "&amp;Q56&amp;")",IF(AND(LEFT(E56,7)="3808.69",K56&gt;0,K56&lt;=7.5001),"INCOMPATÍVEL — NCM 3808.69 exige emb. &gt; 7,5kg/L (Emb. atual: "&amp;K56&amp;" "&amp;L56&amp;" -&gt; usar "&amp;Q56&amp;")",IF(AND(LEFT(Q56,6)="3808.6",LEFT(E56,6)&lt;&gt;"3808.6"),"INCOMPATÍVEL — Molécula Nota Subpos. 2 c/ emb. "&amp;K56&amp;" "&amp;L56&amp;" exige NCM "&amp;Q56,IF(AND(OR(E56="3808.91.19",E56="3808.92.19",E56="3808.93.19",E56="3808.99.19"),K56&gt;=1),"INCOMPATÍVEL — Subitem .19 (Domissanitário) vedado p/ emb. agrícola de "&amp;K56&amp;" "&amp;L56,IF(AND(E56="3105.10.00",K56&gt;10.0001),"INCOMPATÍVEL — NCM 3105.10.00 exige peso bruto &lt;= 10kg (Emb. atual: "&amp;K56&amp;" "&amp;L56&amp;" -&gt; usar 3105.90.90)",IF(AND(LEFT(E56,2)="29",LEFT(Q56,4)="3808",K56&gt;0),"INCOMPATÍVEL — Produto formulado em emb. comercial ("&amp;K56&amp;" "&amp;L56&amp;") vedado no Cap. 29 -&gt; usar "&amp;Q56,"CONFORME — Embalagem ("&amp;K56&amp;" "&amp;L56&amp;") compatível c/ a NCM"))))))))</f>
        <v/>
      </c>
      <c r="T56" s="22" t="str">
        <f aca="false">IF(B56="","",IF(IF(ISNUMBER(MATCH(A56,'4.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Produtos)'!$P$4:$P$848,IF(ISNUMBER(MATCH(A56,'4. Base Mestre (845 Produtos)'!$A$4:$A$848,0)),MATCH(A56,'4. Base Mestre (845 Produtos)'!$A$4:$A$848,0),IF(ISNUMBER(MATCH(B56,'4. Base Mestre (845 Produtos)'!$B$4:$B$848,0)),MATCH(B56,'4. Base Mestre (845 Produtos)'!$B$4:$B$848,0),0))),IF(ISNUMBER(MATCH(D56,'3. Dicionario Principios Ativos'!$A$4:$A$245,0)),INDEX('3. Dicionario Principios Ativos'!$K$4:$K$245,MATCH(D56,'3. Dicionario Principios Ativos'!$A$4:$A$245,0)),"VERIFICAR BULA")))</f>
        <v/>
      </c>
      <c r="U56" s="20" t="str">
        <f aca="false">IF(B56="","",IF(ISNUMBER(SEARCH("ISENTO",T56)),IF(OR(F56=0,F56="0",F56="ISENTO",F56=""),"CONFORME (DISPENSADO) — Isento pelo Ato SDA/MAPA nº 104/2017","INCORRETO — Produto isento de registro MAPA (usar 0 ou ISENTO)"),IF(ISNUMBER(SEARCH("SIPEAGRO",T56)),IF(ISNUMBER(SEARCH("-",F56)),"CONFORME — Registro SIPEAGRO ("&amp;F56&amp;") Preenchido","ADEQUAR P/ SIPEAGRO — Substituir 0 pelo Registro (UF-XXXXX-XXXXX.X)"),IF(ISNUMBER(SEARCH("VINCULAR",T56)),IF(AND(F56&lt;&gt;0,F56&lt;&gt;"0",F56&lt;&gt;""),"INCORRETO / TROCADO — Código "&amp;F56&amp;" pertence a outro produto (Vincular bula da marca)","VINCULAR MARCA — Cadastro de P.A. s/ marca fixa (Vincular registro na NF-e)"),IF(OR(F56=0,F56="0",F56=""),"AUSENTE (ZERO) — Preencher Registro Oficial MAPA nº "&amp;T56,IF(TEXT(F56,"0")=TEXT(T56,"0"),"CONFORME — Registro MAPA nº "&amp;T56&amp;" Validado na Bula","INCORRETO / TROCADO — Substituir "&amp;F56&amp;" pelo Registro Oficial nº "&amp;T56))))))</f>
        <v/>
      </c>
      <c r="V56" s="20" t="str">
        <f aca="false">IF(B56="","",IF(IF(ISNUMBER(MATCH(A56,'4.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Produtos)'!$S$4:$S$848,IF(ISNUMBER(MATCH(A56,'4. Base Mestre (845 Produtos)'!$A$4:$A$848,0)),MATCH(A56,'4. Base Mestre (845 Produtos)'!$A$4:$A$848,0),IF(ISNUMBER(MATCH(B56,'4. Base Mestre (845 Produtos)'!$B$4:$B$848,0)),MATCH(B56,'4. Base Mestre (845 Produtos)'!$B$4:$B$848,0),0))),IF(ISNUMBER(MATCH(D56,'3. Dicionario Principios Ativos'!$A$4:$A$245,0)),INDEX('3. Dicionario Principios Ativos'!$L$4:$L$245,MATCH(D56,'3. Dicionario Principios Ativos'!$A$4:$A$245,0)),"Verificar NCM")))</f>
        <v/>
      </c>
      <c r="W56" s="20" t="str">
        <f aca="false">IF(B56="","",IF(IF(ISNUMBER(MATCH(A56,'4. Base Mestre (845 Produtos)'!$A$4:$A$848,0)),MATCH(A56,'4. Base Mestre (845 Produtos)'!$A$4:$A$848,0),IF(ISNUMBER(MATCH(B56,'4. Base Mestre (845 Produtos)'!$B$4:$B$848,0)),MATCH(B56,'4. Base Mestre (845 Produtos)'!$B$4:$B$848,0),0))&gt;0,INDEX('4. Base Mestre (845 Produtos)'!$T$4:$T$848,IF(ISNUMBER(MATCH(A56,'4. Base Mestre (845 Produtos)'!$A$4:$A$848,0)),MATCH(A56,'4. Base Mestre (845 Produtos)'!$A$4:$A$848,0),IF(ISNUMBER(MATCH(B56,'4. Base Mestre (845 Produtos)'!$B$4:$B$848,0)),MATCH(B56,'4. Base Mestre (845 Produtos)'!$B$4:$B$848,0),0))),IF(ISNUMBER(MATCH(D56,'3. Dicionario Principios Ativos'!$A$4:$A$245,0)),INDEX('3. Dicionario Principios Ativos'!$M$4:$M$245,MATCH(D56,'3. Dicionario Principios Ativos'!$A$4:$A$245,0)),"Verificar CST")))</f>
        <v/>
      </c>
      <c r="X56" s="20" t="str">
        <f aca="false">IF(B56="","",IF(AND(LEFT(M56,8)="CONFORME",LEFT(P56,8)="CONFORME",LEFT(R56,8)="CONFORME",LEFT(S56,8)="CONFORME",LEFT(U56,8)="CONFORME"),"CADASTRO 100% CONFORME — LIBERADO P/ ERP",IF(AND(LEFT(M56,8)="CONFORME",LEFT(P56,8)="CONFORME",LEFT(R56,8)="CONFORME",LEFT(S56,8)="CONFORME",OR(LEFT(U56,7)="ADEQUAR",LEFT(U56,8)="VINCULAR")),"FISCAL E EMBALAGEM OK — ADEQUAR CAMPO MAPA (SIPEAGRO / MARCA)","BLOQUEADO — CORRIGIR DIVERGÊNCIAS APONTADAS ANTES DE LIBERAR NO ERP")))</f>
        <v/>
      </c>
    </row>
    <row r="57" customFormat="false" ht="19.5" hidden="false" customHeight="true" outlineLevel="0" collapsed="false">
      <c r="A57" s="12"/>
      <c r="B57" s="13"/>
      <c r="C57" s="12"/>
      <c r="D57" s="13"/>
      <c r="E57" s="12"/>
      <c r="F57" s="12"/>
      <c r="G57" s="14"/>
      <c r="H57" s="13" t="s">
        <v>166</v>
      </c>
      <c r="I57" s="15" t="str">
        <f aca="false">IF(B57="","",IF(ISNUMBER(MATCH(A57,'4. Base Mestre (845 Produtos)'!$A$4:$A$848,0)),"Localizado por Código ("&amp;A57&amp;") na Base Mestre",IF(ISNUMBER(MATCH(B57,'4. Base Mestre (845 Produtos)'!$B$4:$B$848,0)),"Localizado por Descrição na Base Mestre",IF(ISNUMBER(MATCH(D57,'3. Dicionario Principios Ativos'!$A$4:$A$245,0)),"Produto Novo — Validado pelo Dicionário de P.A.","Não Localizado — Revisar Código/P.A."))))</f>
        <v/>
      </c>
      <c r="J57" s="15" t="str">
        <f aca="false">IF(B57="","",IF(IF(ISNUMBER(MATCH(A57,'4.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Produtos)'!$I$4:$I$848,IF(ISNUMBER(MATCH(A57,'4. Base Mestre (845 Produtos)'!$A$4:$A$848,0)),MATCH(A57,'4. Base Mestre (845 Produtos)'!$A$4:$A$848,0),IF(ISNUMBER(MATCH(B57,'4. Base Mestre (845 Produtos)'!$B$4:$B$848,0)),MATCH(B57,'4. Base Mestre (845 Produtos)'!$B$4:$B$848,0),0))),IF(ISNUMBER(MATCH(D57,'3. Dicionario Principios Ativos'!$A$4:$A$245,0)),INDEX('3. Dicionario Principios Ativos'!$B$4:$B$245,MATCH(D57,'3. Dicionario Principios Ativos'!$A$4:$A$245,0)),"Revisar Classificação")))</f>
        <v/>
      </c>
      <c r="K57" s="16" t="str">
        <f aca="false">IF(B57="","",IF(G57&lt;&gt;"",G57,IF(OR(ISNUMBER(SEARCH("PRINCIPIO ATIVO",B57)),ISNUMBER(SEARCH("PRINC. ATIVO",B57)),ISNUMBER(SEARCH("PR. ATIVO",B57)),ISNUMBER(SEARCH("PR.AT.",B57)),ISNUMBER(SEARCH("(P.A",B57)),ISNUMBER(SEARCH("(P. A",B57))),0,IF(OR(ISNUMBER(SEARCH("0,100KG",B57)),ISNUMBER(SEARCH("0,1KG",B57)),ISNUMBER(SEARCH("0,100L",B57))),0.1,IF(OR(ISNUMBER(SEARCH("0,200L",B57)),ISNUMBER(SEARCH("0,2L",B57)),ISNUMBER(SEARCH("0,200KG",B57)),ISNUMBER(SEARCH("0,2KG",B57))),0.2,IF(OR(ISNUMBER(SEARCH("0,240KG",B57)),ISNUMBER(SEARCH("0,250L",B57))),0.24,IF(OR(ISNUMBER(SEARCH("0,300KG",B57)),ISNUMBER(SEARCH("0,3KG",B57))),0.3,IF(OR(ISNUMBER(SEARCH("0,500L",B57)),ISNUMBER(SEARCH("0,5L",B57)),ISNUMBER(SEARCH("0,5KG",B57))),0.5,IF(ISNUMBER(SEARCH("0,8KG",B57)),0.8,IF(OR(ISNUMBER(SEARCH("1,5L",B57)),ISNUMBER(SEARCH("1,5KG",B57))),1.5,IF(OR(ISNUMBER(SEARCH("1,75L",B57)),ISNUMBER(SEARCH("1,8L",B57)),ISNUMBER(SEARCH("1.8L",B57))),1.8,IF(ISNUMBER(SEARCH("4,5KG",B57)),4.5,IF(ISNUMBER(SEARCH("7,5KG",B57)),7.5,IF(OR(ISNUMBER(SEARCH("1000L",B57)),ISNUMBER(SEARCH("1000KG",B57)),ISNUMBER(SEARCH("1.000KG",B57)),ISNUMBER(SEARCH("1.000L",B57)),ISNUMBER(SEARCH("1000 KG",B57)),ISNUMBER(SEARCH("GRANEL",B57)),ISNUMBER(SEARCH("(TON)",B57))),1000,IF(ISNUMBER(SEARCH("200L",B57)),200,IF(OR(ISNUMBER(SEARCH("25KG",B57)),ISNUMBER(SEARCH("25L",B57))),25,IF(OR(ISNUMBER(SEARCH("20L",B57)),ISNUMBER(SEARCH("20KG",B57))),20,IF(ISNUMBER(SEARCH("15KG",B57)),15,IF(OR(ISNUMBER(SEARCH("10L",B57)),ISNUMBER(SEARCH("10KG",B57))),10,IF(OR(ISNUMBER(SEARCH("5L",B57)),ISNUMBER(SEARCH("5KG",B57)),ISNUMBER(SEARCH("5LT",B57))),5,IF(OR(ISNUMBER(SEARCH("3KG",B57)),ISNUMBER(SEARCH("3L",B57))),3,IF(OR(ISNUMBER(SEARCH("2L",B57)),ISNUMBER(SEARCH("2KG",B57))),2,IF(OR(ISNUMBER(SEARCH("1L",B57)),ISNUMBER(SEARCH("1KG",B57)),ISNUMBER(SEARCH("1LT",B57))),1,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Produtos)'!$D$4:$D$848,IF(ISNUMBER(MATCH(A57,'4. Base Mestre (845 Produtos)'!$A$4:$A$848,0)),MATCH(A57,'4. Base Mestre (845 Produtos)'!$A$4:$A$848,0),IF(ISNUMBER(MATCH(B57,'4. Base Mestre (845 Produtos)'!$B$4:$B$848,0)),MATCH(B57,'4. Base Mestre (845 Produtos)'!$B$4:$B$848,0),0))),1))))))))))))))))))))))))</f>
        <v/>
      </c>
      <c r="L57" s="17" t="str">
        <f aca="false">IF(B57="","",IF(OR(ISNUMBER(SEARCH("KG",B57)),ISNUMBER(SEARCH("GR",B57))),"KG",IF(OR(ISNUMBER(SEARCH("0,200L",B57)),ISNUMBER(SEARCH("0,2L",B57)),ISNUMBER(SEARCH("0,5L",B57)),ISNUMBER(SEARCH("1,5L",B57)),ISNUMBER(SEARCH("1,8L",B57)),ISNUMBER(SEARCH("1.8L",B57)),ISNUMBER(SEARCH("1L",B57)),ISNUMBER(SEARCH("2L",B57)),ISNUMBER(SEARCH("3L",B57)),ISNUMBER(SEARCH("5L",B57)),ISNUMBER(SEARCH("10L",B57)),ISNUMBER(SEARCH("20L",B57)),ISNUMBER(SEARCH("25L",B57)),ISNUMBER(SEARCH("200L",B57)),ISNUMBER(SEARCH("1000L",B57)),ISNUMBER(SEARCH("LT",B57))),"L",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Produtos)'!$E$4:$E$848,IF(ISNUMBER(MATCH(A57,'4. Base Mestre (845 Produtos)'!$A$4:$A$848,0)),MATCH(A57,'4. Base Mestre (845 Produtos)'!$A$4:$A$848,0),IF(ISNUMBER(MATCH(B57,'4. Base Mestre (845 Produtos)'!$B$4:$B$848,0)),MATCH(B57,'4. Base Mestre (845 Produtos)'!$B$4:$B$848,0),0))),C57))))</f>
        <v/>
      </c>
      <c r="M57" s="15" t="str">
        <f aca="false">IF(B57="","",IF(C57=L57,"CONFORME — Unidade ("&amp;C57&amp;") compatível c/ Embalagem","DIVERGENTE — Embalagem em "&amp;L57&amp;", mas cadastrado em "&amp;C57))</f>
        <v/>
      </c>
      <c r="N57" s="15" t="str">
        <f aca="false">IF(B57="","",IF(K57=0,"Granel / Produto Técnico (Sem Embalagem Comercial)",IF(K57&lt;=0.3001,"Faixa 1 TIPI: Até 300g/mL (3808.61.00 / 3105.10.00)",IF(K57&lt;=7.5001,"Faixa 2 TIPI: De 300g a 7,5kg/L (3808.62.90 / 3105.10.00)",IF(K57&lt;=10.0001,"Faixa 3 TIPI: De 7,5kg a 10kg/L (3808.69.90 / 3105.10.00)","Faixa 4 TIPI: Acima de 10kg/L (3808.69.90 / Cap. 31 Geral)")))))</f>
        <v/>
      </c>
      <c r="O57" s="15" t="str">
        <f aca="false">IF(B57="","",IF(IF(ISNUMBER(MATCH(A57,'4.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Produtos)'!$H$4:$H$848,IF(ISNUMBER(MATCH(A57,'4. Base Mestre (845 Produtos)'!$A$4:$A$848,0)),MATCH(A57,'4. Base Mestre (845 Produtos)'!$A$4:$A$848,0),IF(ISNUMBER(MATCH(B57,'4. Base Mestre (845 Produtos)'!$B$4:$B$848,0)),MATCH(B57,'4. Base Mestre (845 Produtos)'!$B$4:$B$848,0),0))),IF(ISNUMBER(MATCH(D57,'3. Dicionario Principios Ativos'!$A$4:$A$245,0)),INDEX('3. Dicionario Principios Ativos'!$A$4:$A$245,MATCH(D57,'3. Dicionario Principios Ativos'!$A$4:$A$245,0)),D57)))</f>
        <v/>
      </c>
      <c r="P57" s="15" t="str">
        <f aca="false">IF(B57="","",IF(D57=O57,"CONFORME — Princípio Ativo Validado","DIVERGENTE — Substituir por: "&amp;O57))</f>
        <v/>
      </c>
      <c r="Q57" s="17" t="str">
        <f aca="false">IF(B57="","",IF(IF(IF(ISNUMBER(MATCH(A57,'4.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Produtos)'!$J$4:$J$848,IF(ISNUMBER(MATCH(A57,'4. Base Mestre (845 Produtos)'!$A$4:$A$848,0)),MATCH(A57,'4. Base Mestre (845 Produtos)'!$A$4:$A$848,0),IF(ISNUMBER(MATCH(B57,'4. Base Mestre (845 Produtos)'!$B$4:$B$848,0)),MATCH(B57,'4. Base Mestre (845 Produtos)'!$B$4:$B$848,0),0)))="SIM",IF(ISNUMBER(MATCH(D57,'3. Dicionario Principios Ativos'!$A$4:$A$245,0)),INDEX('3. Dicionario Principios Ativos'!$C$4:$C$245,MATCH(D57,'3. Dicionario Principios Ativos'!$A$4:$A$245,0))="SIM",FALSE())),IF(AND(K57&gt;0,K57&lt;=0.3001),"3808.61.00",IF(AND(K57&gt;0.3001,K57&lt;=7.5001),"3808.62.90","3808.69.90")),IF(AND(LEFT(IF(IF(ISNUMBER(MATCH(A57,'4.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Produtos)'!$L$4:$L$848,IF(ISNUMBER(MATCH(A57,'4. Base Mestre (845 Produtos)'!$A$4:$A$848,0)),MATCH(A57,'4. Base Mestre (845 Produtos)'!$A$4:$A$848,0),IF(ISNUMBER(MATCH(B57,'4. Base Mestre (845 Produtos)'!$B$4:$B$848,0)),MATCH(B57,'4. Base Mestre (845 Produtos)'!$B$4:$B$848,0),0))),IF(ISNUMBER(MATCH(D57,'3. Dicionario Principios Ativos'!$A$4:$A$245,0)),INDEX('3. Dicionario Principios Ativos'!$D$4:$D$245,MATCH(D57,'3. Dicionario Principios Ativos'!$A$4:$A$245,0)),E57)),2)="31",E57="3105.10.00",K57&gt;0,K57&lt;=10.0001),"3105.10.00",IF(AND(IF(IF(ISNUMBER(MATCH(A57,'4.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Produtos)'!$L$4:$L$848,IF(ISNUMBER(MATCH(A57,'4. Base Mestre (845 Produtos)'!$A$4:$A$848,0)),MATCH(A57,'4. Base Mestre (845 Produtos)'!$A$4:$A$848,0),IF(ISNUMBER(MATCH(B57,'4. Base Mestre (845 Produtos)'!$B$4:$B$848,0)),MATCH(B57,'4. Base Mestre (845 Produtos)'!$B$4:$B$848,0),0))),IF(ISNUMBER(MATCH(D57,'3. Dicionario Principios Ativos'!$A$4:$A$245,0)),INDEX('3. Dicionario Principios Ativos'!$D$4:$D$245,MATCH(D57,'3. Dicionario Principios Ativos'!$A$4:$A$245,0)),E57))="3105.10.00",K57&gt;10.0001),"3105.90.90",IF(IF(ISNUMBER(MATCH(A57,'4.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Produtos)'!$L$4:$L$848,IF(ISNUMBER(MATCH(A57,'4. Base Mestre (845 Produtos)'!$A$4:$A$848,0)),MATCH(A57,'4. Base Mestre (845 Produtos)'!$A$4:$A$848,0),IF(ISNUMBER(MATCH(B57,'4. Base Mestre (845 Produtos)'!$B$4:$B$848,0)),MATCH(B57,'4. Base Mestre (845 Produtos)'!$B$4:$B$848,0),0))),IF(ISNUMBER(MATCH(D57,'3. Dicionario Principios Ativos'!$A$4:$A$245,0)),INDEX('3. Dicionario Principios Ativos'!$D$4:$D$245,MATCH(D57,'3. Dicionario Principios Ativos'!$A$4:$A$245,0)),E57))))))</f>
        <v/>
      </c>
      <c r="R57" s="15" t="str">
        <f aca="false">IF(B57="","",IF(OR(E57=Q57,AND(Q57="3002.49.99",E57="3002.90.00")),"CONFORME — NCM "&amp;E57&amp;" Correta na TIPI","DIVERGENTE — Substituir "&amp;E57&amp;" por "&amp;Q57))</f>
        <v/>
      </c>
      <c r="S57" s="15" t="str">
        <f aca="false">IF(B57="","",IF(AND(E57="3808.61.00",OR(K57&gt;0.3001,K57=0)),"INCOMPATÍVEL — NCM 3808.61.00 exige emb. &lt;= 0,3kg/L (Emb. atual: "&amp;K57&amp;" "&amp;L57&amp;" -&gt; usar "&amp;Q57&amp;")",IF(AND(LEFT(E57,7)="3808.62",OR(K57&lt;=0.3001,K57&gt;7.5001)),"INCOMPATÍVEL — NCM 3808.62 exige emb. de 0,3 a 7,5kg/L (Emb. atual: "&amp;K57&amp;" "&amp;L57&amp;" -&gt; usar "&amp;Q57&amp;")",IF(AND(LEFT(E57,7)="3808.69",K57&gt;0,K57&lt;=7.5001),"INCOMPATÍVEL — NCM 3808.69 exige emb. &gt; 7,5kg/L (Emb. atual: "&amp;K57&amp;" "&amp;L57&amp;" -&gt; usar "&amp;Q57&amp;")",IF(AND(LEFT(Q57,6)="3808.6",LEFT(E57,6)&lt;&gt;"3808.6"),"INCOMPATÍVEL — Molécula Nota Subpos. 2 c/ emb. "&amp;K57&amp;" "&amp;L57&amp;" exige NCM "&amp;Q57,IF(AND(OR(E57="3808.91.19",E57="3808.92.19",E57="3808.93.19",E57="3808.99.19"),K57&gt;=1),"INCOMPATÍVEL — Subitem .19 (Domissanitário) vedado p/ emb. agrícola de "&amp;K57&amp;" "&amp;L57,IF(AND(E57="3105.10.00",K57&gt;10.0001),"INCOMPATÍVEL — NCM 3105.10.00 exige peso bruto &lt;= 10kg (Emb. atual: "&amp;K57&amp;" "&amp;L57&amp;" -&gt; usar 3105.90.90)",IF(AND(LEFT(E57,2)="29",LEFT(Q57,4)="3808",K57&gt;0),"INCOMPATÍVEL — Produto formulado em emb. comercial ("&amp;K57&amp;" "&amp;L57&amp;") vedado no Cap. 29 -&gt; usar "&amp;Q57,"CONFORME — Embalagem ("&amp;K57&amp;" "&amp;L57&amp;") compatível c/ a NCM"))))))))</f>
        <v/>
      </c>
      <c r="T57" s="17" t="str">
        <f aca="false">IF(B57="","",IF(IF(ISNUMBER(MATCH(A57,'4.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Produtos)'!$P$4:$P$848,IF(ISNUMBER(MATCH(A57,'4. Base Mestre (845 Produtos)'!$A$4:$A$848,0)),MATCH(A57,'4. Base Mestre (845 Produtos)'!$A$4:$A$848,0),IF(ISNUMBER(MATCH(B57,'4. Base Mestre (845 Produtos)'!$B$4:$B$848,0)),MATCH(B57,'4. Base Mestre (845 Produtos)'!$B$4:$B$848,0),0))),IF(ISNUMBER(MATCH(D57,'3. Dicionario Principios Ativos'!$A$4:$A$245,0)),INDEX('3. Dicionario Principios Ativos'!$K$4:$K$245,MATCH(D57,'3. Dicionario Principios Ativos'!$A$4:$A$245,0)),"VERIFICAR BULA")))</f>
        <v/>
      </c>
      <c r="U57" s="15" t="str">
        <f aca="false">IF(B57="","",IF(ISNUMBER(SEARCH("ISENTO",T57)),IF(OR(F57=0,F57="0",F57="ISENTO",F57=""),"CONFORME (DISPENSADO) — Isento pelo Ato SDA/MAPA nº 104/2017","INCORRETO — Produto isento de registro MAPA (usar 0 ou ISENTO)"),IF(ISNUMBER(SEARCH("SIPEAGRO",T57)),IF(ISNUMBER(SEARCH("-",F57)),"CONFORME — Registro SIPEAGRO ("&amp;F57&amp;") Preenchido","ADEQUAR P/ SIPEAGRO — Substituir 0 pelo Registro (UF-XXXXX-XXXXX.X)"),IF(ISNUMBER(SEARCH("VINCULAR",T57)),IF(AND(F57&lt;&gt;0,F57&lt;&gt;"0",F57&lt;&gt;""),"INCORRETO / TROCADO — Código "&amp;F57&amp;" pertence a outro produto (Vincular bula da marca)","VINCULAR MARCA — Cadastro de P.A. s/ marca fixa (Vincular registro na NF-e)"),IF(OR(F57=0,F57="0",F57=""),"AUSENTE (ZERO) — Preencher Registro Oficial MAPA nº "&amp;T57,IF(TEXT(F57,"0")=TEXT(T57,"0"),"CONFORME — Registro MAPA nº "&amp;T57&amp;" Validado na Bula","INCORRETO / TROCADO — Substituir "&amp;F57&amp;" pelo Registro Oficial nº "&amp;T57))))))</f>
        <v/>
      </c>
      <c r="V57" s="15" t="str">
        <f aca="false">IF(B57="","",IF(IF(ISNUMBER(MATCH(A57,'4.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Produtos)'!$S$4:$S$848,IF(ISNUMBER(MATCH(A57,'4. Base Mestre (845 Produtos)'!$A$4:$A$848,0)),MATCH(A57,'4. Base Mestre (845 Produtos)'!$A$4:$A$848,0),IF(ISNUMBER(MATCH(B57,'4. Base Mestre (845 Produtos)'!$B$4:$B$848,0)),MATCH(B57,'4. Base Mestre (845 Produtos)'!$B$4:$B$848,0),0))),IF(ISNUMBER(MATCH(D57,'3. Dicionario Principios Ativos'!$A$4:$A$245,0)),INDEX('3. Dicionario Principios Ativos'!$L$4:$L$245,MATCH(D57,'3. Dicionario Principios Ativos'!$A$4:$A$245,0)),"Verificar NCM")))</f>
        <v/>
      </c>
      <c r="W57" s="15" t="str">
        <f aca="false">IF(B57="","",IF(IF(ISNUMBER(MATCH(A57,'4. Base Mestre (845 Produtos)'!$A$4:$A$848,0)),MATCH(A57,'4. Base Mestre (845 Produtos)'!$A$4:$A$848,0),IF(ISNUMBER(MATCH(B57,'4. Base Mestre (845 Produtos)'!$B$4:$B$848,0)),MATCH(B57,'4. Base Mestre (845 Produtos)'!$B$4:$B$848,0),0))&gt;0,INDEX('4. Base Mestre (845 Produtos)'!$T$4:$T$848,IF(ISNUMBER(MATCH(A57,'4. Base Mestre (845 Produtos)'!$A$4:$A$848,0)),MATCH(A57,'4. Base Mestre (845 Produtos)'!$A$4:$A$848,0),IF(ISNUMBER(MATCH(B57,'4. Base Mestre (845 Produtos)'!$B$4:$B$848,0)),MATCH(B57,'4. Base Mestre (845 Produtos)'!$B$4:$B$848,0),0))),IF(ISNUMBER(MATCH(D57,'3. Dicionario Principios Ativos'!$A$4:$A$245,0)),INDEX('3. Dicionario Principios Ativos'!$M$4:$M$245,MATCH(D57,'3. Dicionario Principios Ativos'!$A$4:$A$245,0)),"Verificar CST")))</f>
        <v/>
      </c>
      <c r="X57" s="15" t="str">
        <f aca="false">IF(B57="","",IF(AND(LEFT(M57,8)="CONFORME",LEFT(P57,8)="CONFORME",LEFT(R57,8)="CONFORME",LEFT(S57,8)="CONFORME",LEFT(U57,8)="CONFORME"),"CADASTRO 100% CONFORME — LIBERADO P/ ERP",IF(AND(LEFT(M57,8)="CONFORME",LEFT(P57,8)="CONFORME",LEFT(R57,8)="CONFORME",LEFT(S57,8)="CONFORME",OR(LEFT(U57,7)="ADEQUAR",LEFT(U57,8)="VINCULAR")),"FISCAL E EMBALAGEM OK — ADEQUAR CAMPO MAPA (SIPEAGRO / MARCA)","BLOQUEADO — CORRIGIR DIVERGÊNCIAS APONTADAS ANTES DE LIBERAR NO ERP")))</f>
        <v/>
      </c>
    </row>
    <row r="58" customFormat="false" ht="19.5" hidden="false" customHeight="true" outlineLevel="0" collapsed="false">
      <c r="A58" s="12"/>
      <c r="B58" s="13"/>
      <c r="C58" s="12"/>
      <c r="D58" s="13"/>
      <c r="E58" s="12"/>
      <c r="F58" s="12"/>
      <c r="G58" s="14"/>
      <c r="H58" s="13" t="s">
        <v>166</v>
      </c>
      <c r="I58" s="20" t="str">
        <f aca="false">IF(B58="","",IF(ISNUMBER(MATCH(A58,'4. Base Mestre (845 Produtos)'!$A$4:$A$848,0)),"Localizado por Código ("&amp;A58&amp;") na Base Mestre",IF(ISNUMBER(MATCH(B58,'4. Base Mestre (845 Produtos)'!$B$4:$B$848,0)),"Localizado por Descrição na Base Mestre",IF(ISNUMBER(MATCH(D58,'3. Dicionario Principios Ativos'!$A$4:$A$245,0)),"Produto Novo — Validado pelo Dicionário de P.A.","Não Localizado — Revisar Código/P.A."))))</f>
        <v/>
      </c>
      <c r="J58" s="20" t="str">
        <f aca="false">IF(B58="","",IF(IF(ISNUMBER(MATCH(A58,'4.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Produtos)'!$I$4:$I$848,IF(ISNUMBER(MATCH(A58,'4. Base Mestre (845 Produtos)'!$A$4:$A$848,0)),MATCH(A58,'4. Base Mestre (845 Produtos)'!$A$4:$A$848,0),IF(ISNUMBER(MATCH(B58,'4. Base Mestre (845 Produtos)'!$B$4:$B$848,0)),MATCH(B58,'4. Base Mestre (845 Produtos)'!$B$4:$B$848,0),0))),IF(ISNUMBER(MATCH(D58,'3. Dicionario Principios Ativos'!$A$4:$A$245,0)),INDEX('3. Dicionario Principios Ativos'!$B$4:$B$245,MATCH(D58,'3. Dicionario Principios Ativos'!$A$4:$A$245,0)),"Revisar Classificação")))</f>
        <v/>
      </c>
      <c r="K58" s="21" t="str">
        <f aca="false">IF(B58="","",IF(G58&lt;&gt;"",G58,IF(OR(ISNUMBER(SEARCH("PRINCIPIO ATIVO",B58)),ISNUMBER(SEARCH("PRINC. ATIVO",B58)),ISNUMBER(SEARCH("PR. ATIVO",B58)),ISNUMBER(SEARCH("PR.AT.",B58)),ISNUMBER(SEARCH("(P.A",B58)),ISNUMBER(SEARCH("(P. A",B58))),0,IF(OR(ISNUMBER(SEARCH("0,100KG",B58)),ISNUMBER(SEARCH("0,1KG",B58)),ISNUMBER(SEARCH("0,100L",B58))),0.1,IF(OR(ISNUMBER(SEARCH("0,200L",B58)),ISNUMBER(SEARCH("0,2L",B58)),ISNUMBER(SEARCH("0,200KG",B58)),ISNUMBER(SEARCH("0,2KG",B58))),0.2,IF(OR(ISNUMBER(SEARCH("0,240KG",B58)),ISNUMBER(SEARCH("0,250L",B58))),0.24,IF(OR(ISNUMBER(SEARCH("0,300KG",B58)),ISNUMBER(SEARCH("0,3KG",B58))),0.3,IF(OR(ISNUMBER(SEARCH("0,500L",B58)),ISNUMBER(SEARCH("0,5L",B58)),ISNUMBER(SEARCH("0,5KG",B58))),0.5,IF(ISNUMBER(SEARCH("0,8KG",B58)),0.8,IF(OR(ISNUMBER(SEARCH("1,5L",B58)),ISNUMBER(SEARCH("1,5KG",B58))),1.5,IF(OR(ISNUMBER(SEARCH("1,75L",B58)),ISNUMBER(SEARCH("1,8L",B58)),ISNUMBER(SEARCH("1.8L",B58))),1.8,IF(ISNUMBER(SEARCH("4,5KG",B58)),4.5,IF(ISNUMBER(SEARCH("7,5KG",B58)),7.5,IF(OR(ISNUMBER(SEARCH("1000L",B58)),ISNUMBER(SEARCH("1000KG",B58)),ISNUMBER(SEARCH("1.000KG",B58)),ISNUMBER(SEARCH("1.000L",B58)),ISNUMBER(SEARCH("1000 KG",B58)),ISNUMBER(SEARCH("GRANEL",B58)),ISNUMBER(SEARCH("(TON)",B58))),1000,IF(ISNUMBER(SEARCH("200L",B58)),200,IF(OR(ISNUMBER(SEARCH("25KG",B58)),ISNUMBER(SEARCH("25L",B58))),25,IF(OR(ISNUMBER(SEARCH("20L",B58)),ISNUMBER(SEARCH("20KG",B58))),20,IF(ISNUMBER(SEARCH("15KG",B58)),15,IF(OR(ISNUMBER(SEARCH("10L",B58)),ISNUMBER(SEARCH("10KG",B58))),10,IF(OR(ISNUMBER(SEARCH("5L",B58)),ISNUMBER(SEARCH("5KG",B58)),ISNUMBER(SEARCH("5LT",B58))),5,IF(OR(ISNUMBER(SEARCH("3KG",B58)),ISNUMBER(SEARCH("3L",B58))),3,IF(OR(ISNUMBER(SEARCH("2L",B58)),ISNUMBER(SEARCH("2KG",B58))),2,IF(OR(ISNUMBER(SEARCH("1L",B58)),ISNUMBER(SEARCH("1KG",B58)),ISNUMBER(SEARCH("1LT",B58))),1,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Produtos)'!$D$4:$D$848,IF(ISNUMBER(MATCH(A58,'4. Base Mestre (845 Produtos)'!$A$4:$A$848,0)),MATCH(A58,'4. Base Mestre (845 Produtos)'!$A$4:$A$848,0),IF(ISNUMBER(MATCH(B58,'4. Base Mestre (845 Produtos)'!$B$4:$B$848,0)),MATCH(B58,'4. Base Mestre (845 Produtos)'!$B$4:$B$848,0),0))),1))))))))))))))))))))))))</f>
        <v/>
      </c>
      <c r="L58" s="22" t="str">
        <f aca="false">IF(B58="","",IF(OR(ISNUMBER(SEARCH("KG",B58)),ISNUMBER(SEARCH("GR",B58))),"KG",IF(OR(ISNUMBER(SEARCH("0,200L",B58)),ISNUMBER(SEARCH("0,2L",B58)),ISNUMBER(SEARCH("0,5L",B58)),ISNUMBER(SEARCH("1,5L",B58)),ISNUMBER(SEARCH("1,8L",B58)),ISNUMBER(SEARCH("1.8L",B58)),ISNUMBER(SEARCH("1L",B58)),ISNUMBER(SEARCH("2L",B58)),ISNUMBER(SEARCH("3L",B58)),ISNUMBER(SEARCH("5L",B58)),ISNUMBER(SEARCH("10L",B58)),ISNUMBER(SEARCH("20L",B58)),ISNUMBER(SEARCH("25L",B58)),ISNUMBER(SEARCH("200L",B58)),ISNUMBER(SEARCH("1000L",B58)),ISNUMBER(SEARCH("LT",B58))),"L",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Produtos)'!$E$4:$E$848,IF(ISNUMBER(MATCH(A58,'4. Base Mestre (845 Produtos)'!$A$4:$A$848,0)),MATCH(A58,'4. Base Mestre (845 Produtos)'!$A$4:$A$848,0),IF(ISNUMBER(MATCH(B58,'4. Base Mestre (845 Produtos)'!$B$4:$B$848,0)),MATCH(B58,'4. Base Mestre (845 Produtos)'!$B$4:$B$848,0),0))),C58))))</f>
        <v/>
      </c>
      <c r="M58" s="20" t="str">
        <f aca="false">IF(B58="","",IF(C58=L58,"CONFORME — Unidade ("&amp;C58&amp;") compatível c/ Embalagem","DIVERGENTE — Embalagem em "&amp;L58&amp;", mas cadastrado em "&amp;C58))</f>
        <v/>
      </c>
      <c r="N58" s="20" t="str">
        <f aca="false">IF(B58="","",IF(K58=0,"Granel / Produto Técnico (Sem Embalagem Comercial)",IF(K58&lt;=0.3001,"Faixa 1 TIPI: Até 300g/mL (3808.61.00 / 3105.10.00)",IF(K58&lt;=7.5001,"Faixa 2 TIPI: De 300g a 7,5kg/L (3808.62.90 / 3105.10.00)",IF(K58&lt;=10.0001,"Faixa 3 TIPI: De 7,5kg a 10kg/L (3808.69.90 / 3105.10.00)","Faixa 4 TIPI: Acima de 10kg/L (3808.69.90 / Cap. 31 Geral)")))))</f>
        <v/>
      </c>
      <c r="O58" s="20" t="str">
        <f aca="false">IF(B58="","",IF(IF(ISNUMBER(MATCH(A58,'4.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Produtos)'!$H$4:$H$848,IF(ISNUMBER(MATCH(A58,'4. Base Mestre (845 Produtos)'!$A$4:$A$848,0)),MATCH(A58,'4. Base Mestre (845 Produtos)'!$A$4:$A$848,0),IF(ISNUMBER(MATCH(B58,'4. Base Mestre (845 Produtos)'!$B$4:$B$848,0)),MATCH(B58,'4. Base Mestre (845 Produtos)'!$B$4:$B$848,0),0))),IF(ISNUMBER(MATCH(D58,'3. Dicionario Principios Ativos'!$A$4:$A$245,0)),INDEX('3. Dicionario Principios Ativos'!$A$4:$A$245,MATCH(D58,'3. Dicionario Principios Ativos'!$A$4:$A$245,0)),D58)))</f>
        <v/>
      </c>
      <c r="P58" s="20" t="str">
        <f aca="false">IF(B58="","",IF(D58=O58,"CONFORME — Princípio Ativo Validado","DIVERGENTE — Substituir por: "&amp;O58))</f>
        <v/>
      </c>
      <c r="Q58" s="22" t="str">
        <f aca="false">IF(B58="","",IF(IF(IF(ISNUMBER(MATCH(A58,'4.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Produtos)'!$J$4:$J$848,IF(ISNUMBER(MATCH(A58,'4. Base Mestre (845 Produtos)'!$A$4:$A$848,0)),MATCH(A58,'4. Base Mestre (845 Produtos)'!$A$4:$A$848,0),IF(ISNUMBER(MATCH(B58,'4. Base Mestre (845 Produtos)'!$B$4:$B$848,0)),MATCH(B58,'4. Base Mestre (845 Produtos)'!$B$4:$B$848,0),0)))="SIM",IF(ISNUMBER(MATCH(D58,'3. Dicionario Principios Ativos'!$A$4:$A$245,0)),INDEX('3. Dicionario Principios Ativos'!$C$4:$C$245,MATCH(D58,'3. Dicionario Principios Ativos'!$A$4:$A$245,0))="SIM",FALSE())),IF(AND(K58&gt;0,K58&lt;=0.3001),"3808.61.00",IF(AND(K58&gt;0.3001,K58&lt;=7.5001),"3808.62.90","3808.69.90")),IF(AND(LEFT(IF(IF(ISNUMBER(MATCH(A58,'4.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Produtos)'!$L$4:$L$848,IF(ISNUMBER(MATCH(A58,'4. Base Mestre (845 Produtos)'!$A$4:$A$848,0)),MATCH(A58,'4. Base Mestre (845 Produtos)'!$A$4:$A$848,0),IF(ISNUMBER(MATCH(B58,'4. Base Mestre (845 Produtos)'!$B$4:$B$848,0)),MATCH(B58,'4. Base Mestre (845 Produtos)'!$B$4:$B$848,0),0))),IF(ISNUMBER(MATCH(D58,'3. Dicionario Principios Ativos'!$A$4:$A$245,0)),INDEX('3. Dicionario Principios Ativos'!$D$4:$D$245,MATCH(D58,'3. Dicionario Principios Ativos'!$A$4:$A$245,0)),E58)),2)="31",E58="3105.10.00",K58&gt;0,K58&lt;=10.0001),"3105.10.00",IF(AND(IF(IF(ISNUMBER(MATCH(A58,'4.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Produtos)'!$L$4:$L$848,IF(ISNUMBER(MATCH(A58,'4. Base Mestre (845 Produtos)'!$A$4:$A$848,0)),MATCH(A58,'4. Base Mestre (845 Produtos)'!$A$4:$A$848,0),IF(ISNUMBER(MATCH(B58,'4. Base Mestre (845 Produtos)'!$B$4:$B$848,0)),MATCH(B58,'4. Base Mestre (845 Produtos)'!$B$4:$B$848,0),0))),IF(ISNUMBER(MATCH(D58,'3. Dicionario Principios Ativos'!$A$4:$A$245,0)),INDEX('3. Dicionario Principios Ativos'!$D$4:$D$245,MATCH(D58,'3. Dicionario Principios Ativos'!$A$4:$A$245,0)),E58))="3105.10.00",K58&gt;10.0001),"3105.90.90",IF(IF(ISNUMBER(MATCH(A58,'4.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Produtos)'!$L$4:$L$848,IF(ISNUMBER(MATCH(A58,'4. Base Mestre (845 Produtos)'!$A$4:$A$848,0)),MATCH(A58,'4. Base Mestre (845 Produtos)'!$A$4:$A$848,0),IF(ISNUMBER(MATCH(B58,'4. Base Mestre (845 Produtos)'!$B$4:$B$848,0)),MATCH(B58,'4. Base Mestre (845 Produtos)'!$B$4:$B$848,0),0))),IF(ISNUMBER(MATCH(D58,'3. Dicionario Principios Ativos'!$A$4:$A$245,0)),INDEX('3. Dicionario Principios Ativos'!$D$4:$D$245,MATCH(D58,'3. Dicionario Principios Ativos'!$A$4:$A$245,0)),E58))))))</f>
        <v/>
      </c>
      <c r="R58" s="20" t="str">
        <f aca="false">IF(B58="","",IF(OR(E58=Q58,AND(Q58="3002.49.99",E58="3002.90.00")),"CONFORME — NCM "&amp;E58&amp;" Correta na TIPI","DIVERGENTE — Substituir "&amp;E58&amp;" por "&amp;Q58))</f>
        <v/>
      </c>
      <c r="S58" s="20" t="str">
        <f aca="false">IF(B58="","",IF(AND(E58="3808.61.00",OR(K58&gt;0.3001,K58=0)),"INCOMPATÍVEL — NCM 3808.61.00 exige emb. &lt;= 0,3kg/L (Emb. atual: "&amp;K58&amp;" "&amp;L58&amp;" -&gt; usar "&amp;Q58&amp;")",IF(AND(LEFT(E58,7)="3808.62",OR(K58&lt;=0.3001,K58&gt;7.5001)),"INCOMPATÍVEL — NCM 3808.62 exige emb. de 0,3 a 7,5kg/L (Emb. atual: "&amp;K58&amp;" "&amp;L58&amp;" -&gt; usar "&amp;Q58&amp;")",IF(AND(LEFT(E58,7)="3808.69",K58&gt;0,K58&lt;=7.5001),"INCOMPATÍVEL — NCM 3808.69 exige emb. &gt; 7,5kg/L (Emb. atual: "&amp;K58&amp;" "&amp;L58&amp;" -&gt; usar "&amp;Q58&amp;")",IF(AND(LEFT(Q58,6)="3808.6",LEFT(E58,6)&lt;&gt;"3808.6"),"INCOMPATÍVEL — Molécula Nota Subpos. 2 c/ emb. "&amp;K58&amp;" "&amp;L58&amp;" exige NCM "&amp;Q58,IF(AND(OR(E58="3808.91.19",E58="3808.92.19",E58="3808.93.19",E58="3808.99.19"),K58&gt;=1),"INCOMPATÍVEL — Subitem .19 (Domissanitário) vedado p/ emb. agrícola de "&amp;K58&amp;" "&amp;L58,IF(AND(E58="3105.10.00",K58&gt;10.0001),"INCOMPATÍVEL — NCM 3105.10.00 exige peso bruto &lt;= 10kg (Emb. atual: "&amp;K58&amp;" "&amp;L58&amp;" -&gt; usar 3105.90.90)",IF(AND(LEFT(E58,2)="29",LEFT(Q58,4)="3808",K58&gt;0),"INCOMPATÍVEL — Produto formulado em emb. comercial ("&amp;K58&amp;" "&amp;L58&amp;") vedado no Cap. 29 -&gt; usar "&amp;Q58,"CONFORME — Embalagem ("&amp;K58&amp;" "&amp;L58&amp;") compatível c/ a NCM"))))))))</f>
        <v/>
      </c>
      <c r="T58" s="22" t="str">
        <f aca="false">IF(B58="","",IF(IF(ISNUMBER(MATCH(A58,'4.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Produtos)'!$P$4:$P$848,IF(ISNUMBER(MATCH(A58,'4. Base Mestre (845 Produtos)'!$A$4:$A$848,0)),MATCH(A58,'4. Base Mestre (845 Produtos)'!$A$4:$A$848,0),IF(ISNUMBER(MATCH(B58,'4. Base Mestre (845 Produtos)'!$B$4:$B$848,0)),MATCH(B58,'4. Base Mestre (845 Produtos)'!$B$4:$B$848,0),0))),IF(ISNUMBER(MATCH(D58,'3. Dicionario Principios Ativos'!$A$4:$A$245,0)),INDEX('3. Dicionario Principios Ativos'!$K$4:$K$245,MATCH(D58,'3. Dicionario Principios Ativos'!$A$4:$A$245,0)),"VERIFICAR BULA")))</f>
        <v/>
      </c>
      <c r="U58" s="20" t="str">
        <f aca="false">IF(B58="","",IF(ISNUMBER(SEARCH("ISENTO",T58)),IF(OR(F58=0,F58="0",F58="ISENTO",F58=""),"CONFORME (DISPENSADO) — Isento pelo Ato SDA/MAPA nº 104/2017","INCORRETO — Produto isento de registro MAPA (usar 0 ou ISENTO)"),IF(ISNUMBER(SEARCH("SIPEAGRO",T58)),IF(ISNUMBER(SEARCH("-",F58)),"CONFORME — Registro SIPEAGRO ("&amp;F58&amp;") Preenchido","ADEQUAR P/ SIPEAGRO — Substituir 0 pelo Registro (UF-XXXXX-XXXXX.X)"),IF(ISNUMBER(SEARCH("VINCULAR",T58)),IF(AND(F58&lt;&gt;0,F58&lt;&gt;"0",F58&lt;&gt;""),"INCORRETO / TROCADO — Código "&amp;F58&amp;" pertence a outro produto (Vincular bula da marca)","VINCULAR MARCA — Cadastro de P.A. s/ marca fixa (Vincular registro na NF-e)"),IF(OR(F58=0,F58="0",F58=""),"AUSENTE (ZERO) — Preencher Registro Oficial MAPA nº "&amp;T58,IF(TEXT(F58,"0")=TEXT(T58,"0"),"CONFORME — Registro MAPA nº "&amp;T58&amp;" Validado na Bula","INCORRETO / TROCADO — Substituir "&amp;F58&amp;" pelo Registro Oficial nº "&amp;T58))))))</f>
        <v/>
      </c>
      <c r="V58" s="20" t="str">
        <f aca="false">IF(B58="","",IF(IF(ISNUMBER(MATCH(A58,'4.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Produtos)'!$S$4:$S$848,IF(ISNUMBER(MATCH(A58,'4. Base Mestre (845 Produtos)'!$A$4:$A$848,0)),MATCH(A58,'4. Base Mestre (845 Produtos)'!$A$4:$A$848,0),IF(ISNUMBER(MATCH(B58,'4. Base Mestre (845 Produtos)'!$B$4:$B$848,0)),MATCH(B58,'4. Base Mestre (845 Produtos)'!$B$4:$B$848,0),0))),IF(ISNUMBER(MATCH(D58,'3. Dicionario Principios Ativos'!$A$4:$A$245,0)),INDEX('3. Dicionario Principios Ativos'!$L$4:$L$245,MATCH(D58,'3. Dicionario Principios Ativos'!$A$4:$A$245,0)),"Verificar NCM")))</f>
        <v/>
      </c>
      <c r="W58" s="20" t="str">
        <f aca="false">IF(B58="","",IF(IF(ISNUMBER(MATCH(A58,'4. Base Mestre (845 Produtos)'!$A$4:$A$848,0)),MATCH(A58,'4. Base Mestre (845 Produtos)'!$A$4:$A$848,0),IF(ISNUMBER(MATCH(B58,'4. Base Mestre (845 Produtos)'!$B$4:$B$848,0)),MATCH(B58,'4. Base Mestre (845 Produtos)'!$B$4:$B$848,0),0))&gt;0,INDEX('4. Base Mestre (845 Produtos)'!$T$4:$T$848,IF(ISNUMBER(MATCH(A58,'4. Base Mestre (845 Produtos)'!$A$4:$A$848,0)),MATCH(A58,'4. Base Mestre (845 Produtos)'!$A$4:$A$848,0),IF(ISNUMBER(MATCH(B58,'4. Base Mestre (845 Produtos)'!$B$4:$B$848,0)),MATCH(B58,'4. Base Mestre (845 Produtos)'!$B$4:$B$848,0),0))),IF(ISNUMBER(MATCH(D58,'3. Dicionario Principios Ativos'!$A$4:$A$245,0)),INDEX('3. Dicionario Principios Ativos'!$M$4:$M$245,MATCH(D58,'3. Dicionario Principios Ativos'!$A$4:$A$245,0)),"Verificar CST")))</f>
        <v/>
      </c>
      <c r="X58" s="20" t="str">
        <f aca="false">IF(B58="","",IF(AND(LEFT(M58,8)="CONFORME",LEFT(P58,8)="CONFORME",LEFT(R58,8)="CONFORME",LEFT(S58,8)="CONFORME",LEFT(U58,8)="CONFORME"),"CADASTRO 100% CONFORME — LIBERADO P/ ERP",IF(AND(LEFT(M58,8)="CONFORME",LEFT(P58,8)="CONFORME",LEFT(R58,8)="CONFORME",LEFT(S58,8)="CONFORME",OR(LEFT(U58,7)="ADEQUAR",LEFT(U58,8)="VINCULAR")),"FISCAL E EMBALAGEM OK — ADEQUAR CAMPO MAPA (SIPEAGRO / MARCA)","BLOQUEADO — CORRIGIR DIVERGÊNCIAS APONTADAS ANTES DE LIBERAR NO ERP")))</f>
        <v/>
      </c>
    </row>
    <row r="59" customFormat="false" ht="19.5" hidden="false" customHeight="true" outlineLevel="0" collapsed="false">
      <c r="A59" s="12"/>
      <c r="B59" s="13"/>
      <c r="C59" s="12"/>
      <c r="D59" s="13"/>
      <c r="E59" s="12"/>
      <c r="F59" s="12"/>
      <c r="G59" s="14"/>
      <c r="H59" s="13" t="s">
        <v>166</v>
      </c>
      <c r="I59" s="15" t="str">
        <f aca="false">IF(B59="","",IF(ISNUMBER(MATCH(A59,'4. Base Mestre (845 Produtos)'!$A$4:$A$848,0)),"Localizado por Código ("&amp;A59&amp;") na Base Mestre",IF(ISNUMBER(MATCH(B59,'4. Base Mestre (845 Produtos)'!$B$4:$B$848,0)),"Localizado por Descrição na Base Mestre",IF(ISNUMBER(MATCH(D59,'3. Dicionario Principios Ativos'!$A$4:$A$245,0)),"Produto Novo — Validado pelo Dicionário de P.A.","Não Localizado — Revisar Código/P.A."))))</f>
        <v/>
      </c>
      <c r="J59" s="15" t="str">
        <f aca="false">IF(B59="","",IF(IF(ISNUMBER(MATCH(A59,'4.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Produtos)'!$I$4:$I$848,IF(ISNUMBER(MATCH(A59,'4. Base Mestre (845 Produtos)'!$A$4:$A$848,0)),MATCH(A59,'4. Base Mestre (845 Produtos)'!$A$4:$A$848,0),IF(ISNUMBER(MATCH(B59,'4. Base Mestre (845 Produtos)'!$B$4:$B$848,0)),MATCH(B59,'4. Base Mestre (845 Produtos)'!$B$4:$B$848,0),0))),IF(ISNUMBER(MATCH(D59,'3. Dicionario Principios Ativos'!$A$4:$A$245,0)),INDEX('3. Dicionario Principios Ativos'!$B$4:$B$245,MATCH(D59,'3. Dicionario Principios Ativos'!$A$4:$A$245,0)),"Revisar Classificação")))</f>
        <v/>
      </c>
      <c r="K59" s="16" t="str">
        <f aca="false">IF(B59="","",IF(G59&lt;&gt;"",G59,IF(OR(ISNUMBER(SEARCH("PRINCIPIO ATIVO",B59)),ISNUMBER(SEARCH("PRINC. ATIVO",B59)),ISNUMBER(SEARCH("PR. ATIVO",B59)),ISNUMBER(SEARCH("PR.AT.",B59)),ISNUMBER(SEARCH("(P.A",B59)),ISNUMBER(SEARCH("(P. A",B59))),0,IF(OR(ISNUMBER(SEARCH("0,100KG",B59)),ISNUMBER(SEARCH("0,1KG",B59)),ISNUMBER(SEARCH("0,100L",B59))),0.1,IF(OR(ISNUMBER(SEARCH("0,200L",B59)),ISNUMBER(SEARCH("0,2L",B59)),ISNUMBER(SEARCH("0,200KG",B59)),ISNUMBER(SEARCH("0,2KG",B59))),0.2,IF(OR(ISNUMBER(SEARCH("0,240KG",B59)),ISNUMBER(SEARCH("0,250L",B59))),0.24,IF(OR(ISNUMBER(SEARCH("0,300KG",B59)),ISNUMBER(SEARCH("0,3KG",B59))),0.3,IF(OR(ISNUMBER(SEARCH("0,500L",B59)),ISNUMBER(SEARCH("0,5L",B59)),ISNUMBER(SEARCH("0,5KG",B59))),0.5,IF(ISNUMBER(SEARCH("0,8KG",B59)),0.8,IF(OR(ISNUMBER(SEARCH("1,5L",B59)),ISNUMBER(SEARCH("1,5KG",B59))),1.5,IF(OR(ISNUMBER(SEARCH("1,75L",B59)),ISNUMBER(SEARCH("1,8L",B59)),ISNUMBER(SEARCH("1.8L",B59))),1.8,IF(ISNUMBER(SEARCH("4,5KG",B59)),4.5,IF(ISNUMBER(SEARCH("7,5KG",B59)),7.5,IF(OR(ISNUMBER(SEARCH("1000L",B59)),ISNUMBER(SEARCH("1000KG",B59)),ISNUMBER(SEARCH("1.000KG",B59)),ISNUMBER(SEARCH("1.000L",B59)),ISNUMBER(SEARCH("1000 KG",B59)),ISNUMBER(SEARCH("GRANEL",B59)),ISNUMBER(SEARCH("(TON)",B59))),1000,IF(ISNUMBER(SEARCH("200L",B59)),200,IF(OR(ISNUMBER(SEARCH("25KG",B59)),ISNUMBER(SEARCH("25L",B59))),25,IF(OR(ISNUMBER(SEARCH("20L",B59)),ISNUMBER(SEARCH("20KG",B59))),20,IF(ISNUMBER(SEARCH("15KG",B59)),15,IF(OR(ISNUMBER(SEARCH("10L",B59)),ISNUMBER(SEARCH("10KG",B59))),10,IF(OR(ISNUMBER(SEARCH("5L",B59)),ISNUMBER(SEARCH("5KG",B59)),ISNUMBER(SEARCH("5LT",B59))),5,IF(OR(ISNUMBER(SEARCH("3KG",B59)),ISNUMBER(SEARCH("3L",B59))),3,IF(OR(ISNUMBER(SEARCH("2L",B59)),ISNUMBER(SEARCH("2KG",B59))),2,IF(OR(ISNUMBER(SEARCH("1L",B59)),ISNUMBER(SEARCH("1KG",B59)),ISNUMBER(SEARCH("1LT",B59))),1,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Produtos)'!$D$4:$D$848,IF(ISNUMBER(MATCH(A59,'4. Base Mestre (845 Produtos)'!$A$4:$A$848,0)),MATCH(A59,'4. Base Mestre (845 Produtos)'!$A$4:$A$848,0),IF(ISNUMBER(MATCH(B59,'4. Base Mestre (845 Produtos)'!$B$4:$B$848,0)),MATCH(B59,'4. Base Mestre (845 Produtos)'!$B$4:$B$848,0),0))),1))))))))))))))))))))))))</f>
        <v/>
      </c>
      <c r="L59" s="17" t="str">
        <f aca="false">IF(B59="","",IF(OR(ISNUMBER(SEARCH("KG",B59)),ISNUMBER(SEARCH("GR",B59))),"KG",IF(OR(ISNUMBER(SEARCH("0,200L",B59)),ISNUMBER(SEARCH("0,2L",B59)),ISNUMBER(SEARCH("0,5L",B59)),ISNUMBER(SEARCH("1,5L",B59)),ISNUMBER(SEARCH("1,8L",B59)),ISNUMBER(SEARCH("1.8L",B59)),ISNUMBER(SEARCH("1L",B59)),ISNUMBER(SEARCH("2L",B59)),ISNUMBER(SEARCH("3L",B59)),ISNUMBER(SEARCH("5L",B59)),ISNUMBER(SEARCH("10L",B59)),ISNUMBER(SEARCH("20L",B59)),ISNUMBER(SEARCH("25L",B59)),ISNUMBER(SEARCH("200L",B59)),ISNUMBER(SEARCH("1000L",B59)),ISNUMBER(SEARCH("LT",B59))),"L",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Produtos)'!$E$4:$E$848,IF(ISNUMBER(MATCH(A59,'4. Base Mestre (845 Produtos)'!$A$4:$A$848,0)),MATCH(A59,'4. Base Mestre (845 Produtos)'!$A$4:$A$848,0),IF(ISNUMBER(MATCH(B59,'4. Base Mestre (845 Produtos)'!$B$4:$B$848,0)),MATCH(B59,'4. Base Mestre (845 Produtos)'!$B$4:$B$848,0),0))),C59))))</f>
        <v/>
      </c>
      <c r="M59" s="15" t="str">
        <f aca="false">IF(B59="","",IF(C59=L59,"CONFORME — Unidade ("&amp;C59&amp;") compatível c/ Embalagem","DIVERGENTE — Embalagem em "&amp;L59&amp;", mas cadastrado em "&amp;C59))</f>
        <v/>
      </c>
      <c r="N59" s="15" t="str">
        <f aca="false">IF(B59="","",IF(K59=0,"Granel / Produto Técnico (Sem Embalagem Comercial)",IF(K59&lt;=0.3001,"Faixa 1 TIPI: Até 300g/mL (3808.61.00 / 3105.10.00)",IF(K59&lt;=7.5001,"Faixa 2 TIPI: De 300g a 7,5kg/L (3808.62.90 / 3105.10.00)",IF(K59&lt;=10.0001,"Faixa 3 TIPI: De 7,5kg a 10kg/L (3808.69.90 / 3105.10.00)","Faixa 4 TIPI: Acima de 10kg/L (3808.69.90 / Cap. 31 Geral)")))))</f>
        <v/>
      </c>
      <c r="O59" s="15" t="str">
        <f aca="false">IF(B59="","",IF(IF(ISNUMBER(MATCH(A59,'4.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Produtos)'!$H$4:$H$848,IF(ISNUMBER(MATCH(A59,'4. Base Mestre (845 Produtos)'!$A$4:$A$848,0)),MATCH(A59,'4. Base Mestre (845 Produtos)'!$A$4:$A$848,0),IF(ISNUMBER(MATCH(B59,'4. Base Mestre (845 Produtos)'!$B$4:$B$848,0)),MATCH(B59,'4. Base Mestre (845 Produtos)'!$B$4:$B$848,0),0))),IF(ISNUMBER(MATCH(D59,'3. Dicionario Principios Ativos'!$A$4:$A$245,0)),INDEX('3. Dicionario Principios Ativos'!$A$4:$A$245,MATCH(D59,'3. Dicionario Principios Ativos'!$A$4:$A$245,0)),D59)))</f>
        <v/>
      </c>
      <c r="P59" s="15" t="str">
        <f aca="false">IF(B59="","",IF(D59=O59,"CONFORME — Princípio Ativo Validado","DIVERGENTE — Substituir por: "&amp;O59))</f>
        <v/>
      </c>
      <c r="Q59" s="17" t="str">
        <f aca="false">IF(B59="","",IF(IF(IF(ISNUMBER(MATCH(A59,'4.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Produtos)'!$J$4:$J$848,IF(ISNUMBER(MATCH(A59,'4. Base Mestre (845 Produtos)'!$A$4:$A$848,0)),MATCH(A59,'4. Base Mestre (845 Produtos)'!$A$4:$A$848,0),IF(ISNUMBER(MATCH(B59,'4. Base Mestre (845 Produtos)'!$B$4:$B$848,0)),MATCH(B59,'4. Base Mestre (845 Produtos)'!$B$4:$B$848,0),0)))="SIM",IF(ISNUMBER(MATCH(D59,'3. Dicionario Principios Ativos'!$A$4:$A$245,0)),INDEX('3. Dicionario Principios Ativos'!$C$4:$C$245,MATCH(D59,'3. Dicionario Principios Ativos'!$A$4:$A$245,0))="SIM",FALSE())),IF(AND(K59&gt;0,K59&lt;=0.3001),"3808.61.00",IF(AND(K59&gt;0.3001,K59&lt;=7.5001),"3808.62.90","3808.69.90")),IF(AND(LEFT(IF(IF(ISNUMBER(MATCH(A59,'4.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Produtos)'!$L$4:$L$848,IF(ISNUMBER(MATCH(A59,'4. Base Mestre (845 Produtos)'!$A$4:$A$848,0)),MATCH(A59,'4. Base Mestre (845 Produtos)'!$A$4:$A$848,0),IF(ISNUMBER(MATCH(B59,'4. Base Mestre (845 Produtos)'!$B$4:$B$848,0)),MATCH(B59,'4. Base Mestre (845 Produtos)'!$B$4:$B$848,0),0))),IF(ISNUMBER(MATCH(D59,'3. Dicionario Principios Ativos'!$A$4:$A$245,0)),INDEX('3. Dicionario Principios Ativos'!$D$4:$D$245,MATCH(D59,'3. Dicionario Principios Ativos'!$A$4:$A$245,0)),E59)),2)="31",E59="3105.10.00",K59&gt;0,K59&lt;=10.0001),"3105.10.00",IF(AND(IF(IF(ISNUMBER(MATCH(A59,'4.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Produtos)'!$L$4:$L$848,IF(ISNUMBER(MATCH(A59,'4. Base Mestre (845 Produtos)'!$A$4:$A$848,0)),MATCH(A59,'4. Base Mestre (845 Produtos)'!$A$4:$A$848,0),IF(ISNUMBER(MATCH(B59,'4. Base Mestre (845 Produtos)'!$B$4:$B$848,0)),MATCH(B59,'4. Base Mestre (845 Produtos)'!$B$4:$B$848,0),0))),IF(ISNUMBER(MATCH(D59,'3. Dicionario Principios Ativos'!$A$4:$A$245,0)),INDEX('3. Dicionario Principios Ativos'!$D$4:$D$245,MATCH(D59,'3. Dicionario Principios Ativos'!$A$4:$A$245,0)),E59))="3105.10.00",K59&gt;10.0001),"3105.90.90",IF(IF(ISNUMBER(MATCH(A59,'4.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Produtos)'!$L$4:$L$848,IF(ISNUMBER(MATCH(A59,'4. Base Mestre (845 Produtos)'!$A$4:$A$848,0)),MATCH(A59,'4. Base Mestre (845 Produtos)'!$A$4:$A$848,0),IF(ISNUMBER(MATCH(B59,'4. Base Mestre (845 Produtos)'!$B$4:$B$848,0)),MATCH(B59,'4. Base Mestre (845 Produtos)'!$B$4:$B$848,0),0))),IF(ISNUMBER(MATCH(D59,'3. Dicionario Principios Ativos'!$A$4:$A$245,0)),INDEX('3. Dicionario Principios Ativos'!$D$4:$D$245,MATCH(D59,'3. Dicionario Principios Ativos'!$A$4:$A$245,0)),E59))))))</f>
        <v/>
      </c>
      <c r="R59" s="15" t="str">
        <f aca="false">IF(B59="","",IF(OR(E59=Q59,AND(Q59="3002.49.99",E59="3002.90.00")),"CONFORME — NCM "&amp;E59&amp;" Correta na TIPI","DIVERGENTE — Substituir "&amp;E59&amp;" por "&amp;Q59))</f>
        <v/>
      </c>
      <c r="S59" s="15" t="str">
        <f aca="false">IF(B59="","",IF(AND(E59="3808.61.00",OR(K59&gt;0.3001,K59=0)),"INCOMPATÍVEL — NCM 3808.61.00 exige emb. &lt;= 0,3kg/L (Emb. atual: "&amp;K59&amp;" "&amp;L59&amp;" -&gt; usar "&amp;Q59&amp;")",IF(AND(LEFT(E59,7)="3808.62",OR(K59&lt;=0.3001,K59&gt;7.5001)),"INCOMPATÍVEL — NCM 3808.62 exige emb. de 0,3 a 7,5kg/L (Emb. atual: "&amp;K59&amp;" "&amp;L59&amp;" -&gt; usar "&amp;Q59&amp;")",IF(AND(LEFT(E59,7)="3808.69",K59&gt;0,K59&lt;=7.5001),"INCOMPATÍVEL — NCM 3808.69 exige emb. &gt; 7,5kg/L (Emb. atual: "&amp;K59&amp;" "&amp;L59&amp;" -&gt; usar "&amp;Q59&amp;")",IF(AND(LEFT(Q59,6)="3808.6",LEFT(E59,6)&lt;&gt;"3808.6"),"INCOMPATÍVEL — Molécula Nota Subpos. 2 c/ emb. "&amp;K59&amp;" "&amp;L59&amp;" exige NCM "&amp;Q59,IF(AND(OR(E59="3808.91.19",E59="3808.92.19",E59="3808.93.19",E59="3808.99.19"),K59&gt;=1),"INCOMPATÍVEL — Subitem .19 (Domissanitário) vedado p/ emb. agrícola de "&amp;K59&amp;" "&amp;L59,IF(AND(E59="3105.10.00",K59&gt;10.0001),"INCOMPATÍVEL — NCM 3105.10.00 exige peso bruto &lt;= 10kg (Emb. atual: "&amp;K59&amp;" "&amp;L59&amp;" -&gt; usar 3105.90.90)",IF(AND(LEFT(E59,2)="29",LEFT(Q59,4)="3808",K59&gt;0),"INCOMPATÍVEL — Produto formulado em emb. comercial ("&amp;K59&amp;" "&amp;L59&amp;") vedado no Cap. 29 -&gt; usar "&amp;Q59,"CONFORME — Embalagem ("&amp;K59&amp;" "&amp;L59&amp;") compatível c/ a NCM"))))))))</f>
        <v/>
      </c>
      <c r="T59" s="17" t="str">
        <f aca="false">IF(B59="","",IF(IF(ISNUMBER(MATCH(A59,'4.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Produtos)'!$P$4:$P$848,IF(ISNUMBER(MATCH(A59,'4. Base Mestre (845 Produtos)'!$A$4:$A$848,0)),MATCH(A59,'4. Base Mestre (845 Produtos)'!$A$4:$A$848,0),IF(ISNUMBER(MATCH(B59,'4. Base Mestre (845 Produtos)'!$B$4:$B$848,0)),MATCH(B59,'4. Base Mestre (845 Produtos)'!$B$4:$B$848,0),0))),IF(ISNUMBER(MATCH(D59,'3. Dicionario Principios Ativos'!$A$4:$A$245,0)),INDEX('3. Dicionario Principios Ativos'!$K$4:$K$245,MATCH(D59,'3. Dicionario Principios Ativos'!$A$4:$A$245,0)),"VERIFICAR BULA")))</f>
        <v/>
      </c>
      <c r="U59" s="15" t="str">
        <f aca="false">IF(B59="","",IF(ISNUMBER(SEARCH("ISENTO",T59)),IF(OR(F59=0,F59="0",F59="ISENTO",F59=""),"CONFORME (DISPENSADO) — Isento pelo Ato SDA/MAPA nº 104/2017","INCORRETO — Produto isento de registro MAPA (usar 0 ou ISENTO)"),IF(ISNUMBER(SEARCH("SIPEAGRO",T59)),IF(ISNUMBER(SEARCH("-",F59)),"CONFORME — Registro SIPEAGRO ("&amp;F59&amp;") Preenchido","ADEQUAR P/ SIPEAGRO — Substituir 0 pelo Registro (UF-XXXXX-XXXXX.X)"),IF(ISNUMBER(SEARCH("VINCULAR",T59)),IF(AND(F59&lt;&gt;0,F59&lt;&gt;"0",F59&lt;&gt;""),"INCORRETO / TROCADO — Código "&amp;F59&amp;" pertence a outro produto (Vincular bula da marca)","VINCULAR MARCA — Cadastro de P.A. s/ marca fixa (Vincular registro na NF-e)"),IF(OR(F59=0,F59="0",F59=""),"AUSENTE (ZERO) — Preencher Registro Oficial MAPA nº "&amp;T59,IF(TEXT(F59,"0")=TEXT(T59,"0"),"CONFORME — Registro MAPA nº "&amp;T59&amp;" Validado na Bula","INCORRETO / TROCADO — Substituir "&amp;F59&amp;" pelo Registro Oficial nº "&amp;T59))))))</f>
        <v/>
      </c>
      <c r="V59" s="15" t="str">
        <f aca="false">IF(B59="","",IF(IF(ISNUMBER(MATCH(A59,'4.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Produtos)'!$S$4:$S$848,IF(ISNUMBER(MATCH(A59,'4. Base Mestre (845 Produtos)'!$A$4:$A$848,0)),MATCH(A59,'4. Base Mestre (845 Produtos)'!$A$4:$A$848,0),IF(ISNUMBER(MATCH(B59,'4. Base Mestre (845 Produtos)'!$B$4:$B$848,0)),MATCH(B59,'4. Base Mestre (845 Produtos)'!$B$4:$B$848,0),0))),IF(ISNUMBER(MATCH(D59,'3. Dicionario Principios Ativos'!$A$4:$A$245,0)),INDEX('3. Dicionario Principios Ativos'!$L$4:$L$245,MATCH(D59,'3. Dicionario Principios Ativos'!$A$4:$A$245,0)),"Verificar NCM")))</f>
        <v/>
      </c>
      <c r="W59" s="15" t="str">
        <f aca="false">IF(B59="","",IF(IF(ISNUMBER(MATCH(A59,'4. Base Mestre (845 Produtos)'!$A$4:$A$848,0)),MATCH(A59,'4. Base Mestre (845 Produtos)'!$A$4:$A$848,0),IF(ISNUMBER(MATCH(B59,'4. Base Mestre (845 Produtos)'!$B$4:$B$848,0)),MATCH(B59,'4. Base Mestre (845 Produtos)'!$B$4:$B$848,0),0))&gt;0,INDEX('4. Base Mestre (845 Produtos)'!$T$4:$T$848,IF(ISNUMBER(MATCH(A59,'4. Base Mestre (845 Produtos)'!$A$4:$A$848,0)),MATCH(A59,'4. Base Mestre (845 Produtos)'!$A$4:$A$848,0),IF(ISNUMBER(MATCH(B59,'4. Base Mestre (845 Produtos)'!$B$4:$B$848,0)),MATCH(B59,'4. Base Mestre (845 Produtos)'!$B$4:$B$848,0),0))),IF(ISNUMBER(MATCH(D59,'3. Dicionario Principios Ativos'!$A$4:$A$245,0)),INDEX('3. Dicionario Principios Ativos'!$M$4:$M$245,MATCH(D59,'3. Dicionario Principios Ativos'!$A$4:$A$245,0)),"Verificar CST")))</f>
        <v/>
      </c>
      <c r="X59" s="15" t="str">
        <f aca="false">IF(B59="","",IF(AND(LEFT(M59,8)="CONFORME",LEFT(P59,8)="CONFORME",LEFT(R59,8)="CONFORME",LEFT(S59,8)="CONFORME",LEFT(U59,8)="CONFORME"),"CADASTRO 100% CONFORME — LIBERADO P/ ERP",IF(AND(LEFT(M59,8)="CONFORME",LEFT(P59,8)="CONFORME",LEFT(R59,8)="CONFORME",LEFT(S59,8)="CONFORME",OR(LEFT(U59,7)="ADEQUAR",LEFT(U59,8)="VINCULAR")),"FISCAL E EMBALAGEM OK — ADEQUAR CAMPO MAPA (SIPEAGRO / MARCA)","BLOQUEADO — CORRIGIR DIVERGÊNCIAS APONTADAS ANTES DE LIBERAR NO ERP")))</f>
        <v/>
      </c>
    </row>
    <row r="60" customFormat="false" ht="19.5" hidden="false" customHeight="true" outlineLevel="0" collapsed="false">
      <c r="A60" s="12"/>
      <c r="B60" s="13"/>
      <c r="C60" s="12"/>
      <c r="D60" s="13"/>
      <c r="E60" s="12"/>
      <c r="F60" s="12"/>
      <c r="G60" s="14"/>
      <c r="H60" s="13" t="s">
        <v>166</v>
      </c>
      <c r="I60" s="20" t="str">
        <f aca="false">IF(B60="","",IF(ISNUMBER(MATCH(A60,'4. Base Mestre (845 Produtos)'!$A$4:$A$848,0)),"Localizado por Código ("&amp;A60&amp;") na Base Mestre",IF(ISNUMBER(MATCH(B60,'4. Base Mestre (845 Produtos)'!$B$4:$B$848,0)),"Localizado por Descrição na Base Mestre",IF(ISNUMBER(MATCH(D60,'3. Dicionario Principios Ativos'!$A$4:$A$245,0)),"Produto Novo — Validado pelo Dicionário de P.A.","Não Localizado — Revisar Código/P.A."))))</f>
        <v/>
      </c>
      <c r="J60" s="20" t="str">
        <f aca="false">IF(B60="","",IF(IF(ISNUMBER(MATCH(A60,'4.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Produtos)'!$I$4:$I$848,IF(ISNUMBER(MATCH(A60,'4. Base Mestre (845 Produtos)'!$A$4:$A$848,0)),MATCH(A60,'4. Base Mestre (845 Produtos)'!$A$4:$A$848,0),IF(ISNUMBER(MATCH(B60,'4. Base Mestre (845 Produtos)'!$B$4:$B$848,0)),MATCH(B60,'4. Base Mestre (845 Produtos)'!$B$4:$B$848,0),0))),IF(ISNUMBER(MATCH(D60,'3. Dicionario Principios Ativos'!$A$4:$A$245,0)),INDEX('3. Dicionario Principios Ativos'!$B$4:$B$245,MATCH(D60,'3. Dicionario Principios Ativos'!$A$4:$A$245,0)),"Revisar Classificação")))</f>
        <v/>
      </c>
      <c r="K60" s="21" t="str">
        <f aca="false">IF(B60="","",IF(G60&lt;&gt;"",G60,IF(OR(ISNUMBER(SEARCH("PRINCIPIO ATIVO",B60)),ISNUMBER(SEARCH("PRINC. ATIVO",B60)),ISNUMBER(SEARCH("PR. ATIVO",B60)),ISNUMBER(SEARCH("PR.AT.",B60)),ISNUMBER(SEARCH("(P.A",B60)),ISNUMBER(SEARCH("(P. A",B60))),0,IF(OR(ISNUMBER(SEARCH("0,100KG",B60)),ISNUMBER(SEARCH("0,1KG",B60)),ISNUMBER(SEARCH("0,100L",B60))),0.1,IF(OR(ISNUMBER(SEARCH("0,200L",B60)),ISNUMBER(SEARCH("0,2L",B60)),ISNUMBER(SEARCH("0,200KG",B60)),ISNUMBER(SEARCH("0,2KG",B60))),0.2,IF(OR(ISNUMBER(SEARCH("0,240KG",B60)),ISNUMBER(SEARCH("0,250L",B60))),0.24,IF(OR(ISNUMBER(SEARCH("0,300KG",B60)),ISNUMBER(SEARCH("0,3KG",B60))),0.3,IF(OR(ISNUMBER(SEARCH("0,500L",B60)),ISNUMBER(SEARCH("0,5L",B60)),ISNUMBER(SEARCH("0,5KG",B60))),0.5,IF(ISNUMBER(SEARCH("0,8KG",B60)),0.8,IF(OR(ISNUMBER(SEARCH("1,5L",B60)),ISNUMBER(SEARCH("1,5KG",B60))),1.5,IF(OR(ISNUMBER(SEARCH("1,75L",B60)),ISNUMBER(SEARCH("1,8L",B60)),ISNUMBER(SEARCH("1.8L",B60))),1.8,IF(ISNUMBER(SEARCH("4,5KG",B60)),4.5,IF(ISNUMBER(SEARCH("7,5KG",B60)),7.5,IF(OR(ISNUMBER(SEARCH("1000L",B60)),ISNUMBER(SEARCH("1000KG",B60)),ISNUMBER(SEARCH("1.000KG",B60)),ISNUMBER(SEARCH("1.000L",B60)),ISNUMBER(SEARCH("1000 KG",B60)),ISNUMBER(SEARCH("GRANEL",B60)),ISNUMBER(SEARCH("(TON)",B60))),1000,IF(ISNUMBER(SEARCH("200L",B60)),200,IF(OR(ISNUMBER(SEARCH("25KG",B60)),ISNUMBER(SEARCH("25L",B60))),25,IF(OR(ISNUMBER(SEARCH("20L",B60)),ISNUMBER(SEARCH("20KG",B60))),20,IF(ISNUMBER(SEARCH("15KG",B60)),15,IF(OR(ISNUMBER(SEARCH("10L",B60)),ISNUMBER(SEARCH("10KG",B60))),10,IF(OR(ISNUMBER(SEARCH("5L",B60)),ISNUMBER(SEARCH("5KG",B60)),ISNUMBER(SEARCH("5LT",B60))),5,IF(OR(ISNUMBER(SEARCH("3KG",B60)),ISNUMBER(SEARCH("3L",B60))),3,IF(OR(ISNUMBER(SEARCH("2L",B60)),ISNUMBER(SEARCH("2KG",B60))),2,IF(OR(ISNUMBER(SEARCH("1L",B60)),ISNUMBER(SEARCH("1KG",B60)),ISNUMBER(SEARCH("1LT",B60))),1,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Produtos)'!$D$4:$D$848,IF(ISNUMBER(MATCH(A60,'4. Base Mestre (845 Produtos)'!$A$4:$A$848,0)),MATCH(A60,'4. Base Mestre (845 Produtos)'!$A$4:$A$848,0),IF(ISNUMBER(MATCH(B60,'4. Base Mestre (845 Produtos)'!$B$4:$B$848,0)),MATCH(B60,'4. Base Mestre (845 Produtos)'!$B$4:$B$848,0),0))),1))))))))))))))))))))))))</f>
        <v/>
      </c>
      <c r="L60" s="22" t="str">
        <f aca="false">IF(B60="","",IF(OR(ISNUMBER(SEARCH("KG",B60)),ISNUMBER(SEARCH("GR",B60))),"KG",IF(OR(ISNUMBER(SEARCH("0,200L",B60)),ISNUMBER(SEARCH("0,2L",B60)),ISNUMBER(SEARCH("0,5L",B60)),ISNUMBER(SEARCH("1,5L",B60)),ISNUMBER(SEARCH("1,8L",B60)),ISNUMBER(SEARCH("1.8L",B60)),ISNUMBER(SEARCH("1L",B60)),ISNUMBER(SEARCH("2L",B60)),ISNUMBER(SEARCH("3L",B60)),ISNUMBER(SEARCH("5L",B60)),ISNUMBER(SEARCH("10L",B60)),ISNUMBER(SEARCH("20L",B60)),ISNUMBER(SEARCH("25L",B60)),ISNUMBER(SEARCH("200L",B60)),ISNUMBER(SEARCH("1000L",B60)),ISNUMBER(SEARCH("LT",B60))),"L",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Produtos)'!$E$4:$E$848,IF(ISNUMBER(MATCH(A60,'4. Base Mestre (845 Produtos)'!$A$4:$A$848,0)),MATCH(A60,'4. Base Mestre (845 Produtos)'!$A$4:$A$848,0),IF(ISNUMBER(MATCH(B60,'4. Base Mestre (845 Produtos)'!$B$4:$B$848,0)),MATCH(B60,'4. Base Mestre (845 Produtos)'!$B$4:$B$848,0),0))),C60))))</f>
        <v/>
      </c>
      <c r="M60" s="20" t="str">
        <f aca="false">IF(B60="","",IF(C60=L60,"CONFORME — Unidade ("&amp;C60&amp;") compatível c/ Embalagem","DIVERGENTE — Embalagem em "&amp;L60&amp;", mas cadastrado em "&amp;C60))</f>
        <v/>
      </c>
      <c r="N60" s="20" t="str">
        <f aca="false">IF(B60="","",IF(K60=0,"Granel / Produto Técnico (Sem Embalagem Comercial)",IF(K60&lt;=0.3001,"Faixa 1 TIPI: Até 300g/mL (3808.61.00 / 3105.10.00)",IF(K60&lt;=7.5001,"Faixa 2 TIPI: De 300g a 7,5kg/L (3808.62.90 / 3105.10.00)",IF(K60&lt;=10.0001,"Faixa 3 TIPI: De 7,5kg a 10kg/L (3808.69.90 / 3105.10.00)","Faixa 4 TIPI: Acima de 10kg/L (3808.69.90 / Cap. 31 Geral)")))))</f>
        <v/>
      </c>
      <c r="O60" s="20" t="str">
        <f aca="false">IF(B60="","",IF(IF(ISNUMBER(MATCH(A60,'4.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Produtos)'!$H$4:$H$848,IF(ISNUMBER(MATCH(A60,'4. Base Mestre (845 Produtos)'!$A$4:$A$848,0)),MATCH(A60,'4. Base Mestre (845 Produtos)'!$A$4:$A$848,0),IF(ISNUMBER(MATCH(B60,'4. Base Mestre (845 Produtos)'!$B$4:$B$848,0)),MATCH(B60,'4. Base Mestre (845 Produtos)'!$B$4:$B$848,0),0))),IF(ISNUMBER(MATCH(D60,'3. Dicionario Principios Ativos'!$A$4:$A$245,0)),INDEX('3. Dicionario Principios Ativos'!$A$4:$A$245,MATCH(D60,'3. Dicionario Principios Ativos'!$A$4:$A$245,0)),D60)))</f>
        <v/>
      </c>
      <c r="P60" s="20" t="str">
        <f aca="false">IF(B60="","",IF(D60=O60,"CONFORME — Princípio Ativo Validado","DIVERGENTE — Substituir por: "&amp;O60))</f>
        <v/>
      </c>
      <c r="Q60" s="22" t="str">
        <f aca="false">IF(B60="","",IF(IF(IF(ISNUMBER(MATCH(A60,'4.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Produtos)'!$J$4:$J$848,IF(ISNUMBER(MATCH(A60,'4. Base Mestre (845 Produtos)'!$A$4:$A$848,0)),MATCH(A60,'4. Base Mestre (845 Produtos)'!$A$4:$A$848,0),IF(ISNUMBER(MATCH(B60,'4. Base Mestre (845 Produtos)'!$B$4:$B$848,0)),MATCH(B60,'4. Base Mestre (845 Produtos)'!$B$4:$B$848,0),0)))="SIM",IF(ISNUMBER(MATCH(D60,'3. Dicionario Principios Ativos'!$A$4:$A$245,0)),INDEX('3. Dicionario Principios Ativos'!$C$4:$C$245,MATCH(D60,'3. Dicionario Principios Ativos'!$A$4:$A$245,0))="SIM",FALSE())),IF(AND(K60&gt;0,K60&lt;=0.3001),"3808.61.00",IF(AND(K60&gt;0.3001,K60&lt;=7.5001),"3808.62.90","3808.69.90")),IF(AND(LEFT(IF(IF(ISNUMBER(MATCH(A60,'4.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Produtos)'!$L$4:$L$848,IF(ISNUMBER(MATCH(A60,'4. Base Mestre (845 Produtos)'!$A$4:$A$848,0)),MATCH(A60,'4. Base Mestre (845 Produtos)'!$A$4:$A$848,0),IF(ISNUMBER(MATCH(B60,'4. Base Mestre (845 Produtos)'!$B$4:$B$848,0)),MATCH(B60,'4. Base Mestre (845 Produtos)'!$B$4:$B$848,0),0))),IF(ISNUMBER(MATCH(D60,'3. Dicionario Principios Ativos'!$A$4:$A$245,0)),INDEX('3. Dicionario Principios Ativos'!$D$4:$D$245,MATCH(D60,'3. Dicionario Principios Ativos'!$A$4:$A$245,0)),E60)),2)="31",E60="3105.10.00",K60&gt;0,K60&lt;=10.0001),"3105.10.00",IF(AND(IF(IF(ISNUMBER(MATCH(A60,'4.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Produtos)'!$L$4:$L$848,IF(ISNUMBER(MATCH(A60,'4. Base Mestre (845 Produtos)'!$A$4:$A$848,0)),MATCH(A60,'4. Base Mestre (845 Produtos)'!$A$4:$A$848,0),IF(ISNUMBER(MATCH(B60,'4. Base Mestre (845 Produtos)'!$B$4:$B$848,0)),MATCH(B60,'4. Base Mestre (845 Produtos)'!$B$4:$B$848,0),0))),IF(ISNUMBER(MATCH(D60,'3. Dicionario Principios Ativos'!$A$4:$A$245,0)),INDEX('3. Dicionario Principios Ativos'!$D$4:$D$245,MATCH(D60,'3. Dicionario Principios Ativos'!$A$4:$A$245,0)),E60))="3105.10.00",K60&gt;10.0001),"3105.90.90",IF(IF(ISNUMBER(MATCH(A60,'4.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Produtos)'!$L$4:$L$848,IF(ISNUMBER(MATCH(A60,'4. Base Mestre (845 Produtos)'!$A$4:$A$848,0)),MATCH(A60,'4. Base Mestre (845 Produtos)'!$A$4:$A$848,0),IF(ISNUMBER(MATCH(B60,'4. Base Mestre (845 Produtos)'!$B$4:$B$848,0)),MATCH(B60,'4. Base Mestre (845 Produtos)'!$B$4:$B$848,0),0))),IF(ISNUMBER(MATCH(D60,'3. Dicionario Principios Ativos'!$A$4:$A$245,0)),INDEX('3. Dicionario Principios Ativos'!$D$4:$D$245,MATCH(D60,'3. Dicionario Principios Ativos'!$A$4:$A$245,0)),E60))))))</f>
        <v/>
      </c>
      <c r="R60" s="20" t="str">
        <f aca="false">IF(B60="","",IF(OR(E60=Q60,AND(Q60="3002.49.99",E60="3002.90.00")),"CONFORME — NCM "&amp;E60&amp;" Correta na TIPI","DIVERGENTE — Substituir "&amp;E60&amp;" por "&amp;Q60))</f>
        <v/>
      </c>
      <c r="S60" s="20" t="str">
        <f aca="false">IF(B60="","",IF(AND(E60="3808.61.00",OR(K60&gt;0.3001,K60=0)),"INCOMPATÍVEL — NCM 3808.61.00 exige emb. &lt;= 0,3kg/L (Emb. atual: "&amp;K60&amp;" "&amp;L60&amp;" -&gt; usar "&amp;Q60&amp;")",IF(AND(LEFT(E60,7)="3808.62",OR(K60&lt;=0.3001,K60&gt;7.5001)),"INCOMPATÍVEL — NCM 3808.62 exige emb. de 0,3 a 7,5kg/L (Emb. atual: "&amp;K60&amp;" "&amp;L60&amp;" -&gt; usar "&amp;Q60&amp;")",IF(AND(LEFT(E60,7)="3808.69",K60&gt;0,K60&lt;=7.5001),"INCOMPATÍVEL — NCM 3808.69 exige emb. &gt; 7,5kg/L (Emb. atual: "&amp;K60&amp;" "&amp;L60&amp;" -&gt; usar "&amp;Q60&amp;")",IF(AND(LEFT(Q60,6)="3808.6",LEFT(E60,6)&lt;&gt;"3808.6"),"INCOMPATÍVEL — Molécula Nota Subpos. 2 c/ emb. "&amp;K60&amp;" "&amp;L60&amp;" exige NCM "&amp;Q60,IF(AND(OR(E60="3808.91.19",E60="3808.92.19",E60="3808.93.19",E60="3808.99.19"),K60&gt;=1),"INCOMPATÍVEL — Subitem .19 (Domissanitário) vedado p/ emb. agrícola de "&amp;K60&amp;" "&amp;L60,IF(AND(E60="3105.10.00",K60&gt;10.0001),"INCOMPATÍVEL — NCM 3105.10.00 exige peso bruto &lt;= 10kg (Emb. atual: "&amp;K60&amp;" "&amp;L60&amp;" -&gt; usar 3105.90.90)",IF(AND(LEFT(E60,2)="29",LEFT(Q60,4)="3808",K60&gt;0),"INCOMPATÍVEL — Produto formulado em emb. comercial ("&amp;K60&amp;" "&amp;L60&amp;") vedado no Cap. 29 -&gt; usar "&amp;Q60,"CONFORME — Embalagem ("&amp;K60&amp;" "&amp;L60&amp;") compatível c/ a NCM"))))))))</f>
        <v/>
      </c>
      <c r="T60" s="22" t="str">
        <f aca="false">IF(B60="","",IF(IF(ISNUMBER(MATCH(A60,'4.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Produtos)'!$P$4:$P$848,IF(ISNUMBER(MATCH(A60,'4. Base Mestre (845 Produtos)'!$A$4:$A$848,0)),MATCH(A60,'4. Base Mestre (845 Produtos)'!$A$4:$A$848,0),IF(ISNUMBER(MATCH(B60,'4. Base Mestre (845 Produtos)'!$B$4:$B$848,0)),MATCH(B60,'4. Base Mestre (845 Produtos)'!$B$4:$B$848,0),0))),IF(ISNUMBER(MATCH(D60,'3. Dicionario Principios Ativos'!$A$4:$A$245,0)),INDEX('3. Dicionario Principios Ativos'!$K$4:$K$245,MATCH(D60,'3. Dicionario Principios Ativos'!$A$4:$A$245,0)),"VERIFICAR BULA")))</f>
        <v/>
      </c>
      <c r="U60" s="20" t="str">
        <f aca="false">IF(B60="","",IF(ISNUMBER(SEARCH("ISENTO",T60)),IF(OR(F60=0,F60="0",F60="ISENTO",F60=""),"CONFORME (DISPENSADO) — Isento pelo Ato SDA/MAPA nº 104/2017","INCORRETO — Produto isento de registro MAPA (usar 0 ou ISENTO)"),IF(ISNUMBER(SEARCH("SIPEAGRO",T60)),IF(ISNUMBER(SEARCH("-",F60)),"CONFORME — Registro SIPEAGRO ("&amp;F60&amp;") Preenchido","ADEQUAR P/ SIPEAGRO — Substituir 0 pelo Registro (UF-XXXXX-XXXXX.X)"),IF(ISNUMBER(SEARCH("VINCULAR",T60)),IF(AND(F60&lt;&gt;0,F60&lt;&gt;"0",F60&lt;&gt;""),"INCORRETO / TROCADO — Código "&amp;F60&amp;" pertence a outro produto (Vincular bula da marca)","VINCULAR MARCA — Cadastro de P.A. s/ marca fixa (Vincular registro na NF-e)"),IF(OR(F60=0,F60="0",F60=""),"AUSENTE (ZERO) — Preencher Registro Oficial MAPA nº "&amp;T60,IF(TEXT(F60,"0")=TEXT(T60,"0"),"CONFORME — Registro MAPA nº "&amp;T60&amp;" Validado na Bula","INCORRETO / TROCADO — Substituir "&amp;F60&amp;" pelo Registro Oficial nº "&amp;T60))))))</f>
        <v/>
      </c>
      <c r="V60" s="20" t="str">
        <f aca="false">IF(B60="","",IF(IF(ISNUMBER(MATCH(A60,'4.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Produtos)'!$S$4:$S$848,IF(ISNUMBER(MATCH(A60,'4. Base Mestre (845 Produtos)'!$A$4:$A$848,0)),MATCH(A60,'4. Base Mestre (845 Produtos)'!$A$4:$A$848,0),IF(ISNUMBER(MATCH(B60,'4. Base Mestre (845 Produtos)'!$B$4:$B$848,0)),MATCH(B60,'4. Base Mestre (845 Produtos)'!$B$4:$B$848,0),0))),IF(ISNUMBER(MATCH(D60,'3. Dicionario Principios Ativos'!$A$4:$A$245,0)),INDEX('3. Dicionario Principios Ativos'!$L$4:$L$245,MATCH(D60,'3. Dicionario Principios Ativos'!$A$4:$A$245,0)),"Verificar NCM")))</f>
        <v/>
      </c>
      <c r="W60" s="20" t="str">
        <f aca="false">IF(B60="","",IF(IF(ISNUMBER(MATCH(A60,'4. Base Mestre (845 Produtos)'!$A$4:$A$848,0)),MATCH(A60,'4. Base Mestre (845 Produtos)'!$A$4:$A$848,0),IF(ISNUMBER(MATCH(B60,'4. Base Mestre (845 Produtos)'!$B$4:$B$848,0)),MATCH(B60,'4. Base Mestre (845 Produtos)'!$B$4:$B$848,0),0))&gt;0,INDEX('4. Base Mestre (845 Produtos)'!$T$4:$T$848,IF(ISNUMBER(MATCH(A60,'4. Base Mestre (845 Produtos)'!$A$4:$A$848,0)),MATCH(A60,'4. Base Mestre (845 Produtos)'!$A$4:$A$848,0),IF(ISNUMBER(MATCH(B60,'4. Base Mestre (845 Produtos)'!$B$4:$B$848,0)),MATCH(B60,'4. Base Mestre (845 Produtos)'!$B$4:$B$848,0),0))),IF(ISNUMBER(MATCH(D60,'3. Dicionario Principios Ativos'!$A$4:$A$245,0)),INDEX('3. Dicionario Principios Ativos'!$M$4:$M$245,MATCH(D60,'3. Dicionario Principios Ativos'!$A$4:$A$245,0)),"Verificar CST")))</f>
        <v/>
      </c>
      <c r="X60" s="20" t="str">
        <f aca="false">IF(B60="","",IF(AND(LEFT(M60,8)="CONFORME",LEFT(P60,8)="CONFORME",LEFT(R60,8)="CONFORME",LEFT(S60,8)="CONFORME",LEFT(U60,8)="CONFORME"),"CADASTRO 100% CONFORME — LIBERADO P/ ERP",IF(AND(LEFT(M60,8)="CONFORME",LEFT(P60,8)="CONFORME",LEFT(R60,8)="CONFORME",LEFT(S60,8)="CONFORME",OR(LEFT(U60,7)="ADEQUAR",LEFT(U60,8)="VINCULAR")),"FISCAL E EMBALAGEM OK — ADEQUAR CAMPO MAPA (SIPEAGRO / MARCA)","BLOQUEADO — CORRIGIR DIVERGÊNCIAS APONTADAS ANTES DE LIBERAR NO ERP")))</f>
        <v/>
      </c>
    </row>
    <row r="61" customFormat="false" ht="19.5" hidden="false" customHeight="true" outlineLevel="0" collapsed="false">
      <c r="A61" s="12"/>
      <c r="B61" s="13"/>
      <c r="C61" s="12"/>
      <c r="D61" s="13"/>
      <c r="E61" s="12"/>
      <c r="F61" s="12"/>
      <c r="G61" s="14"/>
      <c r="H61" s="13" t="s">
        <v>166</v>
      </c>
      <c r="I61" s="15" t="str">
        <f aca="false">IF(B61="","",IF(ISNUMBER(MATCH(A61,'4. Base Mestre (845 Produtos)'!$A$4:$A$848,0)),"Localizado por Código ("&amp;A61&amp;") na Base Mestre",IF(ISNUMBER(MATCH(B61,'4. Base Mestre (845 Produtos)'!$B$4:$B$848,0)),"Localizado por Descrição na Base Mestre",IF(ISNUMBER(MATCH(D61,'3. Dicionario Principios Ativos'!$A$4:$A$245,0)),"Produto Novo — Validado pelo Dicionário de P.A.","Não Localizado — Revisar Código/P.A."))))</f>
        <v/>
      </c>
      <c r="J61" s="15" t="str">
        <f aca="false">IF(B61="","",IF(IF(ISNUMBER(MATCH(A61,'4.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Produtos)'!$I$4:$I$848,IF(ISNUMBER(MATCH(A61,'4. Base Mestre (845 Produtos)'!$A$4:$A$848,0)),MATCH(A61,'4. Base Mestre (845 Produtos)'!$A$4:$A$848,0),IF(ISNUMBER(MATCH(B61,'4. Base Mestre (845 Produtos)'!$B$4:$B$848,0)),MATCH(B61,'4. Base Mestre (845 Produtos)'!$B$4:$B$848,0),0))),IF(ISNUMBER(MATCH(D61,'3. Dicionario Principios Ativos'!$A$4:$A$245,0)),INDEX('3. Dicionario Principios Ativos'!$B$4:$B$245,MATCH(D61,'3. Dicionario Principios Ativos'!$A$4:$A$245,0)),"Revisar Classificação")))</f>
        <v/>
      </c>
      <c r="K61" s="16" t="str">
        <f aca="false">IF(B61="","",IF(G61&lt;&gt;"",G61,IF(OR(ISNUMBER(SEARCH("PRINCIPIO ATIVO",B61)),ISNUMBER(SEARCH("PRINC. ATIVO",B61)),ISNUMBER(SEARCH("PR. ATIVO",B61)),ISNUMBER(SEARCH("PR.AT.",B61)),ISNUMBER(SEARCH("(P.A",B61)),ISNUMBER(SEARCH("(P. A",B61))),0,IF(OR(ISNUMBER(SEARCH("0,100KG",B61)),ISNUMBER(SEARCH("0,1KG",B61)),ISNUMBER(SEARCH("0,100L",B61))),0.1,IF(OR(ISNUMBER(SEARCH("0,200L",B61)),ISNUMBER(SEARCH("0,2L",B61)),ISNUMBER(SEARCH("0,200KG",B61)),ISNUMBER(SEARCH("0,2KG",B61))),0.2,IF(OR(ISNUMBER(SEARCH("0,240KG",B61)),ISNUMBER(SEARCH("0,250L",B61))),0.24,IF(OR(ISNUMBER(SEARCH("0,300KG",B61)),ISNUMBER(SEARCH("0,3KG",B61))),0.3,IF(OR(ISNUMBER(SEARCH("0,500L",B61)),ISNUMBER(SEARCH("0,5L",B61)),ISNUMBER(SEARCH("0,5KG",B61))),0.5,IF(ISNUMBER(SEARCH("0,8KG",B61)),0.8,IF(OR(ISNUMBER(SEARCH("1,5L",B61)),ISNUMBER(SEARCH("1,5KG",B61))),1.5,IF(OR(ISNUMBER(SEARCH("1,75L",B61)),ISNUMBER(SEARCH("1,8L",B61)),ISNUMBER(SEARCH("1.8L",B61))),1.8,IF(ISNUMBER(SEARCH("4,5KG",B61)),4.5,IF(ISNUMBER(SEARCH("7,5KG",B61)),7.5,IF(OR(ISNUMBER(SEARCH("1000L",B61)),ISNUMBER(SEARCH("1000KG",B61)),ISNUMBER(SEARCH("1.000KG",B61)),ISNUMBER(SEARCH("1.000L",B61)),ISNUMBER(SEARCH("1000 KG",B61)),ISNUMBER(SEARCH("GRANEL",B61)),ISNUMBER(SEARCH("(TON)",B61))),1000,IF(ISNUMBER(SEARCH("200L",B61)),200,IF(OR(ISNUMBER(SEARCH("25KG",B61)),ISNUMBER(SEARCH("25L",B61))),25,IF(OR(ISNUMBER(SEARCH("20L",B61)),ISNUMBER(SEARCH("20KG",B61))),20,IF(ISNUMBER(SEARCH("15KG",B61)),15,IF(OR(ISNUMBER(SEARCH("10L",B61)),ISNUMBER(SEARCH("10KG",B61))),10,IF(OR(ISNUMBER(SEARCH("5L",B61)),ISNUMBER(SEARCH("5KG",B61)),ISNUMBER(SEARCH("5LT",B61))),5,IF(OR(ISNUMBER(SEARCH("3KG",B61)),ISNUMBER(SEARCH("3L",B61))),3,IF(OR(ISNUMBER(SEARCH("2L",B61)),ISNUMBER(SEARCH("2KG",B61))),2,IF(OR(ISNUMBER(SEARCH("1L",B61)),ISNUMBER(SEARCH("1KG",B61)),ISNUMBER(SEARCH("1LT",B61))),1,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Produtos)'!$D$4:$D$848,IF(ISNUMBER(MATCH(A61,'4. Base Mestre (845 Produtos)'!$A$4:$A$848,0)),MATCH(A61,'4. Base Mestre (845 Produtos)'!$A$4:$A$848,0),IF(ISNUMBER(MATCH(B61,'4. Base Mestre (845 Produtos)'!$B$4:$B$848,0)),MATCH(B61,'4. Base Mestre (845 Produtos)'!$B$4:$B$848,0),0))),1))))))))))))))))))))))))</f>
        <v/>
      </c>
      <c r="L61" s="17" t="str">
        <f aca="false">IF(B61="","",IF(OR(ISNUMBER(SEARCH("KG",B61)),ISNUMBER(SEARCH("GR",B61))),"KG",IF(OR(ISNUMBER(SEARCH("0,200L",B61)),ISNUMBER(SEARCH("0,2L",B61)),ISNUMBER(SEARCH("0,5L",B61)),ISNUMBER(SEARCH("1,5L",B61)),ISNUMBER(SEARCH("1,8L",B61)),ISNUMBER(SEARCH("1.8L",B61)),ISNUMBER(SEARCH("1L",B61)),ISNUMBER(SEARCH("2L",B61)),ISNUMBER(SEARCH("3L",B61)),ISNUMBER(SEARCH("5L",B61)),ISNUMBER(SEARCH("10L",B61)),ISNUMBER(SEARCH("20L",B61)),ISNUMBER(SEARCH("25L",B61)),ISNUMBER(SEARCH("200L",B61)),ISNUMBER(SEARCH("1000L",B61)),ISNUMBER(SEARCH("LT",B61))),"L",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Produtos)'!$E$4:$E$848,IF(ISNUMBER(MATCH(A61,'4. Base Mestre (845 Produtos)'!$A$4:$A$848,0)),MATCH(A61,'4. Base Mestre (845 Produtos)'!$A$4:$A$848,0),IF(ISNUMBER(MATCH(B61,'4. Base Mestre (845 Produtos)'!$B$4:$B$848,0)),MATCH(B61,'4. Base Mestre (845 Produtos)'!$B$4:$B$848,0),0))),C61))))</f>
        <v/>
      </c>
      <c r="M61" s="15" t="str">
        <f aca="false">IF(B61="","",IF(C61=L61,"CONFORME — Unidade ("&amp;C61&amp;") compatível c/ Embalagem","DIVERGENTE — Embalagem em "&amp;L61&amp;", mas cadastrado em "&amp;C61))</f>
        <v/>
      </c>
      <c r="N61" s="15" t="str">
        <f aca="false">IF(B61="","",IF(K61=0,"Granel / Produto Técnico (Sem Embalagem Comercial)",IF(K61&lt;=0.3001,"Faixa 1 TIPI: Até 300g/mL (3808.61.00 / 3105.10.00)",IF(K61&lt;=7.5001,"Faixa 2 TIPI: De 300g a 7,5kg/L (3808.62.90 / 3105.10.00)",IF(K61&lt;=10.0001,"Faixa 3 TIPI: De 7,5kg a 10kg/L (3808.69.90 / 3105.10.00)","Faixa 4 TIPI: Acima de 10kg/L (3808.69.90 / Cap. 31 Geral)")))))</f>
        <v/>
      </c>
      <c r="O61" s="15" t="str">
        <f aca="false">IF(B61="","",IF(IF(ISNUMBER(MATCH(A61,'4.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Produtos)'!$H$4:$H$848,IF(ISNUMBER(MATCH(A61,'4. Base Mestre (845 Produtos)'!$A$4:$A$848,0)),MATCH(A61,'4. Base Mestre (845 Produtos)'!$A$4:$A$848,0),IF(ISNUMBER(MATCH(B61,'4. Base Mestre (845 Produtos)'!$B$4:$B$848,0)),MATCH(B61,'4. Base Mestre (845 Produtos)'!$B$4:$B$848,0),0))),IF(ISNUMBER(MATCH(D61,'3. Dicionario Principios Ativos'!$A$4:$A$245,0)),INDEX('3. Dicionario Principios Ativos'!$A$4:$A$245,MATCH(D61,'3. Dicionario Principios Ativos'!$A$4:$A$245,0)),D61)))</f>
        <v/>
      </c>
      <c r="P61" s="15" t="str">
        <f aca="false">IF(B61="","",IF(D61=O61,"CONFORME — Princípio Ativo Validado","DIVERGENTE — Substituir por: "&amp;O61))</f>
        <v/>
      </c>
      <c r="Q61" s="17" t="str">
        <f aca="false">IF(B61="","",IF(IF(IF(ISNUMBER(MATCH(A61,'4.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Produtos)'!$J$4:$J$848,IF(ISNUMBER(MATCH(A61,'4. Base Mestre (845 Produtos)'!$A$4:$A$848,0)),MATCH(A61,'4. Base Mestre (845 Produtos)'!$A$4:$A$848,0),IF(ISNUMBER(MATCH(B61,'4. Base Mestre (845 Produtos)'!$B$4:$B$848,0)),MATCH(B61,'4. Base Mestre (845 Produtos)'!$B$4:$B$848,0),0)))="SIM",IF(ISNUMBER(MATCH(D61,'3. Dicionario Principios Ativos'!$A$4:$A$245,0)),INDEX('3. Dicionario Principios Ativos'!$C$4:$C$245,MATCH(D61,'3. Dicionario Principios Ativos'!$A$4:$A$245,0))="SIM",FALSE())),IF(AND(K61&gt;0,K61&lt;=0.3001),"3808.61.00",IF(AND(K61&gt;0.3001,K61&lt;=7.5001),"3808.62.90","3808.69.90")),IF(AND(LEFT(IF(IF(ISNUMBER(MATCH(A61,'4.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Produtos)'!$L$4:$L$848,IF(ISNUMBER(MATCH(A61,'4. Base Mestre (845 Produtos)'!$A$4:$A$848,0)),MATCH(A61,'4. Base Mestre (845 Produtos)'!$A$4:$A$848,0),IF(ISNUMBER(MATCH(B61,'4. Base Mestre (845 Produtos)'!$B$4:$B$848,0)),MATCH(B61,'4. Base Mestre (845 Produtos)'!$B$4:$B$848,0),0))),IF(ISNUMBER(MATCH(D61,'3. Dicionario Principios Ativos'!$A$4:$A$245,0)),INDEX('3. Dicionario Principios Ativos'!$D$4:$D$245,MATCH(D61,'3. Dicionario Principios Ativos'!$A$4:$A$245,0)),E61)),2)="31",E61="3105.10.00",K61&gt;0,K61&lt;=10.0001),"3105.10.00",IF(AND(IF(IF(ISNUMBER(MATCH(A61,'4.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Produtos)'!$L$4:$L$848,IF(ISNUMBER(MATCH(A61,'4. Base Mestre (845 Produtos)'!$A$4:$A$848,0)),MATCH(A61,'4. Base Mestre (845 Produtos)'!$A$4:$A$848,0),IF(ISNUMBER(MATCH(B61,'4. Base Mestre (845 Produtos)'!$B$4:$B$848,0)),MATCH(B61,'4. Base Mestre (845 Produtos)'!$B$4:$B$848,0),0))),IF(ISNUMBER(MATCH(D61,'3. Dicionario Principios Ativos'!$A$4:$A$245,0)),INDEX('3. Dicionario Principios Ativos'!$D$4:$D$245,MATCH(D61,'3. Dicionario Principios Ativos'!$A$4:$A$245,0)),E61))="3105.10.00",K61&gt;10.0001),"3105.90.90",IF(IF(ISNUMBER(MATCH(A61,'4.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Produtos)'!$L$4:$L$848,IF(ISNUMBER(MATCH(A61,'4. Base Mestre (845 Produtos)'!$A$4:$A$848,0)),MATCH(A61,'4. Base Mestre (845 Produtos)'!$A$4:$A$848,0),IF(ISNUMBER(MATCH(B61,'4. Base Mestre (845 Produtos)'!$B$4:$B$848,0)),MATCH(B61,'4. Base Mestre (845 Produtos)'!$B$4:$B$848,0),0))),IF(ISNUMBER(MATCH(D61,'3. Dicionario Principios Ativos'!$A$4:$A$245,0)),INDEX('3. Dicionario Principios Ativos'!$D$4:$D$245,MATCH(D61,'3. Dicionario Principios Ativos'!$A$4:$A$245,0)),E61))))))</f>
        <v/>
      </c>
      <c r="R61" s="15" t="str">
        <f aca="false">IF(B61="","",IF(OR(E61=Q61,AND(Q61="3002.49.99",E61="3002.90.00")),"CONFORME — NCM "&amp;E61&amp;" Correta na TIPI","DIVERGENTE — Substituir "&amp;E61&amp;" por "&amp;Q61))</f>
        <v/>
      </c>
      <c r="S61" s="15" t="str">
        <f aca="false">IF(B61="","",IF(AND(E61="3808.61.00",OR(K61&gt;0.3001,K61=0)),"INCOMPATÍVEL — NCM 3808.61.00 exige emb. &lt;= 0,3kg/L (Emb. atual: "&amp;K61&amp;" "&amp;L61&amp;" -&gt; usar "&amp;Q61&amp;")",IF(AND(LEFT(E61,7)="3808.62",OR(K61&lt;=0.3001,K61&gt;7.5001)),"INCOMPATÍVEL — NCM 3808.62 exige emb. de 0,3 a 7,5kg/L (Emb. atual: "&amp;K61&amp;" "&amp;L61&amp;" -&gt; usar "&amp;Q61&amp;")",IF(AND(LEFT(E61,7)="3808.69",K61&gt;0,K61&lt;=7.5001),"INCOMPATÍVEL — NCM 3808.69 exige emb. &gt; 7,5kg/L (Emb. atual: "&amp;K61&amp;" "&amp;L61&amp;" -&gt; usar "&amp;Q61&amp;")",IF(AND(LEFT(Q61,6)="3808.6",LEFT(E61,6)&lt;&gt;"3808.6"),"INCOMPATÍVEL — Molécula Nota Subpos. 2 c/ emb. "&amp;K61&amp;" "&amp;L61&amp;" exige NCM "&amp;Q61,IF(AND(OR(E61="3808.91.19",E61="3808.92.19",E61="3808.93.19",E61="3808.99.19"),K61&gt;=1),"INCOMPATÍVEL — Subitem .19 (Domissanitário) vedado p/ emb. agrícola de "&amp;K61&amp;" "&amp;L61,IF(AND(E61="3105.10.00",K61&gt;10.0001),"INCOMPATÍVEL — NCM 3105.10.00 exige peso bruto &lt;= 10kg (Emb. atual: "&amp;K61&amp;" "&amp;L61&amp;" -&gt; usar 3105.90.90)",IF(AND(LEFT(E61,2)="29",LEFT(Q61,4)="3808",K61&gt;0),"INCOMPATÍVEL — Produto formulado em emb. comercial ("&amp;K61&amp;" "&amp;L61&amp;") vedado no Cap. 29 -&gt; usar "&amp;Q61,"CONFORME — Embalagem ("&amp;K61&amp;" "&amp;L61&amp;") compatível c/ a NCM"))))))))</f>
        <v/>
      </c>
      <c r="T61" s="17" t="str">
        <f aca="false">IF(B61="","",IF(IF(ISNUMBER(MATCH(A61,'4.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Produtos)'!$P$4:$P$848,IF(ISNUMBER(MATCH(A61,'4. Base Mestre (845 Produtos)'!$A$4:$A$848,0)),MATCH(A61,'4. Base Mestre (845 Produtos)'!$A$4:$A$848,0),IF(ISNUMBER(MATCH(B61,'4. Base Mestre (845 Produtos)'!$B$4:$B$848,0)),MATCH(B61,'4. Base Mestre (845 Produtos)'!$B$4:$B$848,0),0))),IF(ISNUMBER(MATCH(D61,'3. Dicionario Principios Ativos'!$A$4:$A$245,0)),INDEX('3. Dicionario Principios Ativos'!$K$4:$K$245,MATCH(D61,'3. Dicionario Principios Ativos'!$A$4:$A$245,0)),"VERIFICAR BULA")))</f>
        <v/>
      </c>
      <c r="U61" s="15" t="str">
        <f aca="false">IF(B61="","",IF(ISNUMBER(SEARCH("ISENTO",T61)),IF(OR(F61=0,F61="0",F61="ISENTO",F61=""),"CONFORME (DISPENSADO) — Isento pelo Ato SDA/MAPA nº 104/2017","INCORRETO — Produto isento de registro MAPA (usar 0 ou ISENTO)"),IF(ISNUMBER(SEARCH("SIPEAGRO",T61)),IF(ISNUMBER(SEARCH("-",F61)),"CONFORME — Registro SIPEAGRO ("&amp;F61&amp;") Preenchido","ADEQUAR P/ SIPEAGRO — Substituir 0 pelo Registro (UF-XXXXX-XXXXX.X)"),IF(ISNUMBER(SEARCH("VINCULAR",T61)),IF(AND(F61&lt;&gt;0,F61&lt;&gt;"0",F61&lt;&gt;""),"INCORRETO / TROCADO — Código "&amp;F61&amp;" pertence a outro produto (Vincular bula da marca)","VINCULAR MARCA — Cadastro de P.A. s/ marca fixa (Vincular registro na NF-e)"),IF(OR(F61=0,F61="0",F61=""),"AUSENTE (ZERO) — Preencher Registro Oficial MAPA nº "&amp;T61,IF(TEXT(F61,"0")=TEXT(T61,"0"),"CONFORME — Registro MAPA nº "&amp;T61&amp;" Validado na Bula","INCORRETO / TROCADO — Substituir "&amp;F61&amp;" pelo Registro Oficial nº "&amp;T61))))))</f>
        <v/>
      </c>
      <c r="V61" s="15" t="str">
        <f aca="false">IF(B61="","",IF(IF(ISNUMBER(MATCH(A61,'4.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Produtos)'!$S$4:$S$848,IF(ISNUMBER(MATCH(A61,'4. Base Mestre (845 Produtos)'!$A$4:$A$848,0)),MATCH(A61,'4. Base Mestre (845 Produtos)'!$A$4:$A$848,0),IF(ISNUMBER(MATCH(B61,'4. Base Mestre (845 Produtos)'!$B$4:$B$848,0)),MATCH(B61,'4. Base Mestre (845 Produtos)'!$B$4:$B$848,0),0))),IF(ISNUMBER(MATCH(D61,'3. Dicionario Principios Ativos'!$A$4:$A$245,0)),INDEX('3. Dicionario Principios Ativos'!$L$4:$L$245,MATCH(D61,'3. Dicionario Principios Ativos'!$A$4:$A$245,0)),"Verificar NCM")))</f>
        <v/>
      </c>
      <c r="W61" s="15" t="str">
        <f aca="false">IF(B61="","",IF(IF(ISNUMBER(MATCH(A61,'4. Base Mestre (845 Produtos)'!$A$4:$A$848,0)),MATCH(A61,'4. Base Mestre (845 Produtos)'!$A$4:$A$848,0),IF(ISNUMBER(MATCH(B61,'4. Base Mestre (845 Produtos)'!$B$4:$B$848,0)),MATCH(B61,'4. Base Mestre (845 Produtos)'!$B$4:$B$848,0),0))&gt;0,INDEX('4. Base Mestre (845 Produtos)'!$T$4:$T$848,IF(ISNUMBER(MATCH(A61,'4. Base Mestre (845 Produtos)'!$A$4:$A$848,0)),MATCH(A61,'4. Base Mestre (845 Produtos)'!$A$4:$A$848,0),IF(ISNUMBER(MATCH(B61,'4. Base Mestre (845 Produtos)'!$B$4:$B$848,0)),MATCH(B61,'4. Base Mestre (845 Produtos)'!$B$4:$B$848,0),0))),IF(ISNUMBER(MATCH(D61,'3. Dicionario Principios Ativos'!$A$4:$A$245,0)),INDEX('3. Dicionario Principios Ativos'!$M$4:$M$245,MATCH(D61,'3. Dicionario Principios Ativos'!$A$4:$A$245,0)),"Verificar CST")))</f>
        <v/>
      </c>
      <c r="X61" s="15" t="str">
        <f aca="false">IF(B61="","",IF(AND(LEFT(M61,8)="CONFORME",LEFT(P61,8)="CONFORME",LEFT(R61,8)="CONFORME",LEFT(S61,8)="CONFORME",LEFT(U61,8)="CONFORME"),"CADASTRO 100% CONFORME — LIBERADO P/ ERP",IF(AND(LEFT(M61,8)="CONFORME",LEFT(P61,8)="CONFORME",LEFT(R61,8)="CONFORME",LEFT(S61,8)="CONFORME",OR(LEFT(U61,7)="ADEQUAR",LEFT(U61,8)="VINCULAR")),"FISCAL E EMBALAGEM OK — ADEQUAR CAMPO MAPA (SIPEAGRO / MARCA)","BLOQUEADO — CORRIGIR DIVERGÊNCIAS APONTADAS ANTES DE LIBERAR NO ERP")))</f>
        <v/>
      </c>
    </row>
    <row r="62" customFormat="false" ht="19.5" hidden="false" customHeight="true" outlineLevel="0" collapsed="false">
      <c r="A62" s="12"/>
      <c r="B62" s="13"/>
      <c r="C62" s="12"/>
      <c r="D62" s="13"/>
      <c r="E62" s="12"/>
      <c r="F62" s="12"/>
      <c r="G62" s="14"/>
      <c r="H62" s="13" t="s">
        <v>166</v>
      </c>
      <c r="I62" s="20" t="str">
        <f aca="false">IF(B62="","",IF(ISNUMBER(MATCH(A62,'4. Base Mestre (845 Produtos)'!$A$4:$A$848,0)),"Localizado por Código ("&amp;A62&amp;") na Base Mestre",IF(ISNUMBER(MATCH(B62,'4. Base Mestre (845 Produtos)'!$B$4:$B$848,0)),"Localizado por Descrição na Base Mestre",IF(ISNUMBER(MATCH(D62,'3. Dicionario Principios Ativos'!$A$4:$A$245,0)),"Produto Novo — Validado pelo Dicionário de P.A.","Não Localizado — Revisar Código/P.A."))))</f>
        <v/>
      </c>
      <c r="J62" s="20" t="str">
        <f aca="false">IF(B62="","",IF(IF(ISNUMBER(MATCH(A62,'4.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Produtos)'!$I$4:$I$848,IF(ISNUMBER(MATCH(A62,'4. Base Mestre (845 Produtos)'!$A$4:$A$848,0)),MATCH(A62,'4. Base Mestre (845 Produtos)'!$A$4:$A$848,0),IF(ISNUMBER(MATCH(B62,'4. Base Mestre (845 Produtos)'!$B$4:$B$848,0)),MATCH(B62,'4. Base Mestre (845 Produtos)'!$B$4:$B$848,0),0))),IF(ISNUMBER(MATCH(D62,'3. Dicionario Principios Ativos'!$A$4:$A$245,0)),INDEX('3. Dicionario Principios Ativos'!$B$4:$B$245,MATCH(D62,'3. Dicionario Principios Ativos'!$A$4:$A$245,0)),"Revisar Classificação")))</f>
        <v/>
      </c>
      <c r="K62" s="21" t="str">
        <f aca="false">IF(B62="","",IF(G62&lt;&gt;"",G62,IF(OR(ISNUMBER(SEARCH("PRINCIPIO ATIVO",B62)),ISNUMBER(SEARCH("PRINC. ATIVO",B62)),ISNUMBER(SEARCH("PR. ATIVO",B62)),ISNUMBER(SEARCH("PR.AT.",B62)),ISNUMBER(SEARCH("(P.A",B62)),ISNUMBER(SEARCH("(P. A",B62))),0,IF(OR(ISNUMBER(SEARCH("0,100KG",B62)),ISNUMBER(SEARCH("0,1KG",B62)),ISNUMBER(SEARCH("0,100L",B62))),0.1,IF(OR(ISNUMBER(SEARCH("0,200L",B62)),ISNUMBER(SEARCH("0,2L",B62)),ISNUMBER(SEARCH("0,200KG",B62)),ISNUMBER(SEARCH("0,2KG",B62))),0.2,IF(OR(ISNUMBER(SEARCH("0,240KG",B62)),ISNUMBER(SEARCH("0,250L",B62))),0.24,IF(OR(ISNUMBER(SEARCH("0,300KG",B62)),ISNUMBER(SEARCH("0,3KG",B62))),0.3,IF(OR(ISNUMBER(SEARCH("0,500L",B62)),ISNUMBER(SEARCH("0,5L",B62)),ISNUMBER(SEARCH("0,5KG",B62))),0.5,IF(ISNUMBER(SEARCH("0,8KG",B62)),0.8,IF(OR(ISNUMBER(SEARCH("1,5L",B62)),ISNUMBER(SEARCH("1,5KG",B62))),1.5,IF(OR(ISNUMBER(SEARCH("1,75L",B62)),ISNUMBER(SEARCH("1,8L",B62)),ISNUMBER(SEARCH("1.8L",B62))),1.8,IF(ISNUMBER(SEARCH("4,5KG",B62)),4.5,IF(ISNUMBER(SEARCH("7,5KG",B62)),7.5,IF(OR(ISNUMBER(SEARCH("1000L",B62)),ISNUMBER(SEARCH("1000KG",B62)),ISNUMBER(SEARCH("1.000KG",B62)),ISNUMBER(SEARCH("1.000L",B62)),ISNUMBER(SEARCH("1000 KG",B62)),ISNUMBER(SEARCH("GRANEL",B62)),ISNUMBER(SEARCH("(TON)",B62))),1000,IF(ISNUMBER(SEARCH("200L",B62)),200,IF(OR(ISNUMBER(SEARCH("25KG",B62)),ISNUMBER(SEARCH("25L",B62))),25,IF(OR(ISNUMBER(SEARCH("20L",B62)),ISNUMBER(SEARCH("20KG",B62))),20,IF(ISNUMBER(SEARCH("15KG",B62)),15,IF(OR(ISNUMBER(SEARCH("10L",B62)),ISNUMBER(SEARCH("10KG",B62))),10,IF(OR(ISNUMBER(SEARCH("5L",B62)),ISNUMBER(SEARCH("5KG",B62)),ISNUMBER(SEARCH("5LT",B62))),5,IF(OR(ISNUMBER(SEARCH("3KG",B62)),ISNUMBER(SEARCH("3L",B62))),3,IF(OR(ISNUMBER(SEARCH("2L",B62)),ISNUMBER(SEARCH("2KG",B62))),2,IF(OR(ISNUMBER(SEARCH("1L",B62)),ISNUMBER(SEARCH("1KG",B62)),ISNUMBER(SEARCH("1LT",B62))),1,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Produtos)'!$D$4:$D$848,IF(ISNUMBER(MATCH(A62,'4. Base Mestre (845 Produtos)'!$A$4:$A$848,0)),MATCH(A62,'4. Base Mestre (845 Produtos)'!$A$4:$A$848,0),IF(ISNUMBER(MATCH(B62,'4. Base Mestre (845 Produtos)'!$B$4:$B$848,0)),MATCH(B62,'4. Base Mestre (845 Produtos)'!$B$4:$B$848,0),0))),1))))))))))))))))))))))))</f>
        <v/>
      </c>
      <c r="L62" s="22" t="str">
        <f aca="false">IF(B62="","",IF(OR(ISNUMBER(SEARCH("KG",B62)),ISNUMBER(SEARCH("GR",B62))),"KG",IF(OR(ISNUMBER(SEARCH("0,200L",B62)),ISNUMBER(SEARCH("0,2L",B62)),ISNUMBER(SEARCH("0,5L",B62)),ISNUMBER(SEARCH("1,5L",B62)),ISNUMBER(SEARCH("1,8L",B62)),ISNUMBER(SEARCH("1.8L",B62)),ISNUMBER(SEARCH("1L",B62)),ISNUMBER(SEARCH("2L",B62)),ISNUMBER(SEARCH("3L",B62)),ISNUMBER(SEARCH("5L",B62)),ISNUMBER(SEARCH("10L",B62)),ISNUMBER(SEARCH("20L",B62)),ISNUMBER(SEARCH("25L",B62)),ISNUMBER(SEARCH("200L",B62)),ISNUMBER(SEARCH("1000L",B62)),ISNUMBER(SEARCH("LT",B62))),"L",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Produtos)'!$E$4:$E$848,IF(ISNUMBER(MATCH(A62,'4. Base Mestre (845 Produtos)'!$A$4:$A$848,0)),MATCH(A62,'4. Base Mestre (845 Produtos)'!$A$4:$A$848,0),IF(ISNUMBER(MATCH(B62,'4. Base Mestre (845 Produtos)'!$B$4:$B$848,0)),MATCH(B62,'4. Base Mestre (845 Produtos)'!$B$4:$B$848,0),0))),C62))))</f>
        <v/>
      </c>
      <c r="M62" s="20" t="str">
        <f aca="false">IF(B62="","",IF(C62=L62,"CONFORME — Unidade ("&amp;C62&amp;") compatível c/ Embalagem","DIVERGENTE — Embalagem em "&amp;L62&amp;", mas cadastrado em "&amp;C62))</f>
        <v/>
      </c>
      <c r="N62" s="20" t="str">
        <f aca="false">IF(B62="","",IF(K62=0,"Granel / Produto Técnico (Sem Embalagem Comercial)",IF(K62&lt;=0.3001,"Faixa 1 TIPI: Até 300g/mL (3808.61.00 / 3105.10.00)",IF(K62&lt;=7.5001,"Faixa 2 TIPI: De 300g a 7,5kg/L (3808.62.90 / 3105.10.00)",IF(K62&lt;=10.0001,"Faixa 3 TIPI: De 7,5kg a 10kg/L (3808.69.90 / 3105.10.00)","Faixa 4 TIPI: Acima de 10kg/L (3808.69.90 / Cap. 31 Geral)")))))</f>
        <v/>
      </c>
      <c r="O62" s="20" t="str">
        <f aca="false">IF(B62="","",IF(IF(ISNUMBER(MATCH(A62,'4.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Produtos)'!$H$4:$H$848,IF(ISNUMBER(MATCH(A62,'4. Base Mestre (845 Produtos)'!$A$4:$A$848,0)),MATCH(A62,'4. Base Mestre (845 Produtos)'!$A$4:$A$848,0),IF(ISNUMBER(MATCH(B62,'4. Base Mestre (845 Produtos)'!$B$4:$B$848,0)),MATCH(B62,'4. Base Mestre (845 Produtos)'!$B$4:$B$848,0),0))),IF(ISNUMBER(MATCH(D62,'3. Dicionario Principios Ativos'!$A$4:$A$245,0)),INDEX('3. Dicionario Principios Ativos'!$A$4:$A$245,MATCH(D62,'3. Dicionario Principios Ativos'!$A$4:$A$245,0)),D62)))</f>
        <v/>
      </c>
      <c r="P62" s="20" t="str">
        <f aca="false">IF(B62="","",IF(D62=O62,"CONFORME — Princípio Ativo Validado","DIVERGENTE — Substituir por: "&amp;O62))</f>
        <v/>
      </c>
      <c r="Q62" s="22" t="str">
        <f aca="false">IF(B62="","",IF(IF(IF(ISNUMBER(MATCH(A62,'4.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Produtos)'!$J$4:$J$848,IF(ISNUMBER(MATCH(A62,'4. Base Mestre (845 Produtos)'!$A$4:$A$848,0)),MATCH(A62,'4. Base Mestre (845 Produtos)'!$A$4:$A$848,0),IF(ISNUMBER(MATCH(B62,'4. Base Mestre (845 Produtos)'!$B$4:$B$848,0)),MATCH(B62,'4. Base Mestre (845 Produtos)'!$B$4:$B$848,0),0)))="SIM",IF(ISNUMBER(MATCH(D62,'3. Dicionario Principios Ativos'!$A$4:$A$245,0)),INDEX('3. Dicionario Principios Ativos'!$C$4:$C$245,MATCH(D62,'3. Dicionario Principios Ativos'!$A$4:$A$245,0))="SIM",FALSE())),IF(AND(K62&gt;0,K62&lt;=0.3001),"3808.61.00",IF(AND(K62&gt;0.3001,K62&lt;=7.5001),"3808.62.90","3808.69.90")),IF(AND(LEFT(IF(IF(ISNUMBER(MATCH(A62,'4.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Produtos)'!$L$4:$L$848,IF(ISNUMBER(MATCH(A62,'4. Base Mestre (845 Produtos)'!$A$4:$A$848,0)),MATCH(A62,'4. Base Mestre (845 Produtos)'!$A$4:$A$848,0),IF(ISNUMBER(MATCH(B62,'4. Base Mestre (845 Produtos)'!$B$4:$B$848,0)),MATCH(B62,'4. Base Mestre (845 Produtos)'!$B$4:$B$848,0),0))),IF(ISNUMBER(MATCH(D62,'3. Dicionario Principios Ativos'!$A$4:$A$245,0)),INDEX('3. Dicionario Principios Ativos'!$D$4:$D$245,MATCH(D62,'3. Dicionario Principios Ativos'!$A$4:$A$245,0)),E62)),2)="31",E62="3105.10.00",K62&gt;0,K62&lt;=10.0001),"3105.10.00",IF(AND(IF(IF(ISNUMBER(MATCH(A62,'4.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Produtos)'!$L$4:$L$848,IF(ISNUMBER(MATCH(A62,'4. Base Mestre (845 Produtos)'!$A$4:$A$848,0)),MATCH(A62,'4. Base Mestre (845 Produtos)'!$A$4:$A$848,0),IF(ISNUMBER(MATCH(B62,'4. Base Mestre (845 Produtos)'!$B$4:$B$848,0)),MATCH(B62,'4. Base Mestre (845 Produtos)'!$B$4:$B$848,0),0))),IF(ISNUMBER(MATCH(D62,'3. Dicionario Principios Ativos'!$A$4:$A$245,0)),INDEX('3. Dicionario Principios Ativos'!$D$4:$D$245,MATCH(D62,'3. Dicionario Principios Ativos'!$A$4:$A$245,0)),E62))="3105.10.00",K62&gt;10.0001),"3105.90.90",IF(IF(ISNUMBER(MATCH(A62,'4.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Produtos)'!$L$4:$L$848,IF(ISNUMBER(MATCH(A62,'4. Base Mestre (845 Produtos)'!$A$4:$A$848,0)),MATCH(A62,'4. Base Mestre (845 Produtos)'!$A$4:$A$848,0),IF(ISNUMBER(MATCH(B62,'4. Base Mestre (845 Produtos)'!$B$4:$B$848,0)),MATCH(B62,'4. Base Mestre (845 Produtos)'!$B$4:$B$848,0),0))),IF(ISNUMBER(MATCH(D62,'3. Dicionario Principios Ativos'!$A$4:$A$245,0)),INDEX('3. Dicionario Principios Ativos'!$D$4:$D$245,MATCH(D62,'3. Dicionario Principios Ativos'!$A$4:$A$245,0)),E62))))))</f>
        <v/>
      </c>
      <c r="R62" s="20" t="str">
        <f aca="false">IF(B62="","",IF(OR(E62=Q62,AND(Q62="3002.49.99",E62="3002.90.00")),"CONFORME — NCM "&amp;E62&amp;" Correta na TIPI","DIVERGENTE — Substituir "&amp;E62&amp;" por "&amp;Q62))</f>
        <v/>
      </c>
      <c r="S62" s="20" t="str">
        <f aca="false">IF(B62="","",IF(AND(E62="3808.61.00",OR(K62&gt;0.3001,K62=0)),"INCOMPATÍVEL — NCM 3808.61.00 exige emb. &lt;= 0,3kg/L (Emb. atual: "&amp;K62&amp;" "&amp;L62&amp;" -&gt; usar "&amp;Q62&amp;")",IF(AND(LEFT(E62,7)="3808.62",OR(K62&lt;=0.3001,K62&gt;7.5001)),"INCOMPATÍVEL — NCM 3808.62 exige emb. de 0,3 a 7,5kg/L (Emb. atual: "&amp;K62&amp;" "&amp;L62&amp;" -&gt; usar "&amp;Q62&amp;")",IF(AND(LEFT(E62,7)="3808.69",K62&gt;0,K62&lt;=7.5001),"INCOMPATÍVEL — NCM 3808.69 exige emb. &gt; 7,5kg/L (Emb. atual: "&amp;K62&amp;" "&amp;L62&amp;" -&gt; usar "&amp;Q62&amp;")",IF(AND(LEFT(Q62,6)="3808.6",LEFT(E62,6)&lt;&gt;"3808.6"),"INCOMPATÍVEL — Molécula Nota Subpos. 2 c/ emb. "&amp;K62&amp;" "&amp;L62&amp;" exige NCM "&amp;Q62,IF(AND(OR(E62="3808.91.19",E62="3808.92.19",E62="3808.93.19",E62="3808.99.19"),K62&gt;=1),"INCOMPATÍVEL — Subitem .19 (Domissanitário) vedado p/ emb. agrícola de "&amp;K62&amp;" "&amp;L62,IF(AND(E62="3105.10.00",K62&gt;10.0001),"INCOMPATÍVEL — NCM 3105.10.00 exige peso bruto &lt;= 10kg (Emb. atual: "&amp;K62&amp;" "&amp;L62&amp;" -&gt; usar 3105.90.90)",IF(AND(LEFT(E62,2)="29",LEFT(Q62,4)="3808",K62&gt;0),"INCOMPATÍVEL — Produto formulado em emb. comercial ("&amp;K62&amp;" "&amp;L62&amp;") vedado no Cap. 29 -&gt; usar "&amp;Q62,"CONFORME — Embalagem ("&amp;K62&amp;" "&amp;L62&amp;") compatível c/ a NCM"))))))))</f>
        <v/>
      </c>
      <c r="T62" s="22" t="str">
        <f aca="false">IF(B62="","",IF(IF(ISNUMBER(MATCH(A62,'4.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Produtos)'!$P$4:$P$848,IF(ISNUMBER(MATCH(A62,'4. Base Mestre (845 Produtos)'!$A$4:$A$848,0)),MATCH(A62,'4. Base Mestre (845 Produtos)'!$A$4:$A$848,0),IF(ISNUMBER(MATCH(B62,'4. Base Mestre (845 Produtos)'!$B$4:$B$848,0)),MATCH(B62,'4. Base Mestre (845 Produtos)'!$B$4:$B$848,0),0))),IF(ISNUMBER(MATCH(D62,'3. Dicionario Principios Ativos'!$A$4:$A$245,0)),INDEX('3. Dicionario Principios Ativos'!$K$4:$K$245,MATCH(D62,'3. Dicionario Principios Ativos'!$A$4:$A$245,0)),"VERIFICAR BULA")))</f>
        <v/>
      </c>
      <c r="U62" s="20" t="str">
        <f aca="false">IF(B62="","",IF(ISNUMBER(SEARCH("ISENTO",T62)),IF(OR(F62=0,F62="0",F62="ISENTO",F62=""),"CONFORME (DISPENSADO) — Isento pelo Ato SDA/MAPA nº 104/2017","INCORRETO — Produto isento de registro MAPA (usar 0 ou ISENTO)"),IF(ISNUMBER(SEARCH("SIPEAGRO",T62)),IF(ISNUMBER(SEARCH("-",F62)),"CONFORME — Registro SIPEAGRO ("&amp;F62&amp;") Preenchido","ADEQUAR P/ SIPEAGRO — Substituir 0 pelo Registro (UF-XXXXX-XXXXX.X)"),IF(ISNUMBER(SEARCH("VINCULAR",T62)),IF(AND(F62&lt;&gt;0,F62&lt;&gt;"0",F62&lt;&gt;""),"INCORRETO / TROCADO — Código "&amp;F62&amp;" pertence a outro produto (Vincular bula da marca)","VINCULAR MARCA — Cadastro de P.A. s/ marca fixa (Vincular registro na NF-e)"),IF(OR(F62=0,F62="0",F62=""),"AUSENTE (ZERO) — Preencher Registro Oficial MAPA nº "&amp;T62,IF(TEXT(F62,"0")=TEXT(T62,"0"),"CONFORME — Registro MAPA nº "&amp;T62&amp;" Validado na Bula","INCORRETO / TROCADO — Substituir "&amp;F62&amp;" pelo Registro Oficial nº "&amp;T62))))))</f>
        <v/>
      </c>
      <c r="V62" s="20" t="str">
        <f aca="false">IF(B62="","",IF(IF(ISNUMBER(MATCH(A62,'4.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Produtos)'!$S$4:$S$848,IF(ISNUMBER(MATCH(A62,'4. Base Mestre (845 Produtos)'!$A$4:$A$848,0)),MATCH(A62,'4. Base Mestre (845 Produtos)'!$A$4:$A$848,0),IF(ISNUMBER(MATCH(B62,'4. Base Mestre (845 Produtos)'!$B$4:$B$848,0)),MATCH(B62,'4. Base Mestre (845 Produtos)'!$B$4:$B$848,0),0))),IF(ISNUMBER(MATCH(D62,'3. Dicionario Principios Ativos'!$A$4:$A$245,0)),INDEX('3. Dicionario Principios Ativos'!$L$4:$L$245,MATCH(D62,'3. Dicionario Principios Ativos'!$A$4:$A$245,0)),"Verificar NCM")))</f>
        <v/>
      </c>
      <c r="W62" s="20" t="str">
        <f aca="false">IF(B62="","",IF(IF(ISNUMBER(MATCH(A62,'4. Base Mestre (845 Produtos)'!$A$4:$A$848,0)),MATCH(A62,'4. Base Mestre (845 Produtos)'!$A$4:$A$848,0),IF(ISNUMBER(MATCH(B62,'4. Base Mestre (845 Produtos)'!$B$4:$B$848,0)),MATCH(B62,'4. Base Mestre (845 Produtos)'!$B$4:$B$848,0),0))&gt;0,INDEX('4. Base Mestre (845 Produtos)'!$T$4:$T$848,IF(ISNUMBER(MATCH(A62,'4. Base Mestre (845 Produtos)'!$A$4:$A$848,0)),MATCH(A62,'4. Base Mestre (845 Produtos)'!$A$4:$A$848,0),IF(ISNUMBER(MATCH(B62,'4. Base Mestre (845 Produtos)'!$B$4:$B$848,0)),MATCH(B62,'4. Base Mestre (845 Produtos)'!$B$4:$B$848,0),0))),IF(ISNUMBER(MATCH(D62,'3. Dicionario Principios Ativos'!$A$4:$A$245,0)),INDEX('3. Dicionario Principios Ativos'!$M$4:$M$245,MATCH(D62,'3. Dicionario Principios Ativos'!$A$4:$A$245,0)),"Verificar CST")))</f>
        <v/>
      </c>
      <c r="X62" s="20" t="str">
        <f aca="false">IF(B62="","",IF(AND(LEFT(M62,8)="CONFORME",LEFT(P62,8)="CONFORME",LEFT(R62,8)="CONFORME",LEFT(S62,8)="CONFORME",LEFT(U62,8)="CONFORME"),"CADASTRO 100% CONFORME — LIBERADO P/ ERP",IF(AND(LEFT(M62,8)="CONFORME",LEFT(P62,8)="CONFORME",LEFT(R62,8)="CONFORME",LEFT(S62,8)="CONFORME",OR(LEFT(U62,7)="ADEQUAR",LEFT(U62,8)="VINCULAR")),"FISCAL E EMBALAGEM OK — ADEQUAR CAMPO MAPA (SIPEAGRO / MARCA)","BLOQUEADO — CORRIGIR DIVERGÊNCIAS APONTADAS ANTES DE LIBERAR NO ERP")))</f>
        <v/>
      </c>
    </row>
    <row r="63" customFormat="false" ht="19.5" hidden="false" customHeight="true" outlineLevel="0" collapsed="false">
      <c r="A63" s="12"/>
      <c r="B63" s="13"/>
      <c r="C63" s="12"/>
      <c r="D63" s="13"/>
      <c r="E63" s="12"/>
      <c r="F63" s="12"/>
      <c r="G63" s="14"/>
      <c r="H63" s="13" t="s">
        <v>166</v>
      </c>
      <c r="I63" s="15" t="str">
        <f aca="false">IF(B63="","",IF(ISNUMBER(MATCH(A63,'4. Base Mestre (845 Produtos)'!$A$4:$A$848,0)),"Localizado por Código ("&amp;A63&amp;") na Base Mestre",IF(ISNUMBER(MATCH(B63,'4. Base Mestre (845 Produtos)'!$B$4:$B$848,0)),"Localizado por Descrição na Base Mestre",IF(ISNUMBER(MATCH(D63,'3. Dicionario Principios Ativos'!$A$4:$A$245,0)),"Produto Novo — Validado pelo Dicionário de P.A.","Não Localizado — Revisar Código/P.A."))))</f>
        <v/>
      </c>
      <c r="J63" s="15" t="str">
        <f aca="false">IF(B63="","",IF(IF(ISNUMBER(MATCH(A63,'4.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Produtos)'!$I$4:$I$848,IF(ISNUMBER(MATCH(A63,'4. Base Mestre (845 Produtos)'!$A$4:$A$848,0)),MATCH(A63,'4. Base Mestre (845 Produtos)'!$A$4:$A$848,0),IF(ISNUMBER(MATCH(B63,'4. Base Mestre (845 Produtos)'!$B$4:$B$848,0)),MATCH(B63,'4. Base Mestre (845 Produtos)'!$B$4:$B$848,0),0))),IF(ISNUMBER(MATCH(D63,'3. Dicionario Principios Ativos'!$A$4:$A$245,0)),INDEX('3. Dicionario Principios Ativos'!$B$4:$B$245,MATCH(D63,'3. Dicionario Principios Ativos'!$A$4:$A$245,0)),"Revisar Classificação")))</f>
        <v/>
      </c>
      <c r="K63" s="16" t="str">
        <f aca="false">IF(B63="","",IF(G63&lt;&gt;"",G63,IF(OR(ISNUMBER(SEARCH("PRINCIPIO ATIVO",B63)),ISNUMBER(SEARCH("PRINC. ATIVO",B63)),ISNUMBER(SEARCH("PR. ATIVO",B63)),ISNUMBER(SEARCH("PR.AT.",B63)),ISNUMBER(SEARCH("(P.A",B63)),ISNUMBER(SEARCH("(P. A",B63))),0,IF(OR(ISNUMBER(SEARCH("0,100KG",B63)),ISNUMBER(SEARCH("0,1KG",B63)),ISNUMBER(SEARCH("0,100L",B63))),0.1,IF(OR(ISNUMBER(SEARCH("0,200L",B63)),ISNUMBER(SEARCH("0,2L",B63)),ISNUMBER(SEARCH("0,200KG",B63)),ISNUMBER(SEARCH("0,2KG",B63))),0.2,IF(OR(ISNUMBER(SEARCH("0,240KG",B63)),ISNUMBER(SEARCH("0,250L",B63))),0.24,IF(OR(ISNUMBER(SEARCH("0,300KG",B63)),ISNUMBER(SEARCH("0,3KG",B63))),0.3,IF(OR(ISNUMBER(SEARCH("0,500L",B63)),ISNUMBER(SEARCH("0,5L",B63)),ISNUMBER(SEARCH("0,5KG",B63))),0.5,IF(ISNUMBER(SEARCH("0,8KG",B63)),0.8,IF(OR(ISNUMBER(SEARCH("1,5L",B63)),ISNUMBER(SEARCH("1,5KG",B63))),1.5,IF(OR(ISNUMBER(SEARCH("1,75L",B63)),ISNUMBER(SEARCH("1,8L",B63)),ISNUMBER(SEARCH("1.8L",B63))),1.8,IF(ISNUMBER(SEARCH("4,5KG",B63)),4.5,IF(ISNUMBER(SEARCH("7,5KG",B63)),7.5,IF(OR(ISNUMBER(SEARCH("1000L",B63)),ISNUMBER(SEARCH("1000KG",B63)),ISNUMBER(SEARCH("1.000KG",B63)),ISNUMBER(SEARCH("1.000L",B63)),ISNUMBER(SEARCH("1000 KG",B63)),ISNUMBER(SEARCH("GRANEL",B63)),ISNUMBER(SEARCH("(TON)",B63))),1000,IF(ISNUMBER(SEARCH("200L",B63)),200,IF(OR(ISNUMBER(SEARCH("25KG",B63)),ISNUMBER(SEARCH("25L",B63))),25,IF(OR(ISNUMBER(SEARCH("20L",B63)),ISNUMBER(SEARCH("20KG",B63))),20,IF(ISNUMBER(SEARCH("15KG",B63)),15,IF(OR(ISNUMBER(SEARCH("10L",B63)),ISNUMBER(SEARCH("10KG",B63))),10,IF(OR(ISNUMBER(SEARCH("5L",B63)),ISNUMBER(SEARCH("5KG",B63)),ISNUMBER(SEARCH("5LT",B63))),5,IF(OR(ISNUMBER(SEARCH("3KG",B63)),ISNUMBER(SEARCH("3L",B63))),3,IF(OR(ISNUMBER(SEARCH("2L",B63)),ISNUMBER(SEARCH("2KG",B63))),2,IF(OR(ISNUMBER(SEARCH("1L",B63)),ISNUMBER(SEARCH("1KG",B63)),ISNUMBER(SEARCH("1LT",B63))),1,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Produtos)'!$D$4:$D$848,IF(ISNUMBER(MATCH(A63,'4. Base Mestre (845 Produtos)'!$A$4:$A$848,0)),MATCH(A63,'4. Base Mestre (845 Produtos)'!$A$4:$A$848,0),IF(ISNUMBER(MATCH(B63,'4. Base Mestre (845 Produtos)'!$B$4:$B$848,0)),MATCH(B63,'4. Base Mestre (845 Produtos)'!$B$4:$B$848,0),0))),1))))))))))))))))))))))))</f>
        <v/>
      </c>
      <c r="L63" s="17" t="str">
        <f aca="false">IF(B63="","",IF(OR(ISNUMBER(SEARCH("KG",B63)),ISNUMBER(SEARCH("GR",B63))),"KG",IF(OR(ISNUMBER(SEARCH("0,200L",B63)),ISNUMBER(SEARCH("0,2L",B63)),ISNUMBER(SEARCH("0,5L",B63)),ISNUMBER(SEARCH("1,5L",B63)),ISNUMBER(SEARCH("1,8L",B63)),ISNUMBER(SEARCH("1.8L",B63)),ISNUMBER(SEARCH("1L",B63)),ISNUMBER(SEARCH("2L",B63)),ISNUMBER(SEARCH("3L",B63)),ISNUMBER(SEARCH("5L",B63)),ISNUMBER(SEARCH("10L",B63)),ISNUMBER(SEARCH("20L",B63)),ISNUMBER(SEARCH("25L",B63)),ISNUMBER(SEARCH("200L",B63)),ISNUMBER(SEARCH("1000L",B63)),ISNUMBER(SEARCH("LT",B63))),"L",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Produtos)'!$E$4:$E$848,IF(ISNUMBER(MATCH(A63,'4. Base Mestre (845 Produtos)'!$A$4:$A$848,0)),MATCH(A63,'4. Base Mestre (845 Produtos)'!$A$4:$A$848,0),IF(ISNUMBER(MATCH(B63,'4. Base Mestre (845 Produtos)'!$B$4:$B$848,0)),MATCH(B63,'4. Base Mestre (845 Produtos)'!$B$4:$B$848,0),0))),C63))))</f>
        <v/>
      </c>
      <c r="M63" s="15" t="str">
        <f aca="false">IF(B63="","",IF(C63=L63,"CONFORME — Unidade ("&amp;C63&amp;") compatível c/ Embalagem","DIVERGENTE — Embalagem em "&amp;L63&amp;", mas cadastrado em "&amp;C63))</f>
        <v/>
      </c>
      <c r="N63" s="15" t="str">
        <f aca="false">IF(B63="","",IF(K63=0,"Granel / Produto Técnico (Sem Embalagem Comercial)",IF(K63&lt;=0.3001,"Faixa 1 TIPI: Até 300g/mL (3808.61.00 / 3105.10.00)",IF(K63&lt;=7.5001,"Faixa 2 TIPI: De 300g a 7,5kg/L (3808.62.90 / 3105.10.00)",IF(K63&lt;=10.0001,"Faixa 3 TIPI: De 7,5kg a 10kg/L (3808.69.90 / 3105.10.00)","Faixa 4 TIPI: Acima de 10kg/L (3808.69.90 / Cap. 31 Geral)")))))</f>
        <v/>
      </c>
      <c r="O63" s="15" t="str">
        <f aca="false">IF(B63="","",IF(IF(ISNUMBER(MATCH(A63,'4.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Produtos)'!$H$4:$H$848,IF(ISNUMBER(MATCH(A63,'4. Base Mestre (845 Produtos)'!$A$4:$A$848,0)),MATCH(A63,'4. Base Mestre (845 Produtos)'!$A$4:$A$848,0),IF(ISNUMBER(MATCH(B63,'4. Base Mestre (845 Produtos)'!$B$4:$B$848,0)),MATCH(B63,'4. Base Mestre (845 Produtos)'!$B$4:$B$848,0),0))),IF(ISNUMBER(MATCH(D63,'3. Dicionario Principios Ativos'!$A$4:$A$245,0)),INDEX('3. Dicionario Principios Ativos'!$A$4:$A$245,MATCH(D63,'3. Dicionario Principios Ativos'!$A$4:$A$245,0)),D63)))</f>
        <v/>
      </c>
      <c r="P63" s="15" t="str">
        <f aca="false">IF(B63="","",IF(D63=O63,"CONFORME — Princípio Ativo Validado","DIVERGENTE — Substituir por: "&amp;O63))</f>
        <v/>
      </c>
      <c r="Q63" s="17" t="str">
        <f aca="false">IF(B63="","",IF(IF(IF(ISNUMBER(MATCH(A63,'4.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Produtos)'!$J$4:$J$848,IF(ISNUMBER(MATCH(A63,'4. Base Mestre (845 Produtos)'!$A$4:$A$848,0)),MATCH(A63,'4. Base Mestre (845 Produtos)'!$A$4:$A$848,0),IF(ISNUMBER(MATCH(B63,'4. Base Mestre (845 Produtos)'!$B$4:$B$848,0)),MATCH(B63,'4. Base Mestre (845 Produtos)'!$B$4:$B$848,0),0)))="SIM",IF(ISNUMBER(MATCH(D63,'3. Dicionario Principios Ativos'!$A$4:$A$245,0)),INDEX('3. Dicionario Principios Ativos'!$C$4:$C$245,MATCH(D63,'3. Dicionario Principios Ativos'!$A$4:$A$245,0))="SIM",FALSE())),IF(AND(K63&gt;0,K63&lt;=0.3001),"3808.61.00",IF(AND(K63&gt;0.3001,K63&lt;=7.5001),"3808.62.90","3808.69.90")),IF(AND(LEFT(IF(IF(ISNUMBER(MATCH(A63,'4.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Produtos)'!$L$4:$L$848,IF(ISNUMBER(MATCH(A63,'4. Base Mestre (845 Produtos)'!$A$4:$A$848,0)),MATCH(A63,'4. Base Mestre (845 Produtos)'!$A$4:$A$848,0),IF(ISNUMBER(MATCH(B63,'4. Base Mestre (845 Produtos)'!$B$4:$B$848,0)),MATCH(B63,'4. Base Mestre (845 Produtos)'!$B$4:$B$848,0),0))),IF(ISNUMBER(MATCH(D63,'3. Dicionario Principios Ativos'!$A$4:$A$245,0)),INDEX('3. Dicionario Principios Ativos'!$D$4:$D$245,MATCH(D63,'3. Dicionario Principios Ativos'!$A$4:$A$245,0)),E63)),2)="31",E63="3105.10.00",K63&gt;0,K63&lt;=10.0001),"3105.10.00",IF(AND(IF(IF(ISNUMBER(MATCH(A63,'4.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Produtos)'!$L$4:$L$848,IF(ISNUMBER(MATCH(A63,'4. Base Mestre (845 Produtos)'!$A$4:$A$848,0)),MATCH(A63,'4. Base Mestre (845 Produtos)'!$A$4:$A$848,0),IF(ISNUMBER(MATCH(B63,'4. Base Mestre (845 Produtos)'!$B$4:$B$848,0)),MATCH(B63,'4. Base Mestre (845 Produtos)'!$B$4:$B$848,0),0))),IF(ISNUMBER(MATCH(D63,'3. Dicionario Principios Ativos'!$A$4:$A$245,0)),INDEX('3. Dicionario Principios Ativos'!$D$4:$D$245,MATCH(D63,'3. Dicionario Principios Ativos'!$A$4:$A$245,0)),E63))="3105.10.00",K63&gt;10.0001),"3105.90.90",IF(IF(ISNUMBER(MATCH(A63,'4.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Produtos)'!$L$4:$L$848,IF(ISNUMBER(MATCH(A63,'4. Base Mestre (845 Produtos)'!$A$4:$A$848,0)),MATCH(A63,'4. Base Mestre (845 Produtos)'!$A$4:$A$848,0),IF(ISNUMBER(MATCH(B63,'4. Base Mestre (845 Produtos)'!$B$4:$B$848,0)),MATCH(B63,'4. Base Mestre (845 Produtos)'!$B$4:$B$848,0),0))),IF(ISNUMBER(MATCH(D63,'3. Dicionario Principios Ativos'!$A$4:$A$245,0)),INDEX('3. Dicionario Principios Ativos'!$D$4:$D$245,MATCH(D63,'3. Dicionario Principios Ativos'!$A$4:$A$245,0)),E63))))))</f>
        <v/>
      </c>
      <c r="R63" s="15" t="str">
        <f aca="false">IF(B63="","",IF(OR(E63=Q63,AND(Q63="3002.49.99",E63="3002.90.00")),"CONFORME — NCM "&amp;E63&amp;" Correta na TIPI","DIVERGENTE — Substituir "&amp;E63&amp;" por "&amp;Q63))</f>
        <v/>
      </c>
      <c r="S63" s="15" t="str">
        <f aca="false">IF(B63="","",IF(AND(E63="3808.61.00",OR(K63&gt;0.3001,K63=0)),"INCOMPATÍVEL — NCM 3808.61.00 exige emb. &lt;= 0,3kg/L (Emb. atual: "&amp;K63&amp;" "&amp;L63&amp;" -&gt; usar "&amp;Q63&amp;")",IF(AND(LEFT(E63,7)="3808.62",OR(K63&lt;=0.3001,K63&gt;7.5001)),"INCOMPATÍVEL — NCM 3808.62 exige emb. de 0,3 a 7,5kg/L (Emb. atual: "&amp;K63&amp;" "&amp;L63&amp;" -&gt; usar "&amp;Q63&amp;")",IF(AND(LEFT(E63,7)="3808.69",K63&gt;0,K63&lt;=7.5001),"INCOMPATÍVEL — NCM 3808.69 exige emb. &gt; 7,5kg/L (Emb. atual: "&amp;K63&amp;" "&amp;L63&amp;" -&gt; usar "&amp;Q63&amp;")",IF(AND(LEFT(Q63,6)="3808.6",LEFT(E63,6)&lt;&gt;"3808.6"),"INCOMPATÍVEL — Molécula Nota Subpos. 2 c/ emb. "&amp;K63&amp;" "&amp;L63&amp;" exige NCM "&amp;Q63,IF(AND(OR(E63="3808.91.19",E63="3808.92.19",E63="3808.93.19",E63="3808.99.19"),K63&gt;=1),"INCOMPATÍVEL — Subitem .19 (Domissanitário) vedado p/ emb. agrícola de "&amp;K63&amp;" "&amp;L63,IF(AND(E63="3105.10.00",K63&gt;10.0001),"INCOMPATÍVEL — NCM 3105.10.00 exige peso bruto &lt;= 10kg (Emb. atual: "&amp;K63&amp;" "&amp;L63&amp;" -&gt; usar 3105.90.90)",IF(AND(LEFT(E63,2)="29",LEFT(Q63,4)="3808",K63&gt;0),"INCOMPATÍVEL — Produto formulado em emb. comercial ("&amp;K63&amp;" "&amp;L63&amp;") vedado no Cap. 29 -&gt; usar "&amp;Q63,"CONFORME — Embalagem ("&amp;K63&amp;" "&amp;L63&amp;") compatível c/ a NCM"))))))))</f>
        <v/>
      </c>
      <c r="T63" s="17" t="str">
        <f aca="false">IF(B63="","",IF(IF(ISNUMBER(MATCH(A63,'4.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Produtos)'!$P$4:$P$848,IF(ISNUMBER(MATCH(A63,'4. Base Mestre (845 Produtos)'!$A$4:$A$848,0)),MATCH(A63,'4. Base Mestre (845 Produtos)'!$A$4:$A$848,0),IF(ISNUMBER(MATCH(B63,'4. Base Mestre (845 Produtos)'!$B$4:$B$848,0)),MATCH(B63,'4. Base Mestre (845 Produtos)'!$B$4:$B$848,0),0))),IF(ISNUMBER(MATCH(D63,'3. Dicionario Principios Ativos'!$A$4:$A$245,0)),INDEX('3. Dicionario Principios Ativos'!$K$4:$K$245,MATCH(D63,'3. Dicionario Principios Ativos'!$A$4:$A$245,0)),"VERIFICAR BULA")))</f>
        <v/>
      </c>
      <c r="U63" s="15" t="str">
        <f aca="false">IF(B63="","",IF(ISNUMBER(SEARCH("ISENTO",T63)),IF(OR(F63=0,F63="0",F63="ISENTO",F63=""),"CONFORME (DISPENSADO) — Isento pelo Ato SDA/MAPA nº 104/2017","INCORRETO — Produto isento de registro MAPA (usar 0 ou ISENTO)"),IF(ISNUMBER(SEARCH("SIPEAGRO",T63)),IF(ISNUMBER(SEARCH("-",F63)),"CONFORME — Registro SIPEAGRO ("&amp;F63&amp;") Preenchido","ADEQUAR P/ SIPEAGRO — Substituir 0 pelo Registro (UF-XXXXX-XXXXX.X)"),IF(ISNUMBER(SEARCH("VINCULAR",T63)),IF(AND(F63&lt;&gt;0,F63&lt;&gt;"0",F63&lt;&gt;""),"INCORRETO / TROCADO — Código "&amp;F63&amp;" pertence a outro produto (Vincular bula da marca)","VINCULAR MARCA — Cadastro de P.A. s/ marca fixa (Vincular registro na NF-e)"),IF(OR(F63=0,F63="0",F63=""),"AUSENTE (ZERO) — Preencher Registro Oficial MAPA nº "&amp;T63,IF(TEXT(F63,"0")=TEXT(T63,"0"),"CONFORME — Registro MAPA nº "&amp;T63&amp;" Validado na Bula","INCORRETO / TROCADO — Substituir "&amp;F63&amp;" pelo Registro Oficial nº "&amp;T63))))))</f>
        <v/>
      </c>
      <c r="V63" s="15" t="str">
        <f aca="false">IF(B63="","",IF(IF(ISNUMBER(MATCH(A63,'4.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Produtos)'!$S$4:$S$848,IF(ISNUMBER(MATCH(A63,'4. Base Mestre (845 Produtos)'!$A$4:$A$848,0)),MATCH(A63,'4. Base Mestre (845 Produtos)'!$A$4:$A$848,0),IF(ISNUMBER(MATCH(B63,'4. Base Mestre (845 Produtos)'!$B$4:$B$848,0)),MATCH(B63,'4. Base Mestre (845 Produtos)'!$B$4:$B$848,0),0))),IF(ISNUMBER(MATCH(D63,'3. Dicionario Principios Ativos'!$A$4:$A$245,0)),INDEX('3. Dicionario Principios Ativos'!$L$4:$L$245,MATCH(D63,'3. Dicionario Principios Ativos'!$A$4:$A$245,0)),"Verificar NCM")))</f>
        <v/>
      </c>
      <c r="W63" s="15" t="str">
        <f aca="false">IF(B63="","",IF(IF(ISNUMBER(MATCH(A63,'4. Base Mestre (845 Produtos)'!$A$4:$A$848,0)),MATCH(A63,'4. Base Mestre (845 Produtos)'!$A$4:$A$848,0),IF(ISNUMBER(MATCH(B63,'4. Base Mestre (845 Produtos)'!$B$4:$B$848,0)),MATCH(B63,'4. Base Mestre (845 Produtos)'!$B$4:$B$848,0),0))&gt;0,INDEX('4. Base Mestre (845 Produtos)'!$T$4:$T$848,IF(ISNUMBER(MATCH(A63,'4. Base Mestre (845 Produtos)'!$A$4:$A$848,0)),MATCH(A63,'4. Base Mestre (845 Produtos)'!$A$4:$A$848,0),IF(ISNUMBER(MATCH(B63,'4. Base Mestre (845 Produtos)'!$B$4:$B$848,0)),MATCH(B63,'4. Base Mestre (845 Produtos)'!$B$4:$B$848,0),0))),IF(ISNUMBER(MATCH(D63,'3. Dicionario Principios Ativos'!$A$4:$A$245,0)),INDEX('3. Dicionario Principios Ativos'!$M$4:$M$245,MATCH(D63,'3. Dicionario Principios Ativos'!$A$4:$A$245,0)),"Verificar CST")))</f>
        <v/>
      </c>
      <c r="X63" s="15" t="str">
        <f aca="false">IF(B63="","",IF(AND(LEFT(M63,8)="CONFORME",LEFT(P63,8)="CONFORME",LEFT(R63,8)="CONFORME",LEFT(S63,8)="CONFORME",LEFT(U63,8)="CONFORME"),"CADASTRO 100% CONFORME — LIBERADO P/ ERP",IF(AND(LEFT(M63,8)="CONFORME",LEFT(P63,8)="CONFORME",LEFT(R63,8)="CONFORME",LEFT(S63,8)="CONFORME",OR(LEFT(U63,7)="ADEQUAR",LEFT(U63,8)="VINCULAR")),"FISCAL E EMBALAGEM OK — ADEQUAR CAMPO MAPA (SIPEAGRO / MARCA)","BLOQUEADO — CORRIGIR DIVERGÊNCIAS APONTADAS ANTES DE LIBERAR NO ERP")))</f>
        <v/>
      </c>
    </row>
    <row r="64" customFormat="false" ht="19.5" hidden="false" customHeight="true" outlineLevel="0" collapsed="false">
      <c r="A64" s="12"/>
      <c r="B64" s="13"/>
      <c r="C64" s="12"/>
      <c r="D64" s="13"/>
      <c r="E64" s="12"/>
      <c r="F64" s="12"/>
      <c r="G64" s="14"/>
      <c r="H64" s="13" t="s">
        <v>166</v>
      </c>
      <c r="I64" s="20" t="str">
        <f aca="false">IF(B64="","",IF(ISNUMBER(MATCH(A64,'4. Base Mestre (845 Produtos)'!$A$4:$A$848,0)),"Localizado por Código ("&amp;A64&amp;") na Base Mestre",IF(ISNUMBER(MATCH(B64,'4. Base Mestre (845 Produtos)'!$B$4:$B$848,0)),"Localizado por Descrição na Base Mestre",IF(ISNUMBER(MATCH(D64,'3. Dicionario Principios Ativos'!$A$4:$A$245,0)),"Produto Novo — Validado pelo Dicionário de P.A.","Não Localizado — Revisar Código/P.A."))))</f>
        <v/>
      </c>
      <c r="J64" s="20" t="str">
        <f aca="false">IF(B64="","",IF(IF(ISNUMBER(MATCH(A64,'4.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Produtos)'!$I$4:$I$848,IF(ISNUMBER(MATCH(A64,'4. Base Mestre (845 Produtos)'!$A$4:$A$848,0)),MATCH(A64,'4. Base Mestre (845 Produtos)'!$A$4:$A$848,0),IF(ISNUMBER(MATCH(B64,'4. Base Mestre (845 Produtos)'!$B$4:$B$848,0)),MATCH(B64,'4. Base Mestre (845 Produtos)'!$B$4:$B$848,0),0))),IF(ISNUMBER(MATCH(D64,'3. Dicionario Principios Ativos'!$A$4:$A$245,0)),INDEX('3. Dicionario Principios Ativos'!$B$4:$B$245,MATCH(D64,'3. Dicionario Principios Ativos'!$A$4:$A$245,0)),"Revisar Classificação")))</f>
        <v/>
      </c>
      <c r="K64" s="21" t="str">
        <f aca="false">IF(B64="","",IF(G64&lt;&gt;"",G64,IF(OR(ISNUMBER(SEARCH("PRINCIPIO ATIVO",B64)),ISNUMBER(SEARCH("PRINC. ATIVO",B64)),ISNUMBER(SEARCH("PR. ATIVO",B64)),ISNUMBER(SEARCH("PR.AT.",B64)),ISNUMBER(SEARCH("(P.A",B64)),ISNUMBER(SEARCH("(P. A",B64))),0,IF(OR(ISNUMBER(SEARCH("0,100KG",B64)),ISNUMBER(SEARCH("0,1KG",B64)),ISNUMBER(SEARCH("0,100L",B64))),0.1,IF(OR(ISNUMBER(SEARCH("0,200L",B64)),ISNUMBER(SEARCH("0,2L",B64)),ISNUMBER(SEARCH("0,200KG",B64)),ISNUMBER(SEARCH("0,2KG",B64))),0.2,IF(OR(ISNUMBER(SEARCH("0,240KG",B64)),ISNUMBER(SEARCH("0,250L",B64))),0.24,IF(OR(ISNUMBER(SEARCH("0,300KG",B64)),ISNUMBER(SEARCH("0,3KG",B64))),0.3,IF(OR(ISNUMBER(SEARCH("0,500L",B64)),ISNUMBER(SEARCH("0,5L",B64)),ISNUMBER(SEARCH("0,5KG",B64))),0.5,IF(ISNUMBER(SEARCH("0,8KG",B64)),0.8,IF(OR(ISNUMBER(SEARCH("1,5L",B64)),ISNUMBER(SEARCH("1,5KG",B64))),1.5,IF(OR(ISNUMBER(SEARCH("1,75L",B64)),ISNUMBER(SEARCH("1,8L",B64)),ISNUMBER(SEARCH("1.8L",B64))),1.8,IF(ISNUMBER(SEARCH("4,5KG",B64)),4.5,IF(ISNUMBER(SEARCH("7,5KG",B64)),7.5,IF(OR(ISNUMBER(SEARCH("1000L",B64)),ISNUMBER(SEARCH("1000KG",B64)),ISNUMBER(SEARCH("1.000KG",B64)),ISNUMBER(SEARCH("1.000L",B64)),ISNUMBER(SEARCH("1000 KG",B64)),ISNUMBER(SEARCH("GRANEL",B64)),ISNUMBER(SEARCH("(TON)",B64))),1000,IF(ISNUMBER(SEARCH("200L",B64)),200,IF(OR(ISNUMBER(SEARCH("25KG",B64)),ISNUMBER(SEARCH("25L",B64))),25,IF(OR(ISNUMBER(SEARCH("20L",B64)),ISNUMBER(SEARCH("20KG",B64))),20,IF(ISNUMBER(SEARCH("15KG",B64)),15,IF(OR(ISNUMBER(SEARCH("10L",B64)),ISNUMBER(SEARCH("10KG",B64))),10,IF(OR(ISNUMBER(SEARCH("5L",B64)),ISNUMBER(SEARCH("5KG",B64)),ISNUMBER(SEARCH("5LT",B64))),5,IF(OR(ISNUMBER(SEARCH("3KG",B64)),ISNUMBER(SEARCH("3L",B64))),3,IF(OR(ISNUMBER(SEARCH("2L",B64)),ISNUMBER(SEARCH("2KG",B64))),2,IF(OR(ISNUMBER(SEARCH("1L",B64)),ISNUMBER(SEARCH("1KG",B64)),ISNUMBER(SEARCH("1LT",B64))),1,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Produtos)'!$D$4:$D$848,IF(ISNUMBER(MATCH(A64,'4. Base Mestre (845 Produtos)'!$A$4:$A$848,0)),MATCH(A64,'4. Base Mestre (845 Produtos)'!$A$4:$A$848,0),IF(ISNUMBER(MATCH(B64,'4. Base Mestre (845 Produtos)'!$B$4:$B$848,0)),MATCH(B64,'4. Base Mestre (845 Produtos)'!$B$4:$B$848,0),0))),1))))))))))))))))))))))))</f>
        <v/>
      </c>
      <c r="L64" s="22" t="str">
        <f aca="false">IF(B64="","",IF(OR(ISNUMBER(SEARCH("KG",B64)),ISNUMBER(SEARCH("GR",B64))),"KG",IF(OR(ISNUMBER(SEARCH("0,200L",B64)),ISNUMBER(SEARCH("0,2L",B64)),ISNUMBER(SEARCH("0,5L",B64)),ISNUMBER(SEARCH("1,5L",B64)),ISNUMBER(SEARCH("1,8L",B64)),ISNUMBER(SEARCH("1.8L",B64)),ISNUMBER(SEARCH("1L",B64)),ISNUMBER(SEARCH("2L",B64)),ISNUMBER(SEARCH("3L",B64)),ISNUMBER(SEARCH("5L",B64)),ISNUMBER(SEARCH("10L",B64)),ISNUMBER(SEARCH("20L",B64)),ISNUMBER(SEARCH("25L",B64)),ISNUMBER(SEARCH("200L",B64)),ISNUMBER(SEARCH("1000L",B64)),ISNUMBER(SEARCH("LT",B64))),"L",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Produtos)'!$E$4:$E$848,IF(ISNUMBER(MATCH(A64,'4. Base Mestre (845 Produtos)'!$A$4:$A$848,0)),MATCH(A64,'4. Base Mestre (845 Produtos)'!$A$4:$A$848,0),IF(ISNUMBER(MATCH(B64,'4. Base Mestre (845 Produtos)'!$B$4:$B$848,0)),MATCH(B64,'4. Base Mestre (845 Produtos)'!$B$4:$B$848,0),0))),C64))))</f>
        <v/>
      </c>
      <c r="M64" s="20" t="str">
        <f aca="false">IF(B64="","",IF(C64=L64,"CONFORME — Unidade ("&amp;C64&amp;") compatível c/ Embalagem","DIVERGENTE — Embalagem em "&amp;L64&amp;", mas cadastrado em "&amp;C64))</f>
        <v/>
      </c>
      <c r="N64" s="20" t="str">
        <f aca="false">IF(B64="","",IF(K64=0,"Granel / Produto Técnico (Sem Embalagem Comercial)",IF(K64&lt;=0.3001,"Faixa 1 TIPI: Até 300g/mL (3808.61.00 / 3105.10.00)",IF(K64&lt;=7.5001,"Faixa 2 TIPI: De 300g a 7,5kg/L (3808.62.90 / 3105.10.00)",IF(K64&lt;=10.0001,"Faixa 3 TIPI: De 7,5kg a 10kg/L (3808.69.90 / 3105.10.00)","Faixa 4 TIPI: Acima de 10kg/L (3808.69.90 / Cap. 31 Geral)")))))</f>
        <v/>
      </c>
      <c r="O64" s="20" t="str">
        <f aca="false">IF(B64="","",IF(IF(ISNUMBER(MATCH(A64,'4.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Produtos)'!$H$4:$H$848,IF(ISNUMBER(MATCH(A64,'4. Base Mestre (845 Produtos)'!$A$4:$A$848,0)),MATCH(A64,'4. Base Mestre (845 Produtos)'!$A$4:$A$848,0),IF(ISNUMBER(MATCH(B64,'4. Base Mestre (845 Produtos)'!$B$4:$B$848,0)),MATCH(B64,'4. Base Mestre (845 Produtos)'!$B$4:$B$848,0),0))),IF(ISNUMBER(MATCH(D64,'3. Dicionario Principios Ativos'!$A$4:$A$245,0)),INDEX('3. Dicionario Principios Ativos'!$A$4:$A$245,MATCH(D64,'3. Dicionario Principios Ativos'!$A$4:$A$245,0)),D64)))</f>
        <v/>
      </c>
      <c r="P64" s="20" t="str">
        <f aca="false">IF(B64="","",IF(D64=O64,"CONFORME — Princípio Ativo Validado","DIVERGENTE — Substituir por: "&amp;O64))</f>
        <v/>
      </c>
      <c r="Q64" s="22" t="str">
        <f aca="false">IF(B64="","",IF(IF(IF(ISNUMBER(MATCH(A64,'4.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Produtos)'!$J$4:$J$848,IF(ISNUMBER(MATCH(A64,'4. Base Mestre (845 Produtos)'!$A$4:$A$848,0)),MATCH(A64,'4. Base Mestre (845 Produtos)'!$A$4:$A$848,0),IF(ISNUMBER(MATCH(B64,'4. Base Mestre (845 Produtos)'!$B$4:$B$848,0)),MATCH(B64,'4. Base Mestre (845 Produtos)'!$B$4:$B$848,0),0)))="SIM",IF(ISNUMBER(MATCH(D64,'3. Dicionario Principios Ativos'!$A$4:$A$245,0)),INDEX('3. Dicionario Principios Ativos'!$C$4:$C$245,MATCH(D64,'3. Dicionario Principios Ativos'!$A$4:$A$245,0))="SIM",FALSE())),IF(AND(K64&gt;0,K64&lt;=0.3001),"3808.61.00",IF(AND(K64&gt;0.3001,K64&lt;=7.5001),"3808.62.90","3808.69.90")),IF(AND(LEFT(IF(IF(ISNUMBER(MATCH(A64,'4.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Produtos)'!$L$4:$L$848,IF(ISNUMBER(MATCH(A64,'4. Base Mestre (845 Produtos)'!$A$4:$A$848,0)),MATCH(A64,'4. Base Mestre (845 Produtos)'!$A$4:$A$848,0),IF(ISNUMBER(MATCH(B64,'4. Base Mestre (845 Produtos)'!$B$4:$B$848,0)),MATCH(B64,'4. Base Mestre (845 Produtos)'!$B$4:$B$848,0),0))),IF(ISNUMBER(MATCH(D64,'3. Dicionario Principios Ativos'!$A$4:$A$245,0)),INDEX('3. Dicionario Principios Ativos'!$D$4:$D$245,MATCH(D64,'3. Dicionario Principios Ativos'!$A$4:$A$245,0)),E64)),2)="31",E64="3105.10.00",K64&gt;0,K64&lt;=10.0001),"3105.10.00",IF(AND(IF(IF(ISNUMBER(MATCH(A64,'4.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Produtos)'!$L$4:$L$848,IF(ISNUMBER(MATCH(A64,'4. Base Mestre (845 Produtos)'!$A$4:$A$848,0)),MATCH(A64,'4. Base Mestre (845 Produtos)'!$A$4:$A$848,0),IF(ISNUMBER(MATCH(B64,'4. Base Mestre (845 Produtos)'!$B$4:$B$848,0)),MATCH(B64,'4. Base Mestre (845 Produtos)'!$B$4:$B$848,0),0))),IF(ISNUMBER(MATCH(D64,'3. Dicionario Principios Ativos'!$A$4:$A$245,0)),INDEX('3. Dicionario Principios Ativos'!$D$4:$D$245,MATCH(D64,'3. Dicionario Principios Ativos'!$A$4:$A$245,0)),E64))="3105.10.00",K64&gt;10.0001),"3105.90.90",IF(IF(ISNUMBER(MATCH(A64,'4.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Produtos)'!$L$4:$L$848,IF(ISNUMBER(MATCH(A64,'4. Base Mestre (845 Produtos)'!$A$4:$A$848,0)),MATCH(A64,'4. Base Mestre (845 Produtos)'!$A$4:$A$848,0),IF(ISNUMBER(MATCH(B64,'4. Base Mestre (845 Produtos)'!$B$4:$B$848,0)),MATCH(B64,'4. Base Mestre (845 Produtos)'!$B$4:$B$848,0),0))),IF(ISNUMBER(MATCH(D64,'3. Dicionario Principios Ativos'!$A$4:$A$245,0)),INDEX('3. Dicionario Principios Ativos'!$D$4:$D$245,MATCH(D64,'3. Dicionario Principios Ativos'!$A$4:$A$245,0)),E64))))))</f>
        <v/>
      </c>
      <c r="R64" s="20" t="str">
        <f aca="false">IF(B64="","",IF(OR(E64=Q64,AND(Q64="3002.49.99",E64="3002.90.00")),"CONFORME — NCM "&amp;E64&amp;" Correta na TIPI","DIVERGENTE — Substituir "&amp;E64&amp;" por "&amp;Q64))</f>
        <v/>
      </c>
      <c r="S64" s="20" t="str">
        <f aca="false">IF(B64="","",IF(AND(E64="3808.61.00",OR(K64&gt;0.3001,K64=0)),"INCOMPATÍVEL — NCM 3808.61.00 exige emb. &lt;= 0,3kg/L (Emb. atual: "&amp;K64&amp;" "&amp;L64&amp;" -&gt; usar "&amp;Q64&amp;")",IF(AND(LEFT(E64,7)="3808.62",OR(K64&lt;=0.3001,K64&gt;7.5001)),"INCOMPATÍVEL — NCM 3808.62 exige emb. de 0,3 a 7,5kg/L (Emb. atual: "&amp;K64&amp;" "&amp;L64&amp;" -&gt; usar "&amp;Q64&amp;")",IF(AND(LEFT(E64,7)="3808.69",K64&gt;0,K64&lt;=7.5001),"INCOMPATÍVEL — NCM 3808.69 exige emb. &gt; 7,5kg/L (Emb. atual: "&amp;K64&amp;" "&amp;L64&amp;" -&gt; usar "&amp;Q64&amp;")",IF(AND(LEFT(Q64,6)="3808.6",LEFT(E64,6)&lt;&gt;"3808.6"),"INCOMPATÍVEL — Molécula Nota Subpos. 2 c/ emb. "&amp;K64&amp;" "&amp;L64&amp;" exige NCM "&amp;Q64,IF(AND(OR(E64="3808.91.19",E64="3808.92.19",E64="3808.93.19",E64="3808.99.19"),K64&gt;=1),"INCOMPATÍVEL — Subitem .19 (Domissanitário) vedado p/ emb. agrícola de "&amp;K64&amp;" "&amp;L64,IF(AND(E64="3105.10.00",K64&gt;10.0001),"INCOMPATÍVEL — NCM 3105.10.00 exige peso bruto &lt;= 10kg (Emb. atual: "&amp;K64&amp;" "&amp;L64&amp;" -&gt; usar 3105.90.90)",IF(AND(LEFT(E64,2)="29",LEFT(Q64,4)="3808",K64&gt;0),"INCOMPATÍVEL — Produto formulado em emb. comercial ("&amp;K64&amp;" "&amp;L64&amp;") vedado no Cap. 29 -&gt; usar "&amp;Q64,"CONFORME — Embalagem ("&amp;K64&amp;" "&amp;L64&amp;") compatível c/ a NCM"))))))))</f>
        <v/>
      </c>
      <c r="T64" s="22" t="str">
        <f aca="false">IF(B64="","",IF(IF(ISNUMBER(MATCH(A64,'4.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Produtos)'!$P$4:$P$848,IF(ISNUMBER(MATCH(A64,'4. Base Mestre (845 Produtos)'!$A$4:$A$848,0)),MATCH(A64,'4. Base Mestre (845 Produtos)'!$A$4:$A$848,0),IF(ISNUMBER(MATCH(B64,'4. Base Mestre (845 Produtos)'!$B$4:$B$848,0)),MATCH(B64,'4. Base Mestre (845 Produtos)'!$B$4:$B$848,0),0))),IF(ISNUMBER(MATCH(D64,'3. Dicionario Principios Ativos'!$A$4:$A$245,0)),INDEX('3. Dicionario Principios Ativos'!$K$4:$K$245,MATCH(D64,'3. Dicionario Principios Ativos'!$A$4:$A$245,0)),"VERIFICAR BULA")))</f>
        <v/>
      </c>
      <c r="U64" s="20" t="str">
        <f aca="false">IF(B64="","",IF(ISNUMBER(SEARCH("ISENTO",T64)),IF(OR(F64=0,F64="0",F64="ISENTO",F64=""),"CONFORME (DISPENSADO) — Isento pelo Ato SDA/MAPA nº 104/2017","INCORRETO — Produto isento de registro MAPA (usar 0 ou ISENTO)"),IF(ISNUMBER(SEARCH("SIPEAGRO",T64)),IF(ISNUMBER(SEARCH("-",F64)),"CONFORME — Registro SIPEAGRO ("&amp;F64&amp;") Preenchido","ADEQUAR P/ SIPEAGRO — Substituir 0 pelo Registro (UF-XXXXX-XXXXX.X)"),IF(ISNUMBER(SEARCH("VINCULAR",T64)),IF(AND(F64&lt;&gt;0,F64&lt;&gt;"0",F64&lt;&gt;""),"INCORRETO / TROCADO — Código "&amp;F64&amp;" pertence a outro produto (Vincular bula da marca)","VINCULAR MARCA — Cadastro de P.A. s/ marca fixa (Vincular registro na NF-e)"),IF(OR(F64=0,F64="0",F64=""),"AUSENTE (ZERO) — Preencher Registro Oficial MAPA nº "&amp;T64,IF(TEXT(F64,"0")=TEXT(T64,"0"),"CONFORME — Registro MAPA nº "&amp;T64&amp;" Validado na Bula","INCORRETO / TROCADO — Substituir "&amp;F64&amp;" pelo Registro Oficial nº "&amp;T64))))))</f>
        <v/>
      </c>
      <c r="V64" s="20" t="str">
        <f aca="false">IF(B64="","",IF(IF(ISNUMBER(MATCH(A64,'4.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Produtos)'!$S$4:$S$848,IF(ISNUMBER(MATCH(A64,'4. Base Mestre (845 Produtos)'!$A$4:$A$848,0)),MATCH(A64,'4. Base Mestre (845 Produtos)'!$A$4:$A$848,0),IF(ISNUMBER(MATCH(B64,'4. Base Mestre (845 Produtos)'!$B$4:$B$848,0)),MATCH(B64,'4. Base Mestre (845 Produtos)'!$B$4:$B$848,0),0))),IF(ISNUMBER(MATCH(D64,'3. Dicionario Principios Ativos'!$A$4:$A$245,0)),INDEX('3. Dicionario Principios Ativos'!$L$4:$L$245,MATCH(D64,'3. Dicionario Principios Ativos'!$A$4:$A$245,0)),"Verificar NCM")))</f>
        <v/>
      </c>
      <c r="W64" s="20" t="str">
        <f aca="false">IF(B64="","",IF(IF(ISNUMBER(MATCH(A64,'4. Base Mestre (845 Produtos)'!$A$4:$A$848,0)),MATCH(A64,'4. Base Mestre (845 Produtos)'!$A$4:$A$848,0),IF(ISNUMBER(MATCH(B64,'4. Base Mestre (845 Produtos)'!$B$4:$B$848,0)),MATCH(B64,'4. Base Mestre (845 Produtos)'!$B$4:$B$848,0),0))&gt;0,INDEX('4. Base Mestre (845 Produtos)'!$T$4:$T$848,IF(ISNUMBER(MATCH(A64,'4. Base Mestre (845 Produtos)'!$A$4:$A$848,0)),MATCH(A64,'4. Base Mestre (845 Produtos)'!$A$4:$A$848,0),IF(ISNUMBER(MATCH(B64,'4. Base Mestre (845 Produtos)'!$B$4:$B$848,0)),MATCH(B64,'4. Base Mestre (845 Produtos)'!$B$4:$B$848,0),0))),IF(ISNUMBER(MATCH(D64,'3. Dicionario Principios Ativos'!$A$4:$A$245,0)),INDEX('3. Dicionario Principios Ativos'!$M$4:$M$245,MATCH(D64,'3. Dicionario Principios Ativos'!$A$4:$A$245,0)),"Verificar CST")))</f>
        <v/>
      </c>
      <c r="X64" s="20" t="str">
        <f aca="false">IF(B64="","",IF(AND(LEFT(M64,8)="CONFORME",LEFT(P64,8)="CONFORME",LEFT(R64,8)="CONFORME",LEFT(S64,8)="CONFORME",LEFT(U64,8)="CONFORME"),"CADASTRO 100% CONFORME — LIBERADO P/ ERP",IF(AND(LEFT(M64,8)="CONFORME",LEFT(P64,8)="CONFORME",LEFT(R64,8)="CONFORME",LEFT(S64,8)="CONFORME",OR(LEFT(U64,7)="ADEQUAR",LEFT(U64,8)="VINCULAR")),"FISCAL E EMBALAGEM OK — ADEQUAR CAMPO MAPA (SIPEAGRO / MARCA)","BLOQUEADO — CORRIGIR DIVERGÊNCIAS APONTADAS ANTES DE LIBERAR NO ERP")))</f>
        <v/>
      </c>
    </row>
    <row r="65" customFormat="false" ht="19.5" hidden="false" customHeight="true" outlineLevel="0" collapsed="false">
      <c r="A65" s="12"/>
      <c r="B65" s="13"/>
      <c r="C65" s="12"/>
      <c r="D65" s="13"/>
      <c r="E65" s="12"/>
      <c r="F65" s="12"/>
      <c r="G65" s="14"/>
      <c r="H65" s="13" t="s">
        <v>166</v>
      </c>
      <c r="I65" s="15" t="str">
        <f aca="false">IF(B65="","",IF(ISNUMBER(MATCH(A65,'4. Base Mestre (845 Produtos)'!$A$4:$A$848,0)),"Localizado por Código ("&amp;A65&amp;") na Base Mestre",IF(ISNUMBER(MATCH(B65,'4. Base Mestre (845 Produtos)'!$B$4:$B$848,0)),"Localizado por Descrição na Base Mestre",IF(ISNUMBER(MATCH(D65,'3. Dicionario Principios Ativos'!$A$4:$A$245,0)),"Produto Novo — Validado pelo Dicionário de P.A.","Não Localizado — Revisar Código/P.A."))))</f>
        <v/>
      </c>
      <c r="J65" s="15" t="str">
        <f aca="false">IF(B65="","",IF(IF(ISNUMBER(MATCH(A65,'4.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Produtos)'!$I$4:$I$848,IF(ISNUMBER(MATCH(A65,'4. Base Mestre (845 Produtos)'!$A$4:$A$848,0)),MATCH(A65,'4. Base Mestre (845 Produtos)'!$A$4:$A$848,0),IF(ISNUMBER(MATCH(B65,'4. Base Mestre (845 Produtos)'!$B$4:$B$848,0)),MATCH(B65,'4. Base Mestre (845 Produtos)'!$B$4:$B$848,0),0))),IF(ISNUMBER(MATCH(D65,'3. Dicionario Principios Ativos'!$A$4:$A$245,0)),INDEX('3. Dicionario Principios Ativos'!$B$4:$B$245,MATCH(D65,'3. Dicionario Principios Ativos'!$A$4:$A$245,0)),"Revisar Classificação")))</f>
        <v/>
      </c>
      <c r="K65" s="16" t="str">
        <f aca="false">IF(B65="","",IF(G65&lt;&gt;"",G65,IF(OR(ISNUMBER(SEARCH("PRINCIPIO ATIVO",B65)),ISNUMBER(SEARCH("PRINC. ATIVO",B65)),ISNUMBER(SEARCH("PR. ATIVO",B65)),ISNUMBER(SEARCH("PR.AT.",B65)),ISNUMBER(SEARCH("(P.A",B65)),ISNUMBER(SEARCH("(P. A",B65))),0,IF(OR(ISNUMBER(SEARCH("0,100KG",B65)),ISNUMBER(SEARCH("0,1KG",B65)),ISNUMBER(SEARCH("0,100L",B65))),0.1,IF(OR(ISNUMBER(SEARCH("0,200L",B65)),ISNUMBER(SEARCH("0,2L",B65)),ISNUMBER(SEARCH("0,200KG",B65)),ISNUMBER(SEARCH("0,2KG",B65))),0.2,IF(OR(ISNUMBER(SEARCH("0,240KG",B65)),ISNUMBER(SEARCH("0,250L",B65))),0.24,IF(OR(ISNUMBER(SEARCH("0,300KG",B65)),ISNUMBER(SEARCH("0,3KG",B65))),0.3,IF(OR(ISNUMBER(SEARCH("0,500L",B65)),ISNUMBER(SEARCH("0,5L",B65)),ISNUMBER(SEARCH("0,5KG",B65))),0.5,IF(ISNUMBER(SEARCH("0,8KG",B65)),0.8,IF(OR(ISNUMBER(SEARCH("1,5L",B65)),ISNUMBER(SEARCH("1,5KG",B65))),1.5,IF(OR(ISNUMBER(SEARCH("1,75L",B65)),ISNUMBER(SEARCH("1,8L",B65)),ISNUMBER(SEARCH("1.8L",B65))),1.8,IF(ISNUMBER(SEARCH("4,5KG",B65)),4.5,IF(ISNUMBER(SEARCH("7,5KG",B65)),7.5,IF(OR(ISNUMBER(SEARCH("1000L",B65)),ISNUMBER(SEARCH("1000KG",B65)),ISNUMBER(SEARCH("1.000KG",B65)),ISNUMBER(SEARCH("1.000L",B65)),ISNUMBER(SEARCH("1000 KG",B65)),ISNUMBER(SEARCH("GRANEL",B65)),ISNUMBER(SEARCH("(TON)",B65))),1000,IF(ISNUMBER(SEARCH("200L",B65)),200,IF(OR(ISNUMBER(SEARCH("25KG",B65)),ISNUMBER(SEARCH("25L",B65))),25,IF(OR(ISNUMBER(SEARCH("20L",B65)),ISNUMBER(SEARCH("20KG",B65))),20,IF(ISNUMBER(SEARCH("15KG",B65)),15,IF(OR(ISNUMBER(SEARCH("10L",B65)),ISNUMBER(SEARCH("10KG",B65))),10,IF(OR(ISNUMBER(SEARCH("5L",B65)),ISNUMBER(SEARCH("5KG",B65)),ISNUMBER(SEARCH("5LT",B65))),5,IF(OR(ISNUMBER(SEARCH("3KG",B65)),ISNUMBER(SEARCH("3L",B65))),3,IF(OR(ISNUMBER(SEARCH("2L",B65)),ISNUMBER(SEARCH("2KG",B65))),2,IF(OR(ISNUMBER(SEARCH("1L",B65)),ISNUMBER(SEARCH("1KG",B65)),ISNUMBER(SEARCH("1LT",B65))),1,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Produtos)'!$D$4:$D$848,IF(ISNUMBER(MATCH(A65,'4. Base Mestre (845 Produtos)'!$A$4:$A$848,0)),MATCH(A65,'4. Base Mestre (845 Produtos)'!$A$4:$A$848,0),IF(ISNUMBER(MATCH(B65,'4. Base Mestre (845 Produtos)'!$B$4:$B$848,0)),MATCH(B65,'4. Base Mestre (845 Produtos)'!$B$4:$B$848,0),0))),1))))))))))))))))))))))))</f>
        <v/>
      </c>
      <c r="L65" s="17" t="str">
        <f aca="false">IF(B65="","",IF(OR(ISNUMBER(SEARCH("KG",B65)),ISNUMBER(SEARCH("GR",B65))),"KG",IF(OR(ISNUMBER(SEARCH("0,200L",B65)),ISNUMBER(SEARCH("0,2L",B65)),ISNUMBER(SEARCH("0,5L",B65)),ISNUMBER(SEARCH("1,5L",B65)),ISNUMBER(SEARCH("1,8L",B65)),ISNUMBER(SEARCH("1.8L",B65)),ISNUMBER(SEARCH("1L",B65)),ISNUMBER(SEARCH("2L",B65)),ISNUMBER(SEARCH("3L",B65)),ISNUMBER(SEARCH("5L",B65)),ISNUMBER(SEARCH("10L",B65)),ISNUMBER(SEARCH("20L",B65)),ISNUMBER(SEARCH("25L",B65)),ISNUMBER(SEARCH("200L",B65)),ISNUMBER(SEARCH("1000L",B65)),ISNUMBER(SEARCH("LT",B65))),"L",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Produtos)'!$E$4:$E$848,IF(ISNUMBER(MATCH(A65,'4. Base Mestre (845 Produtos)'!$A$4:$A$848,0)),MATCH(A65,'4. Base Mestre (845 Produtos)'!$A$4:$A$848,0),IF(ISNUMBER(MATCH(B65,'4. Base Mestre (845 Produtos)'!$B$4:$B$848,0)),MATCH(B65,'4. Base Mestre (845 Produtos)'!$B$4:$B$848,0),0))),C65))))</f>
        <v/>
      </c>
      <c r="M65" s="15" t="str">
        <f aca="false">IF(B65="","",IF(C65=L65,"CONFORME — Unidade ("&amp;C65&amp;") compatível c/ Embalagem","DIVERGENTE — Embalagem em "&amp;L65&amp;", mas cadastrado em "&amp;C65))</f>
        <v/>
      </c>
      <c r="N65" s="15" t="str">
        <f aca="false">IF(B65="","",IF(K65=0,"Granel / Produto Técnico (Sem Embalagem Comercial)",IF(K65&lt;=0.3001,"Faixa 1 TIPI: Até 300g/mL (3808.61.00 / 3105.10.00)",IF(K65&lt;=7.5001,"Faixa 2 TIPI: De 300g a 7,5kg/L (3808.62.90 / 3105.10.00)",IF(K65&lt;=10.0001,"Faixa 3 TIPI: De 7,5kg a 10kg/L (3808.69.90 / 3105.10.00)","Faixa 4 TIPI: Acima de 10kg/L (3808.69.90 / Cap. 31 Geral)")))))</f>
        <v/>
      </c>
      <c r="O65" s="15" t="str">
        <f aca="false">IF(B65="","",IF(IF(ISNUMBER(MATCH(A65,'4.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Produtos)'!$H$4:$H$848,IF(ISNUMBER(MATCH(A65,'4. Base Mestre (845 Produtos)'!$A$4:$A$848,0)),MATCH(A65,'4. Base Mestre (845 Produtos)'!$A$4:$A$848,0),IF(ISNUMBER(MATCH(B65,'4. Base Mestre (845 Produtos)'!$B$4:$B$848,0)),MATCH(B65,'4. Base Mestre (845 Produtos)'!$B$4:$B$848,0),0))),IF(ISNUMBER(MATCH(D65,'3. Dicionario Principios Ativos'!$A$4:$A$245,0)),INDEX('3. Dicionario Principios Ativos'!$A$4:$A$245,MATCH(D65,'3. Dicionario Principios Ativos'!$A$4:$A$245,0)),D65)))</f>
        <v/>
      </c>
      <c r="P65" s="15" t="str">
        <f aca="false">IF(B65="","",IF(D65=O65,"CONFORME — Princípio Ativo Validado","DIVERGENTE — Substituir por: "&amp;O65))</f>
        <v/>
      </c>
      <c r="Q65" s="17" t="str">
        <f aca="false">IF(B65="","",IF(IF(IF(ISNUMBER(MATCH(A65,'4.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Produtos)'!$J$4:$J$848,IF(ISNUMBER(MATCH(A65,'4. Base Mestre (845 Produtos)'!$A$4:$A$848,0)),MATCH(A65,'4. Base Mestre (845 Produtos)'!$A$4:$A$848,0),IF(ISNUMBER(MATCH(B65,'4. Base Mestre (845 Produtos)'!$B$4:$B$848,0)),MATCH(B65,'4. Base Mestre (845 Produtos)'!$B$4:$B$848,0),0)))="SIM",IF(ISNUMBER(MATCH(D65,'3. Dicionario Principios Ativos'!$A$4:$A$245,0)),INDEX('3. Dicionario Principios Ativos'!$C$4:$C$245,MATCH(D65,'3. Dicionario Principios Ativos'!$A$4:$A$245,0))="SIM",FALSE())),IF(AND(K65&gt;0,K65&lt;=0.3001),"3808.61.00",IF(AND(K65&gt;0.3001,K65&lt;=7.5001),"3808.62.90","3808.69.90")),IF(AND(LEFT(IF(IF(ISNUMBER(MATCH(A65,'4.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Produtos)'!$L$4:$L$848,IF(ISNUMBER(MATCH(A65,'4. Base Mestre (845 Produtos)'!$A$4:$A$848,0)),MATCH(A65,'4. Base Mestre (845 Produtos)'!$A$4:$A$848,0),IF(ISNUMBER(MATCH(B65,'4. Base Mestre (845 Produtos)'!$B$4:$B$848,0)),MATCH(B65,'4. Base Mestre (845 Produtos)'!$B$4:$B$848,0),0))),IF(ISNUMBER(MATCH(D65,'3. Dicionario Principios Ativos'!$A$4:$A$245,0)),INDEX('3. Dicionario Principios Ativos'!$D$4:$D$245,MATCH(D65,'3. Dicionario Principios Ativos'!$A$4:$A$245,0)),E65)),2)="31",E65="3105.10.00",K65&gt;0,K65&lt;=10.0001),"3105.10.00",IF(AND(IF(IF(ISNUMBER(MATCH(A65,'4.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Produtos)'!$L$4:$L$848,IF(ISNUMBER(MATCH(A65,'4. Base Mestre (845 Produtos)'!$A$4:$A$848,0)),MATCH(A65,'4. Base Mestre (845 Produtos)'!$A$4:$A$848,0),IF(ISNUMBER(MATCH(B65,'4. Base Mestre (845 Produtos)'!$B$4:$B$848,0)),MATCH(B65,'4. Base Mestre (845 Produtos)'!$B$4:$B$848,0),0))),IF(ISNUMBER(MATCH(D65,'3. Dicionario Principios Ativos'!$A$4:$A$245,0)),INDEX('3. Dicionario Principios Ativos'!$D$4:$D$245,MATCH(D65,'3. Dicionario Principios Ativos'!$A$4:$A$245,0)),E65))="3105.10.00",K65&gt;10.0001),"3105.90.90",IF(IF(ISNUMBER(MATCH(A65,'4.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Produtos)'!$L$4:$L$848,IF(ISNUMBER(MATCH(A65,'4. Base Mestre (845 Produtos)'!$A$4:$A$848,0)),MATCH(A65,'4. Base Mestre (845 Produtos)'!$A$4:$A$848,0),IF(ISNUMBER(MATCH(B65,'4. Base Mestre (845 Produtos)'!$B$4:$B$848,0)),MATCH(B65,'4. Base Mestre (845 Produtos)'!$B$4:$B$848,0),0))),IF(ISNUMBER(MATCH(D65,'3. Dicionario Principios Ativos'!$A$4:$A$245,0)),INDEX('3. Dicionario Principios Ativos'!$D$4:$D$245,MATCH(D65,'3. Dicionario Principios Ativos'!$A$4:$A$245,0)),E65))))))</f>
        <v/>
      </c>
      <c r="R65" s="15" t="str">
        <f aca="false">IF(B65="","",IF(OR(E65=Q65,AND(Q65="3002.49.99",E65="3002.90.00")),"CONFORME — NCM "&amp;E65&amp;" Correta na TIPI","DIVERGENTE — Substituir "&amp;E65&amp;" por "&amp;Q65))</f>
        <v/>
      </c>
      <c r="S65" s="15" t="str">
        <f aca="false">IF(B65="","",IF(AND(E65="3808.61.00",OR(K65&gt;0.3001,K65=0)),"INCOMPATÍVEL — NCM 3808.61.00 exige emb. &lt;= 0,3kg/L (Emb. atual: "&amp;K65&amp;" "&amp;L65&amp;" -&gt; usar "&amp;Q65&amp;")",IF(AND(LEFT(E65,7)="3808.62",OR(K65&lt;=0.3001,K65&gt;7.5001)),"INCOMPATÍVEL — NCM 3808.62 exige emb. de 0,3 a 7,5kg/L (Emb. atual: "&amp;K65&amp;" "&amp;L65&amp;" -&gt; usar "&amp;Q65&amp;")",IF(AND(LEFT(E65,7)="3808.69",K65&gt;0,K65&lt;=7.5001),"INCOMPATÍVEL — NCM 3808.69 exige emb. &gt; 7,5kg/L (Emb. atual: "&amp;K65&amp;" "&amp;L65&amp;" -&gt; usar "&amp;Q65&amp;")",IF(AND(LEFT(Q65,6)="3808.6",LEFT(E65,6)&lt;&gt;"3808.6"),"INCOMPATÍVEL — Molécula Nota Subpos. 2 c/ emb. "&amp;K65&amp;" "&amp;L65&amp;" exige NCM "&amp;Q65,IF(AND(OR(E65="3808.91.19",E65="3808.92.19",E65="3808.93.19",E65="3808.99.19"),K65&gt;=1),"INCOMPATÍVEL — Subitem .19 (Domissanitário) vedado p/ emb. agrícola de "&amp;K65&amp;" "&amp;L65,IF(AND(E65="3105.10.00",K65&gt;10.0001),"INCOMPATÍVEL — NCM 3105.10.00 exige peso bruto &lt;= 10kg (Emb. atual: "&amp;K65&amp;" "&amp;L65&amp;" -&gt; usar 3105.90.90)",IF(AND(LEFT(E65,2)="29",LEFT(Q65,4)="3808",K65&gt;0),"INCOMPATÍVEL — Produto formulado em emb. comercial ("&amp;K65&amp;" "&amp;L65&amp;") vedado no Cap. 29 -&gt; usar "&amp;Q65,"CONFORME — Embalagem ("&amp;K65&amp;" "&amp;L65&amp;") compatível c/ a NCM"))))))))</f>
        <v/>
      </c>
      <c r="T65" s="17" t="str">
        <f aca="false">IF(B65="","",IF(IF(ISNUMBER(MATCH(A65,'4.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Produtos)'!$P$4:$P$848,IF(ISNUMBER(MATCH(A65,'4. Base Mestre (845 Produtos)'!$A$4:$A$848,0)),MATCH(A65,'4. Base Mestre (845 Produtos)'!$A$4:$A$848,0),IF(ISNUMBER(MATCH(B65,'4. Base Mestre (845 Produtos)'!$B$4:$B$848,0)),MATCH(B65,'4. Base Mestre (845 Produtos)'!$B$4:$B$848,0),0))),IF(ISNUMBER(MATCH(D65,'3. Dicionario Principios Ativos'!$A$4:$A$245,0)),INDEX('3. Dicionario Principios Ativos'!$K$4:$K$245,MATCH(D65,'3. Dicionario Principios Ativos'!$A$4:$A$245,0)),"VERIFICAR BULA")))</f>
        <v/>
      </c>
      <c r="U65" s="15" t="str">
        <f aca="false">IF(B65="","",IF(ISNUMBER(SEARCH("ISENTO",T65)),IF(OR(F65=0,F65="0",F65="ISENTO",F65=""),"CONFORME (DISPENSADO) — Isento pelo Ato SDA/MAPA nº 104/2017","INCORRETO — Produto isento de registro MAPA (usar 0 ou ISENTO)"),IF(ISNUMBER(SEARCH("SIPEAGRO",T65)),IF(ISNUMBER(SEARCH("-",F65)),"CONFORME — Registro SIPEAGRO ("&amp;F65&amp;") Preenchido","ADEQUAR P/ SIPEAGRO — Substituir 0 pelo Registro (UF-XXXXX-XXXXX.X)"),IF(ISNUMBER(SEARCH("VINCULAR",T65)),IF(AND(F65&lt;&gt;0,F65&lt;&gt;"0",F65&lt;&gt;""),"INCORRETO / TROCADO — Código "&amp;F65&amp;" pertence a outro produto (Vincular bula da marca)","VINCULAR MARCA — Cadastro de P.A. s/ marca fixa (Vincular registro na NF-e)"),IF(OR(F65=0,F65="0",F65=""),"AUSENTE (ZERO) — Preencher Registro Oficial MAPA nº "&amp;T65,IF(TEXT(F65,"0")=TEXT(T65,"0"),"CONFORME — Registro MAPA nº "&amp;T65&amp;" Validado na Bula","INCORRETO / TROCADO — Substituir "&amp;F65&amp;" pelo Registro Oficial nº "&amp;T65))))))</f>
        <v/>
      </c>
      <c r="V65" s="15" t="str">
        <f aca="false">IF(B65="","",IF(IF(ISNUMBER(MATCH(A65,'4.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Produtos)'!$S$4:$S$848,IF(ISNUMBER(MATCH(A65,'4. Base Mestre (845 Produtos)'!$A$4:$A$848,0)),MATCH(A65,'4. Base Mestre (845 Produtos)'!$A$4:$A$848,0),IF(ISNUMBER(MATCH(B65,'4. Base Mestre (845 Produtos)'!$B$4:$B$848,0)),MATCH(B65,'4. Base Mestre (845 Produtos)'!$B$4:$B$848,0),0))),IF(ISNUMBER(MATCH(D65,'3. Dicionario Principios Ativos'!$A$4:$A$245,0)),INDEX('3. Dicionario Principios Ativos'!$L$4:$L$245,MATCH(D65,'3. Dicionario Principios Ativos'!$A$4:$A$245,0)),"Verificar NCM")))</f>
        <v/>
      </c>
      <c r="W65" s="15" t="str">
        <f aca="false">IF(B65="","",IF(IF(ISNUMBER(MATCH(A65,'4. Base Mestre (845 Produtos)'!$A$4:$A$848,0)),MATCH(A65,'4. Base Mestre (845 Produtos)'!$A$4:$A$848,0),IF(ISNUMBER(MATCH(B65,'4. Base Mestre (845 Produtos)'!$B$4:$B$848,0)),MATCH(B65,'4. Base Mestre (845 Produtos)'!$B$4:$B$848,0),0))&gt;0,INDEX('4. Base Mestre (845 Produtos)'!$T$4:$T$848,IF(ISNUMBER(MATCH(A65,'4. Base Mestre (845 Produtos)'!$A$4:$A$848,0)),MATCH(A65,'4. Base Mestre (845 Produtos)'!$A$4:$A$848,0),IF(ISNUMBER(MATCH(B65,'4. Base Mestre (845 Produtos)'!$B$4:$B$848,0)),MATCH(B65,'4. Base Mestre (845 Produtos)'!$B$4:$B$848,0),0))),IF(ISNUMBER(MATCH(D65,'3. Dicionario Principios Ativos'!$A$4:$A$245,0)),INDEX('3. Dicionario Principios Ativos'!$M$4:$M$245,MATCH(D65,'3. Dicionario Principios Ativos'!$A$4:$A$245,0)),"Verificar CST")))</f>
        <v/>
      </c>
      <c r="X65" s="15" t="str">
        <f aca="false">IF(B65="","",IF(AND(LEFT(M65,8)="CONFORME",LEFT(P65,8)="CONFORME",LEFT(R65,8)="CONFORME",LEFT(S65,8)="CONFORME",LEFT(U65,8)="CONFORME"),"CADASTRO 100% CONFORME — LIBERADO P/ ERP",IF(AND(LEFT(M65,8)="CONFORME",LEFT(P65,8)="CONFORME",LEFT(R65,8)="CONFORME",LEFT(S65,8)="CONFORME",OR(LEFT(U65,7)="ADEQUAR",LEFT(U65,8)="VINCULAR")),"FISCAL E EMBALAGEM OK — ADEQUAR CAMPO MAPA (SIPEAGRO / MARCA)","BLOQUEADO — CORRIGIR DIVERGÊNCIAS APONTADAS ANTES DE LIBERAR NO ERP")))</f>
        <v/>
      </c>
    </row>
    <row r="66" customFormat="false" ht="19.5" hidden="false" customHeight="true" outlineLevel="0" collapsed="false">
      <c r="A66" s="12"/>
      <c r="B66" s="13"/>
      <c r="C66" s="12"/>
      <c r="D66" s="13"/>
      <c r="E66" s="12"/>
      <c r="F66" s="12"/>
      <c r="G66" s="14"/>
      <c r="H66" s="13" t="s">
        <v>166</v>
      </c>
      <c r="I66" s="20" t="str">
        <f aca="false">IF(B66="","",IF(ISNUMBER(MATCH(A66,'4. Base Mestre (845 Produtos)'!$A$4:$A$848,0)),"Localizado por Código ("&amp;A66&amp;") na Base Mestre",IF(ISNUMBER(MATCH(B66,'4. Base Mestre (845 Produtos)'!$B$4:$B$848,0)),"Localizado por Descrição na Base Mestre",IF(ISNUMBER(MATCH(D66,'3. Dicionario Principios Ativos'!$A$4:$A$245,0)),"Produto Novo — Validado pelo Dicionário de P.A.","Não Localizado — Revisar Código/P.A."))))</f>
        <v/>
      </c>
      <c r="J66" s="20" t="str">
        <f aca="false">IF(B66="","",IF(IF(ISNUMBER(MATCH(A66,'4.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Produtos)'!$I$4:$I$848,IF(ISNUMBER(MATCH(A66,'4. Base Mestre (845 Produtos)'!$A$4:$A$848,0)),MATCH(A66,'4. Base Mestre (845 Produtos)'!$A$4:$A$848,0),IF(ISNUMBER(MATCH(B66,'4. Base Mestre (845 Produtos)'!$B$4:$B$848,0)),MATCH(B66,'4. Base Mestre (845 Produtos)'!$B$4:$B$848,0),0))),IF(ISNUMBER(MATCH(D66,'3. Dicionario Principios Ativos'!$A$4:$A$245,0)),INDEX('3. Dicionario Principios Ativos'!$B$4:$B$245,MATCH(D66,'3. Dicionario Principios Ativos'!$A$4:$A$245,0)),"Revisar Classificação")))</f>
        <v/>
      </c>
      <c r="K66" s="21" t="str">
        <f aca="false">IF(B66="","",IF(G66&lt;&gt;"",G66,IF(OR(ISNUMBER(SEARCH("PRINCIPIO ATIVO",B66)),ISNUMBER(SEARCH("PRINC. ATIVO",B66)),ISNUMBER(SEARCH("PR. ATIVO",B66)),ISNUMBER(SEARCH("PR.AT.",B66)),ISNUMBER(SEARCH("(P.A",B66)),ISNUMBER(SEARCH("(P. A",B66))),0,IF(OR(ISNUMBER(SEARCH("0,100KG",B66)),ISNUMBER(SEARCH("0,1KG",B66)),ISNUMBER(SEARCH("0,100L",B66))),0.1,IF(OR(ISNUMBER(SEARCH("0,200L",B66)),ISNUMBER(SEARCH("0,2L",B66)),ISNUMBER(SEARCH("0,200KG",B66)),ISNUMBER(SEARCH("0,2KG",B66))),0.2,IF(OR(ISNUMBER(SEARCH("0,240KG",B66)),ISNUMBER(SEARCH("0,250L",B66))),0.24,IF(OR(ISNUMBER(SEARCH("0,300KG",B66)),ISNUMBER(SEARCH("0,3KG",B66))),0.3,IF(OR(ISNUMBER(SEARCH("0,500L",B66)),ISNUMBER(SEARCH("0,5L",B66)),ISNUMBER(SEARCH("0,5KG",B66))),0.5,IF(ISNUMBER(SEARCH("0,8KG",B66)),0.8,IF(OR(ISNUMBER(SEARCH("1,5L",B66)),ISNUMBER(SEARCH("1,5KG",B66))),1.5,IF(OR(ISNUMBER(SEARCH("1,75L",B66)),ISNUMBER(SEARCH("1,8L",B66)),ISNUMBER(SEARCH("1.8L",B66))),1.8,IF(ISNUMBER(SEARCH("4,5KG",B66)),4.5,IF(ISNUMBER(SEARCH("7,5KG",B66)),7.5,IF(OR(ISNUMBER(SEARCH("1000L",B66)),ISNUMBER(SEARCH("1000KG",B66)),ISNUMBER(SEARCH("1.000KG",B66)),ISNUMBER(SEARCH("1.000L",B66)),ISNUMBER(SEARCH("1000 KG",B66)),ISNUMBER(SEARCH("GRANEL",B66)),ISNUMBER(SEARCH("(TON)",B66))),1000,IF(ISNUMBER(SEARCH("200L",B66)),200,IF(OR(ISNUMBER(SEARCH("25KG",B66)),ISNUMBER(SEARCH("25L",B66))),25,IF(OR(ISNUMBER(SEARCH("20L",B66)),ISNUMBER(SEARCH("20KG",B66))),20,IF(ISNUMBER(SEARCH("15KG",B66)),15,IF(OR(ISNUMBER(SEARCH("10L",B66)),ISNUMBER(SEARCH("10KG",B66))),10,IF(OR(ISNUMBER(SEARCH("5L",B66)),ISNUMBER(SEARCH("5KG",B66)),ISNUMBER(SEARCH("5LT",B66))),5,IF(OR(ISNUMBER(SEARCH("3KG",B66)),ISNUMBER(SEARCH("3L",B66))),3,IF(OR(ISNUMBER(SEARCH("2L",B66)),ISNUMBER(SEARCH("2KG",B66))),2,IF(OR(ISNUMBER(SEARCH("1L",B66)),ISNUMBER(SEARCH("1KG",B66)),ISNUMBER(SEARCH("1LT",B66))),1,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Produtos)'!$D$4:$D$848,IF(ISNUMBER(MATCH(A66,'4. Base Mestre (845 Produtos)'!$A$4:$A$848,0)),MATCH(A66,'4. Base Mestre (845 Produtos)'!$A$4:$A$848,0),IF(ISNUMBER(MATCH(B66,'4. Base Mestre (845 Produtos)'!$B$4:$B$848,0)),MATCH(B66,'4. Base Mestre (845 Produtos)'!$B$4:$B$848,0),0))),1))))))))))))))))))))))))</f>
        <v/>
      </c>
      <c r="L66" s="22" t="str">
        <f aca="false">IF(B66="","",IF(OR(ISNUMBER(SEARCH("KG",B66)),ISNUMBER(SEARCH("GR",B66))),"KG",IF(OR(ISNUMBER(SEARCH("0,200L",B66)),ISNUMBER(SEARCH("0,2L",B66)),ISNUMBER(SEARCH("0,5L",B66)),ISNUMBER(SEARCH("1,5L",B66)),ISNUMBER(SEARCH("1,8L",B66)),ISNUMBER(SEARCH("1.8L",B66)),ISNUMBER(SEARCH("1L",B66)),ISNUMBER(SEARCH("2L",B66)),ISNUMBER(SEARCH("3L",B66)),ISNUMBER(SEARCH("5L",B66)),ISNUMBER(SEARCH("10L",B66)),ISNUMBER(SEARCH("20L",B66)),ISNUMBER(SEARCH("25L",B66)),ISNUMBER(SEARCH("200L",B66)),ISNUMBER(SEARCH("1000L",B66)),ISNUMBER(SEARCH("LT",B66))),"L",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Produtos)'!$E$4:$E$848,IF(ISNUMBER(MATCH(A66,'4. Base Mestre (845 Produtos)'!$A$4:$A$848,0)),MATCH(A66,'4. Base Mestre (845 Produtos)'!$A$4:$A$848,0),IF(ISNUMBER(MATCH(B66,'4. Base Mestre (845 Produtos)'!$B$4:$B$848,0)),MATCH(B66,'4. Base Mestre (845 Produtos)'!$B$4:$B$848,0),0))),C66))))</f>
        <v/>
      </c>
      <c r="M66" s="20" t="str">
        <f aca="false">IF(B66="","",IF(C66=L66,"CONFORME — Unidade ("&amp;C66&amp;") compatível c/ Embalagem","DIVERGENTE — Embalagem em "&amp;L66&amp;", mas cadastrado em "&amp;C66))</f>
        <v/>
      </c>
      <c r="N66" s="20" t="str">
        <f aca="false">IF(B66="","",IF(K66=0,"Granel / Produto Técnico (Sem Embalagem Comercial)",IF(K66&lt;=0.3001,"Faixa 1 TIPI: Até 300g/mL (3808.61.00 / 3105.10.00)",IF(K66&lt;=7.5001,"Faixa 2 TIPI: De 300g a 7,5kg/L (3808.62.90 / 3105.10.00)",IF(K66&lt;=10.0001,"Faixa 3 TIPI: De 7,5kg a 10kg/L (3808.69.90 / 3105.10.00)","Faixa 4 TIPI: Acima de 10kg/L (3808.69.90 / Cap. 31 Geral)")))))</f>
        <v/>
      </c>
      <c r="O66" s="20" t="str">
        <f aca="false">IF(B66="","",IF(IF(ISNUMBER(MATCH(A66,'4.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Produtos)'!$H$4:$H$848,IF(ISNUMBER(MATCH(A66,'4. Base Mestre (845 Produtos)'!$A$4:$A$848,0)),MATCH(A66,'4. Base Mestre (845 Produtos)'!$A$4:$A$848,0),IF(ISNUMBER(MATCH(B66,'4. Base Mestre (845 Produtos)'!$B$4:$B$848,0)),MATCH(B66,'4. Base Mestre (845 Produtos)'!$B$4:$B$848,0),0))),IF(ISNUMBER(MATCH(D66,'3. Dicionario Principios Ativos'!$A$4:$A$245,0)),INDEX('3. Dicionario Principios Ativos'!$A$4:$A$245,MATCH(D66,'3. Dicionario Principios Ativos'!$A$4:$A$245,0)),D66)))</f>
        <v/>
      </c>
      <c r="P66" s="20" t="str">
        <f aca="false">IF(B66="","",IF(D66=O66,"CONFORME — Princípio Ativo Validado","DIVERGENTE — Substituir por: "&amp;O66))</f>
        <v/>
      </c>
      <c r="Q66" s="22" t="str">
        <f aca="false">IF(B66="","",IF(IF(IF(ISNUMBER(MATCH(A66,'4.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Produtos)'!$J$4:$J$848,IF(ISNUMBER(MATCH(A66,'4. Base Mestre (845 Produtos)'!$A$4:$A$848,0)),MATCH(A66,'4. Base Mestre (845 Produtos)'!$A$4:$A$848,0),IF(ISNUMBER(MATCH(B66,'4. Base Mestre (845 Produtos)'!$B$4:$B$848,0)),MATCH(B66,'4. Base Mestre (845 Produtos)'!$B$4:$B$848,0),0)))="SIM",IF(ISNUMBER(MATCH(D66,'3. Dicionario Principios Ativos'!$A$4:$A$245,0)),INDEX('3. Dicionario Principios Ativos'!$C$4:$C$245,MATCH(D66,'3. Dicionario Principios Ativos'!$A$4:$A$245,0))="SIM",FALSE())),IF(AND(K66&gt;0,K66&lt;=0.3001),"3808.61.00",IF(AND(K66&gt;0.3001,K66&lt;=7.5001),"3808.62.90","3808.69.90")),IF(AND(LEFT(IF(IF(ISNUMBER(MATCH(A66,'4.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Produtos)'!$L$4:$L$848,IF(ISNUMBER(MATCH(A66,'4. Base Mestre (845 Produtos)'!$A$4:$A$848,0)),MATCH(A66,'4. Base Mestre (845 Produtos)'!$A$4:$A$848,0),IF(ISNUMBER(MATCH(B66,'4. Base Mestre (845 Produtos)'!$B$4:$B$848,0)),MATCH(B66,'4. Base Mestre (845 Produtos)'!$B$4:$B$848,0),0))),IF(ISNUMBER(MATCH(D66,'3. Dicionario Principios Ativos'!$A$4:$A$245,0)),INDEX('3. Dicionario Principios Ativos'!$D$4:$D$245,MATCH(D66,'3. Dicionario Principios Ativos'!$A$4:$A$245,0)),E66)),2)="31",E66="3105.10.00",K66&gt;0,K66&lt;=10.0001),"3105.10.00",IF(AND(IF(IF(ISNUMBER(MATCH(A66,'4.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Produtos)'!$L$4:$L$848,IF(ISNUMBER(MATCH(A66,'4. Base Mestre (845 Produtos)'!$A$4:$A$848,0)),MATCH(A66,'4. Base Mestre (845 Produtos)'!$A$4:$A$848,0),IF(ISNUMBER(MATCH(B66,'4. Base Mestre (845 Produtos)'!$B$4:$B$848,0)),MATCH(B66,'4. Base Mestre (845 Produtos)'!$B$4:$B$848,0),0))),IF(ISNUMBER(MATCH(D66,'3. Dicionario Principios Ativos'!$A$4:$A$245,0)),INDEX('3. Dicionario Principios Ativos'!$D$4:$D$245,MATCH(D66,'3. Dicionario Principios Ativos'!$A$4:$A$245,0)),E66))="3105.10.00",K66&gt;10.0001),"3105.90.90",IF(IF(ISNUMBER(MATCH(A66,'4.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Produtos)'!$L$4:$L$848,IF(ISNUMBER(MATCH(A66,'4. Base Mestre (845 Produtos)'!$A$4:$A$848,0)),MATCH(A66,'4. Base Mestre (845 Produtos)'!$A$4:$A$848,0),IF(ISNUMBER(MATCH(B66,'4. Base Mestre (845 Produtos)'!$B$4:$B$848,0)),MATCH(B66,'4. Base Mestre (845 Produtos)'!$B$4:$B$848,0),0))),IF(ISNUMBER(MATCH(D66,'3. Dicionario Principios Ativos'!$A$4:$A$245,0)),INDEX('3. Dicionario Principios Ativos'!$D$4:$D$245,MATCH(D66,'3. Dicionario Principios Ativos'!$A$4:$A$245,0)),E66))))))</f>
        <v/>
      </c>
      <c r="R66" s="20" t="str">
        <f aca="false">IF(B66="","",IF(OR(E66=Q66,AND(Q66="3002.49.99",E66="3002.90.00")),"CONFORME — NCM "&amp;E66&amp;" Correta na TIPI","DIVERGENTE — Substituir "&amp;E66&amp;" por "&amp;Q66))</f>
        <v/>
      </c>
      <c r="S66" s="20" t="str">
        <f aca="false">IF(B66="","",IF(AND(E66="3808.61.00",OR(K66&gt;0.3001,K66=0)),"INCOMPATÍVEL — NCM 3808.61.00 exige emb. &lt;= 0,3kg/L (Emb. atual: "&amp;K66&amp;" "&amp;L66&amp;" -&gt; usar "&amp;Q66&amp;")",IF(AND(LEFT(E66,7)="3808.62",OR(K66&lt;=0.3001,K66&gt;7.5001)),"INCOMPATÍVEL — NCM 3808.62 exige emb. de 0,3 a 7,5kg/L (Emb. atual: "&amp;K66&amp;" "&amp;L66&amp;" -&gt; usar "&amp;Q66&amp;")",IF(AND(LEFT(E66,7)="3808.69",K66&gt;0,K66&lt;=7.5001),"INCOMPATÍVEL — NCM 3808.69 exige emb. &gt; 7,5kg/L (Emb. atual: "&amp;K66&amp;" "&amp;L66&amp;" -&gt; usar "&amp;Q66&amp;")",IF(AND(LEFT(Q66,6)="3808.6",LEFT(E66,6)&lt;&gt;"3808.6"),"INCOMPATÍVEL — Molécula Nota Subpos. 2 c/ emb. "&amp;K66&amp;" "&amp;L66&amp;" exige NCM "&amp;Q66,IF(AND(OR(E66="3808.91.19",E66="3808.92.19",E66="3808.93.19",E66="3808.99.19"),K66&gt;=1),"INCOMPATÍVEL — Subitem .19 (Domissanitário) vedado p/ emb. agrícola de "&amp;K66&amp;" "&amp;L66,IF(AND(E66="3105.10.00",K66&gt;10.0001),"INCOMPATÍVEL — NCM 3105.10.00 exige peso bruto &lt;= 10kg (Emb. atual: "&amp;K66&amp;" "&amp;L66&amp;" -&gt; usar 3105.90.90)",IF(AND(LEFT(E66,2)="29",LEFT(Q66,4)="3808",K66&gt;0),"INCOMPATÍVEL — Produto formulado em emb. comercial ("&amp;K66&amp;" "&amp;L66&amp;") vedado no Cap. 29 -&gt; usar "&amp;Q66,"CONFORME — Embalagem ("&amp;K66&amp;" "&amp;L66&amp;") compatível c/ a NCM"))))))))</f>
        <v/>
      </c>
      <c r="T66" s="22" t="str">
        <f aca="false">IF(B66="","",IF(IF(ISNUMBER(MATCH(A66,'4.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Produtos)'!$P$4:$P$848,IF(ISNUMBER(MATCH(A66,'4. Base Mestre (845 Produtos)'!$A$4:$A$848,0)),MATCH(A66,'4. Base Mestre (845 Produtos)'!$A$4:$A$848,0),IF(ISNUMBER(MATCH(B66,'4. Base Mestre (845 Produtos)'!$B$4:$B$848,0)),MATCH(B66,'4. Base Mestre (845 Produtos)'!$B$4:$B$848,0),0))),IF(ISNUMBER(MATCH(D66,'3. Dicionario Principios Ativos'!$A$4:$A$245,0)),INDEX('3. Dicionario Principios Ativos'!$K$4:$K$245,MATCH(D66,'3. Dicionario Principios Ativos'!$A$4:$A$245,0)),"VERIFICAR BULA")))</f>
        <v/>
      </c>
      <c r="U66" s="20" t="str">
        <f aca="false">IF(B66="","",IF(ISNUMBER(SEARCH("ISENTO",T66)),IF(OR(F66=0,F66="0",F66="ISENTO",F66=""),"CONFORME (DISPENSADO) — Isento pelo Ato SDA/MAPA nº 104/2017","INCORRETO — Produto isento de registro MAPA (usar 0 ou ISENTO)"),IF(ISNUMBER(SEARCH("SIPEAGRO",T66)),IF(ISNUMBER(SEARCH("-",F66)),"CONFORME — Registro SIPEAGRO ("&amp;F66&amp;") Preenchido","ADEQUAR P/ SIPEAGRO — Substituir 0 pelo Registro (UF-XXXXX-XXXXX.X)"),IF(ISNUMBER(SEARCH("VINCULAR",T66)),IF(AND(F66&lt;&gt;0,F66&lt;&gt;"0",F66&lt;&gt;""),"INCORRETO / TROCADO — Código "&amp;F66&amp;" pertence a outro produto (Vincular bula da marca)","VINCULAR MARCA — Cadastro de P.A. s/ marca fixa (Vincular registro na NF-e)"),IF(OR(F66=0,F66="0",F66=""),"AUSENTE (ZERO) — Preencher Registro Oficial MAPA nº "&amp;T66,IF(TEXT(F66,"0")=TEXT(T66,"0"),"CONFORME — Registro MAPA nº "&amp;T66&amp;" Validado na Bula","INCORRETO / TROCADO — Substituir "&amp;F66&amp;" pelo Registro Oficial nº "&amp;T66))))))</f>
        <v/>
      </c>
      <c r="V66" s="20" t="str">
        <f aca="false">IF(B66="","",IF(IF(ISNUMBER(MATCH(A66,'4.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Produtos)'!$S$4:$S$848,IF(ISNUMBER(MATCH(A66,'4. Base Mestre (845 Produtos)'!$A$4:$A$848,0)),MATCH(A66,'4. Base Mestre (845 Produtos)'!$A$4:$A$848,0),IF(ISNUMBER(MATCH(B66,'4. Base Mestre (845 Produtos)'!$B$4:$B$848,0)),MATCH(B66,'4. Base Mestre (845 Produtos)'!$B$4:$B$848,0),0))),IF(ISNUMBER(MATCH(D66,'3. Dicionario Principios Ativos'!$A$4:$A$245,0)),INDEX('3. Dicionario Principios Ativos'!$L$4:$L$245,MATCH(D66,'3. Dicionario Principios Ativos'!$A$4:$A$245,0)),"Verificar NCM")))</f>
        <v/>
      </c>
      <c r="W66" s="20" t="str">
        <f aca="false">IF(B66="","",IF(IF(ISNUMBER(MATCH(A66,'4. Base Mestre (845 Produtos)'!$A$4:$A$848,0)),MATCH(A66,'4. Base Mestre (845 Produtos)'!$A$4:$A$848,0),IF(ISNUMBER(MATCH(B66,'4. Base Mestre (845 Produtos)'!$B$4:$B$848,0)),MATCH(B66,'4. Base Mestre (845 Produtos)'!$B$4:$B$848,0),0))&gt;0,INDEX('4. Base Mestre (845 Produtos)'!$T$4:$T$848,IF(ISNUMBER(MATCH(A66,'4. Base Mestre (845 Produtos)'!$A$4:$A$848,0)),MATCH(A66,'4. Base Mestre (845 Produtos)'!$A$4:$A$848,0),IF(ISNUMBER(MATCH(B66,'4. Base Mestre (845 Produtos)'!$B$4:$B$848,0)),MATCH(B66,'4. Base Mestre (845 Produtos)'!$B$4:$B$848,0),0))),IF(ISNUMBER(MATCH(D66,'3. Dicionario Principios Ativos'!$A$4:$A$245,0)),INDEX('3. Dicionario Principios Ativos'!$M$4:$M$245,MATCH(D66,'3. Dicionario Principios Ativos'!$A$4:$A$245,0)),"Verificar CST")))</f>
        <v/>
      </c>
      <c r="X66" s="20" t="str">
        <f aca="false">IF(B66="","",IF(AND(LEFT(M66,8)="CONFORME",LEFT(P66,8)="CONFORME",LEFT(R66,8)="CONFORME",LEFT(S66,8)="CONFORME",LEFT(U66,8)="CONFORME"),"CADASTRO 100% CONFORME — LIBERADO P/ ERP",IF(AND(LEFT(M66,8)="CONFORME",LEFT(P66,8)="CONFORME",LEFT(R66,8)="CONFORME",LEFT(S66,8)="CONFORME",OR(LEFT(U66,7)="ADEQUAR",LEFT(U66,8)="VINCULAR")),"FISCAL E EMBALAGEM OK — ADEQUAR CAMPO MAPA (SIPEAGRO / MARCA)","BLOQUEADO — CORRIGIR DIVERGÊNCIAS APONTADAS ANTES DE LIBERAR NO ERP")))</f>
        <v/>
      </c>
    </row>
    <row r="67" customFormat="false" ht="19.5" hidden="false" customHeight="true" outlineLevel="0" collapsed="false">
      <c r="A67" s="12"/>
      <c r="B67" s="13"/>
      <c r="C67" s="12"/>
      <c r="D67" s="13"/>
      <c r="E67" s="12"/>
      <c r="F67" s="12"/>
      <c r="G67" s="14"/>
      <c r="H67" s="13" t="s">
        <v>166</v>
      </c>
      <c r="I67" s="15" t="str">
        <f aca="false">IF(B67="","",IF(ISNUMBER(MATCH(A67,'4. Base Mestre (845 Produtos)'!$A$4:$A$848,0)),"Localizado por Código ("&amp;A67&amp;") na Base Mestre",IF(ISNUMBER(MATCH(B67,'4. Base Mestre (845 Produtos)'!$B$4:$B$848,0)),"Localizado por Descrição na Base Mestre",IF(ISNUMBER(MATCH(D67,'3. Dicionario Principios Ativos'!$A$4:$A$245,0)),"Produto Novo — Validado pelo Dicionário de P.A.","Não Localizado — Revisar Código/P.A."))))</f>
        <v/>
      </c>
      <c r="J67" s="15" t="str">
        <f aca="false">IF(B67="","",IF(IF(ISNUMBER(MATCH(A67,'4.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Produtos)'!$I$4:$I$848,IF(ISNUMBER(MATCH(A67,'4. Base Mestre (845 Produtos)'!$A$4:$A$848,0)),MATCH(A67,'4. Base Mestre (845 Produtos)'!$A$4:$A$848,0),IF(ISNUMBER(MATCH(B67,'4. Base Mestre (845 Produtos)'!$B$4:$B$848,0)),MATCH(B67,'4. Base Mestre (845 Produtos)'!$B$4:$B$848,0),0))),IF(ISNUMBER(MATCH(D67,'3. Dicionario Principios Ativos'!$A$4:$A$245,0)),INDEX('3. Dicionario Principios Ativos'!$B$4:$B$245,MATCH(D67,'3. Dicionario Principios Ativos'!$A$4:$A$245,0)),"Revisar Classificação")))</f>
        <v/>
      </c>
      <c r="K67" s="16" t="str">
        <f aca="false">IF(B67="","",IF(G67&lt;&gt;"",G67,IF(OR(ISNUMBER(SEARCH("PRINCIPIO ATIVO",B67)),ISNUMBER(SEARCH("PRINC. ATIVO",B67)),ISNUMBER(SEARCH("PR. ATIVO",B67)),ISNUMBER(SEARCH("PR.AT.",B67)),ISNUMBER(SEARCH("(P.A",B67)),ISNUMBER(SEARCH("(P. A",B67))),0,IF(OR(ISNUMBER(SEARCH("0,100KG",B67)),ISNUMBER(SEARCH("0,1KG",B67)),ISNUMBER(SEARCH("0,100L",B67))),0.1,IF(OR(ISNUMBER(SEARCH("0,200L",B67)),ISNUMBER(SEARCH("0,2L",B67)),ISNUMBER(SEARCH("0,200KG",B67)),ISNUMBER(SEARCH("0,2KG",B67))),0.2,IF(OR(ISNUMBER(SEARCH("0,240KG",B67)),ISNUMBER(SEARCH("0,250L",B67))),0.24,IF(OR(ISNUMBER(SEARCH("0,300KG",B67)),ISNUMBER(SEARCH("0,3KG",B67))),0.3,IF(OR(ISNUMBER(SEARCH("0,500L",B67)),ISNUMBER(SEARCH("0,5L",B67)),ISNUMBER(SEARCH("0,5KG",B67))),0.5,IF(ISNUMBER(SEARCH("0,8KG",B67)),0.8,IF(OR(ISNUMBER(SEARCH("1,5L",B67)),ISNUMBER(SEARCH("1,5KG",B67))),1.5,IF(OR(ISNUMBER(SEARCH("1,75L",B67)),ISNUMBER(SEARCH("1,8L",B67)),ISNUMBER(SEARCH("1.8L",B67))),1.8,IF(ISNUMBER(SEARCH("4,5KG",B67)),4.5,IF(ISNUMBER(SEARCH("7,5KG",B67)),7.5,IF(OR(ISNUMBER(SEARCH("1000L",B67)),ISNUMBER(SEARCH("1000KG",B67)),ISNUMBER(SEARCH("1.000KG",B67)),ISNUMBER(SEARCH("1.000L",B67)),ISNUMBER(SEARCH("1000 KG",B67)),ISNUMBER(SEARCH("GRANEL",B67)),ISNUMBER(SEARCH("(TON)",B67))),1000,IF(ISNUMBER(SEARCH("200L",B67)),200,IF(OR(ISNUMBER(SEARCH("25KG",B67)),ISNUMBER(SEARCH("25L",B67))),25,IF(OR(ISNUMBER(SEARCH("20L",B67)),ISNUMBER(SEARCH("20KG",B67))),20,IF(ISNUMBER(SEARCH("15KG",B67)),15,IF(OR(ISNUMBER(SEARCH("10L",B67)),ISNUMBER(SEARCH("10KG",B67))),10,IF(OR(ISNUMBER(SEARCH("5L",B67)),ISNUMBER(SEARCH("5KG",B67)),ISNUMBER(SEARCH("5LT",B67))),5,IF(OR(ISNUMBER(SEARCH("3KG",B67)),ISNUMBER(SEARCH("3L",B67))),3,IF(OR(ISNUMBER(SEARCH("2L",B67)),ISNUMBER(SEARCH("2KG",B67))),2,IF(OR(ISNUMBER(SEARCH("1L",B67)),ISNUMBER(SEARCH("1KG",B67)),ISNUMBER(SEARCH("1LT",B67))),1,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Produtos)'!$D$4:$D$848,IF(ISNUMBER(MATCH(A67,'4. Base Mestre (845 Produtos)'!$A$4:$A$848,0)),MATCH(A67,'4. Base Mestre (845 Produtos)'!$A$4:$A$848,0),IF(ISNUMBER(MATCH(B67,'4. Base Mestre (845 Produtos)'!$B$4:$B$848,0)),MATCH(B67,'4. Base Mestre (845 Produtos)'!$B$4:$B$848,0),0))),1))))))))))))))))))))))))</f>
        <v/>
      </c>
      <c r="L67" s="17" t="str">
        <f aca="false">IF(B67="","",IF(OR(ISNUMBER(SEARCH("KG",B67)),ISNUMBER(SEARCH("GR",B67))),"KG",IF(OR(ISNUMBER(SEARCH("0,200L",B67)),ISNUMBER(SEARCH("0,2L",B67)),ISNUMBER(SEARCH("0,5L",B67)),ISNUMBER(SEARCH("1,5L",B67)),ISNUMBER(SEARCH("1,8L",B67)),ISNUMBER(SEARCH("1.8L",B67)),ISNUMBER(SEARCH("1L",B67)),ISNUMBER(SEARCH("2L",B67)),ISNUMBER(SEARCH("3L",B67)),ISNUMBER(SEARCH("5L",B67)),ISNUMBER(SEARCH("10L",B67)),ISNUMBER(SEARCH("20L",B67)),ISNUMBER(SEARCH("25L",B67)),ISNUMBER(SEARCH("200L",B67)),ISNUMBER(SEARCH("1000L",B67)),ISNUMBER(SEARCH("LT",B67))),"L",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Produtos)'!$E$4:$E$848,IF(ISNUMBER(MATCH(A67,'4. Base Mestre (845 Produtos)'!$A$4:$A$848,0)),MATCH(A67,'4. Base Mestre (845 Produtos)'!$A$4:$A$848,0),IF(ISNUMBER(MATCH(B67,'4. Base Mestre (845 Produtos)'!$B$4:$B$848,0)),MATCH(B67,'4. Base Mestre (845 Produtos)'!$B$4:$B$848,0),0))),C67))))</f>
        <v/>
      </c>
      <c r="M67" s="15" t="str">
        <f aca="false">IF(B67="","",IF(C67=L67,"CONFORME — Unidade ("&amp;C67&amp;") compatível c/ Embalagem","DIVERGENTE — Embalagem em "&amp;L67&amp;", mas cadastrado em "&amp;C67))</f>
        <v/>
      </c>
      <c r="N67" s="15" t="str">
        <f aca="false">IF(B67="","",IF(K67=0,"Granel / Produto Técnico (Sem Embalagem Comercial)",IF(K67&lt;=0.3001,"Faixa 1 TIPI: Até 300g/mL (3808.61.00 / 3105.10.00)",IF(K67&lt;=7.5001,"Faixa 2 TIPI: De 300g a 7,5kg/L (3808.62.90 / 3105.10.00)",IF(K67&lt;=10.0001,"Faixa 3 TIPI: De 7,5kg a 10kg/L (3808.69.90 / 3105.10.00)","Faixa 4 TIPI: Acima de 10kg/L (3808.69.90 / Cap. 31 Geral)")))))</f>
        <v/>
      </c>
      <c r="O67" s="15" t="str">
        <f aca="false">IF(B67="","",IF(IF(ISNUMBER(MATCH(A67,'4.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Produtos)'!$H$4:$H$848,IF(ISNUMBER(MATCH(A67,'4. Base Mestre (845 Produtos)'!$A$4:$A$848,0)),MATCH(A67,'4. Base Mestre (845 Produtos)'!$A$4:$A$848,0),IF(ISNUMBER(MATCH(B67,'4. Base Mestre (845 Produtos)'!$B$4:$B$848,0)),MATCH(B67,'4. Base Mestre (845 Produtos)'!$B$4:$B$848,0),0))),IF(ISNUMBER(MATCH(D67,'3. Dicionario Principios Ativos'!$A$4:$A$245,0)),INDEX('3. Dicionario Principios Ativos'!$A$4:$A$245,MATCH(D67,'3. Dicionario Principios Ativos'!$A$4:$A$245,0)),D67)))</f>
        <v/>
      </c>
      <c r="P67" s="15" t="str">
        <f aca="false">IF(B67="","",IF(D67=O67,"CONFORME — Princípio Ativo Validado","DIVERGENTE — Substituir por: "&amp;O67))</f>
        <v/>
      </c>
      <c r="Q67" s="17" t="str">
        <f aca="false">IF(B67="","",IF(IF(IF(ISNUMBER(MATCH(A67,'4.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Produtos)'!$J$4:$J$848,IF(ISNUMBER(MATCH(A67,'4. Base Mestre (845 Produtos)'!$A$4:$A$848,0)),MATCH(A67,'4. Base Mestre (845 Produtos)'!$A$4:$A$848,0),IF(ISNUMBER(MATCH(B67,'4. Base Mestre (845 Produtos)'!$B$4:$B$848,0)),MATCH(B67,'4. Base Mestre (845 Produtos)'!$B$4:$B$848,0),0)))="SIM",IF(ISNUMBER(MATCH(D67,'3. Dicionario Principios Ativos'!$A$4:$A$245,0)),INDEX('3. Dicionario Principios Ativos'!$C$4:$C$245,MATCH(D67,'3. Dicionario Principios Ativos'!$A$4:$A$245,0))="SIM",FALSE())),IF(AND(K67&gt;0,K67&lt;=0.3001),"3808.61.00",IF(AND(K67&gt;0.3001,K67&lt;=7.5001),"3808.62.90","3808.69.90")),IF(AND(LEFT(IF(IF(ISNUMBER(MATCH(A67,'4.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Produtos)'!$L$4:$L$848,IF(ISNUMBER(MATCH(A67,'4. Base Mestre (845 Produtos)'!$A$4:$A$848,0)),MATCH(A67,'4. Base Mestre (845 Produtos)'!$A$4:$A$848,0),IF(ISNUMBER(MATCH(B67,'4. Base Mestre (845 Produtos)'!$B$4:$B$848,0)),MATCH(B67,'4. Base Mestre (845 Produtos)'!$B$4:$B$848,0),0))),IF(ISNUMBER(MATCH(D67,'3. Dicionario Principios Ativos'!$A$4:$A$245,0)),INDEX('3. Dicionario Principios Ativos'!$D$4:$D$245,MATCH(D67,'3. Dicionario Principios Ativos'!$A$4:$A$245,0)),E67)),2)="31",E67="3105.10.00",K67&gt;0,K67&lt;=10.0001),"3105.10.00",IF(AND(IF(IF(ISNUMBER(MATCH(A67,'4.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Produtos)'!$L$4:$L$848,IF(ISNUMBER(MATCH(A67,'4. Base Mestre (845 Produtos)'!$A$4:$A$848,0)),MATCH(A67,'4. Base Mestre (845 Produtos)'!$A$4:$A$848,0),IF(ISNUMBER(MATCH(B67,'4. Base Mestre (845 Produtos)'!$B$4:$B$848,0)),MATCH(B67,'4. Base Mestre (845 Produtos)'!$B$4:$B$848,0),0))),IF(ISNUMBER(MATCH(D67,'3. Dicionario Principios Ativos'!$A$4:$A$245,0)),INDEX('3. Dicionario Principios Ativos'!$D$4:$D$245,MATCH(D67,'3. Dicionario Principios Ativos'!$A$4:$A$245,0)),E67))="3105.10.00",K67&gt;10.0001),"3105.90.90",IF(IF(ISNUMBER(MATCH(A67,'4.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Produtos)'!$L$4:$L$848,IF(ISNUMBER(MATCH(A67,'4. Base Mestre (845 Produtos)'!$A$4:$A$848,0)),MATCH(A67,'4. Base Mestre (845 Produtos)'!$A$4:$A$848,0),IF(ISNUMBER(MATCH(B67,'4. Base Mestre (845 Produtos)'!$B$4:$B$848,0)),MATCH(B67,'4. Base Mestre (845 Produtos)'!$B$4:$B$848,0),0))),IF(ISNUMBER(MATCH(D67,'3. Dicionario Principios Ativos'!$A$4:$A$245,0)),INDEX('3. Dicionario Principios Ativos'!$D$4:$D$245,MATCH(D67,'3. Dicionario Principios Ativos'!$A$4:$A$245,0)),E67))))))</f>
        <v/>
      </c>
      <c r="R67" s="15" t="str">
        <f aca="false">IF(B67="","",IF(OR(E67=Q67,AND(Q67="3002.49.99",E67="3002.90.00")),"CONFORME — NCM "&amp;E67&amp;" Correta na TIPI","DIVERGENTE — Substituir "&amp;E67&amp;" por "&amp;Q67))</f>
        <v/>
      </c>
      <c r="S67" s="15" t="str">
        <f aca="false">IF(B67="","",IF(AND(E67="3808.61.00",OR(K67&gt;0.3001,K67=0)),"INCOMPATÍVEL — NCM 3808.61.00 exige emb. &lt;= 0,3kg/L (Emb. atual: "&amp;K67&amp;" "&amp;L67&amp;" -&gt; usar "&amp;Q67&amp;")",IF(AND(LEFT(E67,7)="3808.62",OR(K67&lt;=0.3001,K67&gt;7.5001)),"INCOMPATÍVEL — NCM 3808.62 exige emb. de 0,3 a 7,5kg/L (Emb. atual: "&amp;K67&amp;" "&amp;L67&amp;" -&gt; usar "&amp;Q67&amp;")",IF(AND(LEFT(E67,7)="3808.69",K67&gt;0,K67&lt;=7.5001),"INCOMPATÍVEL — NCM 3808.69 exige emb. &gt; 7,5kg/L (Emb. atual: "&amp;K67&amp;" "&amp;L67&amp;" -&gt; usar "&amp;Q67&amp;")",IF(AND(LEFT(Q67,6)="3808.6",LEFT(E67,6)&lt;&gt;"3808.6"),"INCOMPATÍVEL — Molécula Nota Subpos. 2 c/ emb. "&amp;K67&amp;" "&amp;L67&amp;" exige NCM "&amp;Q67,IF(AND(OR(E67="3808.91.19",E67="3808.92.19",E67="3808.93.19",E67="3808.99.19"),K67&gt;=1),"INCOMPATÍVEL — Subitem .19 (Domissanitário) vedado p/ emb. agrícola de "&amp;K67&amp;" "&amp;L67,IF(AND(E67="3105.10.00",K67&gt;10.0001),"INCOMPATÍVEL — NCM 3105.10.00 exige peso bruto &lt;= 10kg (Emb. atual: "&amp;K67&amp;" "&amp;L67&amp;" -&gt; usar 3105.90.90)",IF(AND(LEFT(E67,2)="29",LEFT(Q67,4)="3808",K67&gt;0),"INCOMPATÍVEL — Produto formulado em emb. comercial ("&amp;K67&amp;" "&amp;L67&amp;") vedado no Cap. 29 -&gt; usar "&amp;Q67,"CONFORME — Embalagem ("&amp;K67&amp;" "&amp;L67&amp;") compatível c/ a NCM"))))))))</f>
        <v/>
      </c>
      <c r="T67" s="17" t="str">
        <f aca="false">IF(B67="","",IF(IF(ISNUMBER(MATCH(A67,'4.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Produtos)'!$P$4:$P$848,IF(ISNUMBER(MATCH(A67,'4. Base Mestre (845 Produtos)'!$A$4:$A$848,0)),MATCH(A67,'4. Base Mestre (845 Produtos)'!$A$4:$A$848,0),IF(ISNUMBER(MATCH(B67,'4. Base Mestre (845 Produtos)'!$B$4:$B$848,0)),MATCH(B67,'4. Base Mestre (845 Produtos)'!$B$4:$B$848,0),0))),IF(ISNUMBER(MATCH(D67,'3. Dicionario Principios Ativos'!$A$4:$A$245,0)),INDEX('3. Dicionario Principios Ativos'!$K$4:$K$245,MATCH(D67,'3. Dicionario Principios Ativos'!$A$4:$A$245,0)),"VERIFICAR BULA")))</f>
        <v/>
      </c>
      <c r="U67" s="15" t="str">
        <f aca="false">IF(B67="","",IF(ISNUMBER(SEARCH("ISENTO",T67)),IF(OR(F67=0,F67="0",F67="ISENTO",F67=""),"CONFORME (DISPENSADO) — Isento pelo Ato SDA/MAPA nº 104/2017","INCORRETO — Produto isento de registro MAPA (usar 0 ou ISENTO)"),IF(ISNUMBER(SEARCH("SIPEAGRO",T67)),IF(ISNUMBER(SEARCH("-",F67)),"CONFORME — Registro SIPEAGRO ("&amp;F67&amp;") Preenchido","ADEQUAR P/ SIPEAGRO — Substituir 0 pelo Registro (UF-XXXXX-XXXXX.X)"),IF(ISNUMBER(SEARCH("VINCULAR",T67)),IF(AND(F67&lt;&gt;0,F67&lt;&gt;"0",F67&lt;&gt;""),"INCORRETO / TROCADO — Código "&amp;F67&amp;" pertence a outro produto (Vincular bula da marca)","VINCULAR MARCA — Cadastro de P.A. s/ marca fixa (Vincular registro na NF-e)"),IF(OR(F67=0,F67="0",F67=""),"AUSENTE (ZERO) — Preencher Registro Oficial MAPA nº "&amp;T67,IF(TEXT(F67,"0")=TEXT(T67,"0"),"CONFORME — Registro MAPA nº "&amp;T67&amp;" Validado na Bula","INCORRETO / TROCADO — Substituir "&amp;F67&amp;" pelo Registro Oficial nº "&amp;T67))))))</f>
        <v/>
      </c>
      <c r="V67" s="15" t="str">
        <f aca="false">IF(B67="","",IF(IF(ISNUMBER(MATCH(A67,'4.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Produtos)'!$S$4:$S$848,IF(ISNUMBER(MATCH(A67,'4. Base Mestre (845 Produtos)'!$A$4:$A$848,0)),MATCH(A67,'4. Base Mestre (845 Produtos)'!$A$4:$A$848,0),IF(ISNUMBER(MATCH(B67,'4. Base Mestre (845 Produtos)'!$B$4:$B$848,0)),MATCH(B67,'4. Base Mestre (845 Produtos)'!$B$4:$B$848,0),0))),IF(ISNUMBER(MATCH(D67,'3. Dicionario Principios Ativos'!$A$4:$A$245,0)),INDEX('3. Dicionario Principios Ativos'!$L$4:$L$245,MATCH(D67,'3. Dicionario Principios Ativos'!$A$4:$A$245,0)),"Verificar NCM")))</f>
        <v/>
      </c>
      <c r="W67" s="15" t="str">
        <f aca="false">IF(B67="","",IF(IF(ISNUMBER(MATCH(A67,'4. Base Mestre (845 Produtos)'!$A$4:$A$848,0)),MATCH(A67,'4. Base Mestre (845 Produtos)'!$A$4:$A$848,0),IF(ISNUMBER(MATCH(B67,'4. Base Mestre (845 Produtos)'!$B$4:$B$848,0)),MATCH(B67,'4. Base Mestre (845 Produtos)'!$B$4:$B$848,0),0))&gt;0,INDEX('4. Base Mestre (845 Produtos)'!$T$4:$T$848,IF(ISNUMBER(MATCH(A67,'4. Base Mestre (845 Produtos)'!$A$4:$A$848,0)),MATCH(A67,'4. Base Mestre (845 Produtos)'!$A$4:$A$848,0),IF(ISNUMBER(MATCH(B67,'4. Base Mestre (845 Produtos)'!$B$4:$B$848,0)),MATCH(B67,'4. Base Mestre (845 Produtos)'!$B$4:$B$848,0),0))),IF(ISNUMBER(MATCH(D67,'3. Dicionario Principios Ativos'!$A$4:$A$245,0)),INDEX('3. Dicionario Principios Ativos'!$M$4:$M$245,MATCH(D67,'3. Dicionario Principios Ativos'!$A$4:$A$245,0)),"Verificar CST")))</f>
        <v/>
      </c>
      <c r="X67" s="15" t="str">
        <f aca="false">IF(B67="","",IF(AND(LEFT(M67,8)="CONFORME",LEFT(P67,8)="CONFORME",LEFT(R67,8)="CONFORME",LEFT(S67,8)="CONFORME",LEFT(U67,8)="CONFORME"),"CADASTRO 100% CONFORME — LIBERADO P/ ERP",IF(AND(LEFT(M67,8)="CONFORME",LEFT(P67,8)="CONFORME",LEFT(R67,8)="CONFORME",LEFT(S67,8)="CONFORME",OR(LEFT(U67,7)="ADEQUAR",LEFT(U67,8)="VINCULAR")),"FISCAL E EMBALAGEM OK — ADEQUAR CAMPO MAPA (SIPEAGRO / MARCA)","BLOQUEADO — CORRIGIR DIVERGÊNCIAS APONTADAS ANTES DE LIBERAR NO ERP")))</f>
        <v/>
      </c>
    </row>
    <row r="68" customFormat="false" ht="19.5" hidden="false" customHeight="true" outlineLevel="0" collapsed="false">
      <c r="A68" s="12"/>
      <c r="B68" s="13"/>
      <c r="C68" s="12"/>
      <c r="D68" s="13"/>
      <c r="E68" s="12"/>
      <c r="F68" s="12"/>
      <c r="G68" s="14"/>
      <c r="H68" s="13" t="s">
        <v>166</v>
      </c>
      <c r="I68" s="20" t="str">
        <f aca="false">IF(B68="","",IF(ISNUMBER(MATCH(A68,'4. Base Mestre (845 Produtos)'!$A$4:$A$848,0)),"Localizado por Código ("&amp;A68&amp;") na Base Mestre",IF(ISNUMBER(MATCH(B68,'4. Base Mestre (845 Produtos)'!$B$4:$B$848,0)),"Localizado por Descrição na Base Mestre",IF(ISNUMBER(MATCH(D68,'3. Dicionario Principios Ativos'!$A$4:$A$245,0)),"Produto Novo — Validado pelo Dicionário de P.A.","Não Localizado — Revisar Código/P.A."))))</f>
        <v/>
      </c>
      <c r="J68" s="20" t="str">
        <f aca="false">IF(B68="","",IF(IF(ISNUMBER(MATCH(A68,'4.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Produtos)'!$I$4:$I$848,IF(ISNUMBER(MATCH(A68,'4. Base Mestre (845 Produtos)'!$A$4:$A$848,0)),MATCH(A68,'4. Base Mestre (845 Produtos)'!$A$4:$A$848,0),IF(ISNUMBER(MATCH(B68,'4. Base Mestre (845 Produtos)'!$B$4:$B$848,0)),MATCH(B68,'4. Base Mestre (845 Produtos)'!$B$4:$B$848,0),0))),IF(ISNUMBER(MATCH(D68,'3. Dicionario Principios Ativos'!$A$4:$A$245,0)),INDEX('3. Dicionario Principios Ativos'!$B$4:$B$245,MATCH(D68,'3. Dicionario Principios Ativos'!$A$4:$A$245,0)),"Revisar Classificação")))</f>
        <v/>
      </c>
      <c r="K68" s="21" t="str">
        <f aca="false">IF(B68="","",IF(G68&lt;&gt;"",G68,IF(OR(ISNUMBER(SEARCH("PRINCIPIO ATIVO",B68)),ISNUMBER(SEARCH("PRINC. ATIVO",B68)),ISNUMBER(SEARCH("PR. ATIVO",B68)),ISNUMBER(SEARCH("PR.AT.",B68)),ISNUMBER(SEARCH("(P.A",B68)),ISNUMBER(SEARCH("(P. A",B68))),0,IF(OR(ISNUMBER(SEARCH("0,100KG",B68)),ISNUMBER(SEARCH("0,1KG",B68)),ISNUMBER(SEARCH("0,100L",B68))),0.1,IF(OR(ISNUMBER(SEARCH("0,200L",B68)),ISNUMBER(SEARCH("0,2L",B68)),ISNUMBER(SEARCH("0,200KG",B68)),ISNUMBER(SEARCH("0,2KG",B68))),0.2,IF(OR(ISNUMBER(SEARCH("0,240KG",B68)),ISNUMBER(SEARCH("0,250L",B68))),0.24,IF(OR(ISNUMBER(SEARCH("0,300KG",B68)),ISNUMBER(SEARCH("0,3KG",B68))),0.3,IF(OR(ISNUMBER(SEARCH("0,500L",B68)),ISNUMBER(SEARCH("0,5L",B68)),ISNUMBER(SEARCH("0,5KG",B68))),0.5,IF(ISNUMBER(SEARCH("0,8KG",B68)),0.8,IF(OR(ISNUMBER(SEARCH("1,5L",B68)),ISNUMBER(SEARCH("1,5KG",B68))),1.5,IF(OR(ISNUMBER(SEARCH("1,75L",B68)),ISNUMBER(SEARCH("1,8L",B68)),ISNUMBER(SEARCH("1.8L",B68))),1.8,IF(ISNUMBER(SEARCH("4,5KG",B68)),4.5,IF(ISNUMBER(SEARCH("7,5KG",B68)),7.5,IF(OR(ISNUMBER(SEARCH("1000L",B68)),ISNUMBER(SEARCH("1000KG",B68)),ISNUMBER(SEARCH("1.000KG",B68)),ISNUMBER(SEARCH("1.000L",B68)),ISNUMBER(SEARCH("1000 KG",B68)),ISNUMBER(SEARCH("GRANEL",B68)),ISNUMBER(SEARCH("(TON)",B68))),1000,IF(ISNUMBER(SEARCH("200L",B68)),200,IF(OR(ISNUMBER(SEARCH("25KG",B68)),ISNUMBER(SEARCH("25L",B68))),25,IF(OR(ISNUMBER(SEARCH("20L",B68)),ISNUMBER(SEARCH("20KG",B68))),20,IF(ISNUMBER(SEARCH("15KG",B68)),15,IF(OR(ISNUMBER(SEARCH("10L",B68)),ISNUMBER(SEARCH("10KG",B68))),10,IF(OR(ISNUMBER(SEARCH("5L",B68)),ISNUMBER(SEARCH("5KG",B68)),ISNUMBER(SEARCH("5LT",B68))),5,IF(OR(ISNUMBER(SEARCH("3KG",B68)),ISNUMBER(SEARCH("3L",B68))),3,IF(OR(ISNUMBER(SEARCH("2L",B68)),ISNUMBER(SEARCH("2KG",B68))),2,IF(OR(ISNUMBER(SEARCH("1L",B68)),ISNUMBER(SEARCH("1KG",B68)),ISNUMBER(SEARCH("1LT",B68))),1,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Produtos)'!$D$4:$D$848,IF(ISNUMBER(MATCH(A68,'4. Base Mestre (845 Produtos)'!$A$4:$A$848,0)),MATCH(A68,'4. Base Mestre (845 Produtos)'!$A$4:$A$848,0),IF(ISNUMBER(MATCH(B68,'4. Base Mestre (845 Produtos)'!$B$4:$B$848,0)),MATCH(B68,'4. Base Mestre (845 Produtos)'!$B$4:$B$848,0),0))),1))))))))))))))))))))))))</f>
        <v/>
      </c>
      <c r="L68" s="22" t="str">
        <f aca="false">IF(B68="","",IF(OR(ISNUMBER(SEARCH("KG",B68)),ISNUMBER(SEARCH("GR",B68))),"KG",IF(OR(ISNUMBER(SEARCH("0,200L",B68)),ISNUMBER(SEARCH("0,2L",B68)),ISNUMBER(SEARCH("0,5L",B68)),ISNUMBER(SEARCH("1,5L",B68)),ISNUMBER(SEARCH("1,8L",B68)),ISNUMBER(SEARCH("1.8L",B68)),ISNUMBER(SEARCH("1L",B68)),ISNUMBER(SEARCH("2L",B68)),ISNUMBER(SEARCH("3L",B68)),ISNUMBER(SEARCH("5L",B68)),ISNUMBER(SEARCH("10L",B68)),ISNUMBER(SEARCH("20L",B68)),ISNUMBER(SEARCH("25L",B68)),ISNUMBER(SEARCH("200L",B68)),ISNUMBER(SEARCH("1000L",B68)),ISNUMBER(SEARCH("LT",B68))),"L",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Produtos)'!$E$4:$E$848,IF(ISNUMBER(MATCH(A68,'4. Base Mestre (845 Produtos)'!$A$4:$A$848,0)),MATCH(A68,'4. Base Mestre (845 Produtos)'!$A$4:$A$848,0),IF(ISNUMBER(MATCH(B68,'4. Base Mestre (845 Produtos)'!$B$4:$B$848,0)),MATCH(B68,'4. Base Mestre (845 Produtos)'!$B$4:$B$848,0),0))),C68))))</f>
        <v/>
      </c>
      <c r="M68" s="20" t="str">
        <f aca="false">IF(B68="","",IF(C68=L68,"CONFORME — Unidade ("&amp;C68&amp;") compatível c/ Embalagem","DIVERGENTE — Embalagem em "&amp;L68&amp;", mas cadastrado em "&amp;C68))</f>
        <v/>
      </c>
      <c r="N68" s="20" t="str">
        <f aca="false">IF(B68="","",IF(K68=0,"Granel / Produto Técnico (Sem Embalagem Comercial)",IF(K68&lt;=0.3001,"Faixa 1 TIPI: Até 300g/mL (3808.61.00 / 3105.10.00)",IF(K68&lt;=7.5001,"Faixa 2 TIPI: De 300g a 7,5kg/L (3808.62.90 / 3105.10.00)",IF(K68&lt;=10.0001,"Faixa 3 TIPI: De 7,5kg a 10kg/L (3808.69.90 / 3105.10.00)","Faixa 4 TIPI: Acima de 10kg/L (3808.69.90 / Cap. 31 Geral)")))))</f>
        <v/>
      </c>
      <c r="O68" s="20" t="str">
        <f aca="false">IF(B68="","",IF(IF(ISNUMBER(MATCH(A68,'4.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Produtos)'!$H$4:$H$848,IF(ISNUMBER(MATCH(A68,'4. Base Mestre (845 Produtos)'!$A$4:$A$848,0)),MATCH(A68,'4. Base Mestre (845 Produtos)'!$A$4:$A$848,0),IF(ISNUMBER(MATCH(B68,'4. Base Mestre (845 Produtos)'!$B$4:$B$848,0)),MATCH(B68,'4. Base Mestre (845 Produtos)'!$B$4:$B$848,0),0))),IF(ISNUMBER(MATCH(D68,'3. Dicionario Principios Ativos'!$A$4:$A$245,0)),INDEX('3. Dicionario Principios Ativos'!$A$4:$A$245,MATCH(D68,'3. Dicionario Principios Ativos'!$A$4:$A$245,0)),D68)))</f>
        <v/>
      </c>
      <c r="P68" s="20" t="str">
        <f aca="false">IF(B68="","",IF(D68=O68,"CONFORME — Princípio Ativo Validado","DIVERGENTE — Substituir por: "&amp;O68))</f>
        <v/>
      </c>
      <c r="Q68" s="22" t="str">
        <f aca="false">IF(B68="","",IF(IF(IF(ISNUMBER(MATCH(A68,'4.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Produtos)'!$J$4:$J$848,IF(ISNUMBER(MATCH(A68,'4. Base Mestre (845 Produtos)'!$A$4:$A$848,0)),MATCH(A68,'4. Base Mestre (845 Produtos)'!$A$4:$A$848,0),IF(ISNUMBER(MATCH(B68,'4. Base Mestre (845 Produtos)'!$B$4:$B$848,0)),MATCH(B68,'4. Base Mestre (845 Produtos)'!$B$4:$B$848,0),0)))="SIM",IF(ISNUMBER(MATCH(D68,'3. Dicionario Principios Ativos'!$A$4:$A$245,0)),INDEX('3. Dicionario Principios Ativos'!$C$4:$C$245,MATCH(D68,'3. Dicionario Principios Ativos'!$A$4:$A$245,0))="SIM",FALSE())),IF(AND(K68&gt;0,K68&lt;=0.3001),"3808.61.00",IF(AND(K68&gt;0.3001,K68&lt;=7.5001),"3808.62.90","3808.69.90")),IF(AND(LEFT(IF(IF(ISNUMBER(MATCH(A68,'4.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Produtos)'!$L$4:$L$848,IF(ISNUMBER(MATCH(A68,'4. Base Mestre (845 Produtos)'!$A$4:$A$848,0)),MATCH(A68,'4. Base Mestre (845 Produtos)'!$A$4:$A$848,0),IF(ISNUMBER(MATCH(B68,'4. Base Mestre (845 Produtos)'!$B$4:$B$848,0)),MATCH(B68,'4. Base Mestre (845 Produtos)'!$B$4:$B$848,0),0))),IF(ISNUMBER(MATCH(D68,'3. Dicionario Principios Ativos'!$A$4:$A$245,0)),INDEX('3. Dicionario Principios Ativos'!$D$4:$D$245,MATCH(D68,'3. Dicionario Principios Ativos'!$A$4:$A$245,0)),E68)),2)="31",E68="3105.10.00",K68&gt;0,K68&lt;=10.0001),"3105.10.00",IF(AND(IF(IF(ISNUMBER(MATCH(A68,'4.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Produtos)'!$L$4:$L$848,IF(ISNUMBER(MATCH(A68,'4. Base Mestre (845 Produtos)'!$A$4:$A$848,0)),MATCH(A68,'4. Base Mestre (845 Produtos)'!$A$4:$A$848,0),IF(ISNUMBER(MATCH(B68,'4. Base Mestre (845 Produtos)'!$B$4:$B$848,0)),MATCH(B68,'4. Base Mestre (845 Produtos)'!$B$4:$B$848,0),0))),IF(ISNUMBER(MATCH(D68,'3. Dicionario Principios Ativos'!$A$4:$A$245,0)),INDEX('3. Dicionario Principios Ativos'!$D$4:$D$245,MATCH(D68,'3. Dicionario Principios Ativos'!$A$4:$A$245,0)),E68))="3105.10.00",K68&gt;10.0001),"3105.90.90",IF(IF(ISNUMBER(MATCH(A68,'4.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Produtos)'!$L$4:$L$848,IF(ISNUMBER(MATCH(A68,'4. Base Mestre (845 Produtos)'!$A$4:$A$848,0)),MATCH(A68,'4. Base Mestre (845 Produtos)'!$A$4:$A$848,0),IF(ISNUMBER(MATCH(B68,'4. Base Mestre (845 Produtos)'!$B$4:$B$848,0)),MATCH(B68,'4. Base Mestre (845 Produtos)'!$B$4:$B$848,0),0))),IF(ISNUMBER(MATCH(D68,'3. Dicionario Principios Ativos'!$A$4:$A$245,0)),INDEX('3. Dicionario Principios Ativos'!$D$4:$D$245,MATCH(D68,'3. Dicionario Principios Ativos'!$A$4:$A$245,0)),E68))))))</f>
        <v/>
      </c>
      <c r="R68" s="20" t="str">
        <f aca="false">IF(B68="","",IF(OR(E68=Q68,AND(Q68="3002.49.99",E68="3002.90.00")),"CONFORME — NCM "&amp;E68&amp;" Correta na TIPI","DIVERGENTE — Substituir "&amp;E68&amp;" por "&amp;Q68))</f>
        <v/>
      </c>
      <c r="S68" s="20" t="str">
        <f aca="false">IF(B68="","",IF(AND(E68="3808.61.00",OR(K68&gt;0.3001,K68=0)),"INCOMPATÍVEL — NCM 3808.61.00 exige emb. &lt;= 0,3kg/L (Emb. atual: "&amp;K68&amp;" "&amp;L68&amp;" -&gt; usar "&amp;Q68&amp;")",IF(AND(LEFT(E68,7)="3808.62",OR(K68&lt;=0.3001,K68&gt;7.5001)),"INCOMPATÍVEL — NCM 3808.62 exige emb. de 0,3 a 7,5kg/L (Emb. atual: "&amp;K68&amp;" "&amp;L68&amp;" -&gt; usar "&amp;Q68&amp;")",IF(AND(LEFT(E68,7)="3808.69",K68&gt;0,K68&lt;=7.5001),"INCOMPATÍVEL — NCM 3808.69 exige emb. &gt; 7,5kg/L (Emb. atual: "&amp;K68&amp;" "&amp;L68&amp;" -&gt; usar "&amp;Q68&amp;")",IF(AND(LEFT(Q68,6)="3808.6",LEFT(E68,6)&lt;&gt;"3808.6"),"INCOMPATÍVEL — Molécula Nota Subpos. 2 c/ emb. "&amp;K68&amp;" "&amp;L68&amp;" exige NCM "&amp;Q68,IF(AND(OR(E68="3808.91.19",E68="3808.92.19",E68="3808.93.19",E68="3808.99.19"),K68&gt;=1),"INCOMPATÍVEL — Subitem .19 (Domissanitário) vedado p/ emb. agrícola de "&amp;K68&amp;" "&amp;L68,IF(AND(E68="3105.10.00",K68&gt;10.0001),"INCOMPATÍVEL — NCM 3105.10.00 exige peso bruto &lt;= 10kg (Emb. atual: "&amp;K68&amp;" "&amp;L68&amp;" -&gt; usar 3105.90.90)",IF(AND(LEFT(E68,2)="29",LEFT(Q68,4)="3808",K68&gt;0),"INCOMPATÍVEL — Produto formulado em emb. comercial ("&amp;K68&amp;" "&amp;L68&amp;") vedado no Cap. 29 -&gt; usar "&amp;Q68,"CONFORME — Embalagem ("&amp;K68&amp;" "&amp;L68&amp;") compatível c/ a NCM"))))))))</f>
        <v/>
      </c>
      <c r="T68" s="22" t="str">
        <f aca="false">IF(B68="","",IF(IF(ISNUMBER(MATCH(A68,'4.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Produtos)'!$P$4:$P$848,IF(ISNUMBER(MATCH(A68,'4. Base Mestre (845 Produtos)'!$A$4:$A$848,0)),MATCH(A68,'4. Base Mestre (845 Produtos)'!$A$4:$A$848,0),IF(ISNUMBER(MATCH(B68,'4. Base Mestre (845 Produtos)'!$B$4:$B$848,0)),MATCH(B68,'4. Base Mestre (845 Produtos)'!$B$4:$B$848,0),0))),IF(ISNUMBER(MATCH(D68,'3. Dicionario Principios Ativos'!$A$4:$A$245,0)),INDEX('3. Dicionario Principios Ativos'!$K$4:$K$245,MATCH(D68,'3. Dicionario Principios Ativos'!$A$4:$A$245,0)),"VERIFICAR BULA")))</f>
        <v/>
      </c>
      <c r="U68" s="20" t="str">
        <f aca="false">IF(B68="","",IF(ISNUMBER(SEARCH("ISENTO",T68)),IF(OR(F68=0,F68="0",F68="ISENTO",F68=""),"CONFORME (DISPENSADO) — Isento pelo Ato SDA/MAPA nº 104/2017","INCORRETO — Produto isento de registro MAPA (usar 0 ou ISENTO)"),IF(ISNUMBER(SEARCH("SIPEAGRO",T68)),IF(ISNUMBER(SEARCH("-",F68)),"CONFORME — Registro SIPEAGRO ("&amp;F68&amp;") Preenchido","ADEQUAR P/ SIPEAGRO — Substituir 0 pelo Registro (UF-XXXXX-XXXXX.X)"),IF(ISNUMBER(SEARCH("VINCULAR",T68)),IF(AND(F68&lt;&gt;0,F68&lt;&gt;"0",F68&lt;&gt;""),"INCORRETO / TROCADO — Código "&amp;F68&amp;" pertence a outro produto (Vincular bula da marca)","VINCULAR MARCA — Cadastro de P.A. s/ marca fixa (Vincular registro na NF-e)"),IF(OR(F68=0,F68="0",F68=""),"AUSENTE (ZERO) — Preencher Registro Oficial MAPA nº "&amp;T68,IF(TEXT(F68,"0")=TEXT(T68,"0"),"CONFORME — Registro MAPA nº "&amp;T68&amp;" Validado na Bula","INCORRETO / TROCADO — Substituir "&amp;F68&amp;" pelo Registro Oficial nº "&amp;T68))))))</f>
        <v/>
      </c>
      <c r="V68" s="20" t="str">
        <f aca="false">IF(B68="","",IF(IF(ISNUMBER(MATCH(A68,'4.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Produtos)'!$S$4:$S$848,IF(ISNUMBER(MATCH(A68,'4. Base Mestre (845 Produtos)'!$A$4:$A$848,0)),MATCH(A68,'4. Base Mestre (845 Produtos)'!$A$4:$A$848,0),IF(ISNUMBER(MATCH(B68,'4. Base Mestre (845 Produtos)'!$B$4:$B$848,0)),MATCH(B68,'4. Base Mestre (845 Produtos)'!$B$4:$B$848,0),0))),IF(ISNUMBER(MATCH(D68,'3. Dicionario Principios Ativos'!$A$4:$A$245,0)),INDEX('3. Dicionario Principios Ativos'!$L$4:$L$245,MATCH(D68,'3. Dicionario Principios Ativos'!$A$4:$A$245,0)),"Verificar NCM")))</f>
        <v/>
      </c>
      <c r="W68" s="20" t="str">
        <f aca="false">IF(B68="","",IF(IF(ISNUMBER(MATCH(A68,'4. Base Mestre (845 Produtos)'!$A$4:$A$848,0)),MATCH(A68,'4. Base Mestre (845 Produtos)'!$A$4:$A$848,0),IF(ISNUMBER(MATCH(B68,'4. Base Mestre (845 Produtos)'!$B$4:$B$848,0)),MATCH(B68,'4. Base Mestre (845 Produtos)'!$B$4:$B$848,0),0))&gt;0,INDEX('4. Base Mestre (845 Produtos)'!$T$4:$T$848,IF(ISNUMBER(MATCH(A68,'4. Base Mestre (845 Produtos)'!$A$4:$A$848,0)),MATCH(A68,'4. Base Mestre (845 Produtos)'!$A$4:$A$848,0),IF(ISNUMBER(MATCH(B68,'4. Base Mestre (845 Produtos)'!$B$4:$B$848,0)),MATCH(B68,'4. Base Mestre (845 Produtos)'!$B$4:$B$848,0),0))),IF(ISNUMBER(MATCH(D68,'3. Dicionario Principios Ativos'!$A$4:$A$245,0)),INDEX('3. Dicionario Principios Ativos'!$M$4:$M$245,MATCH(D68,'3. Dicionario Principios Ativos'!$A$4:$A$245,0)),"Verificar CST")))</f>
        <v/>
      </c>
      <c r="X68" s="20" t="str">
        <f aca="false">IF(B68="","",IF(AND(LEFT(M68,8)="CONFORME",LEFT(P68,8)="CONFORME",LEFT(R68,8)="CONFORME",LEFT(S68,8)="CONFORME",LEFT(U68,8)="CONFORME"),"CADASTRO 100% CONFORME — LIBERADO P/ ERP",IF(AND(LEFT(M68,8)="CONFORME",LEFT(P68,8)="CONFORME",LEFT(R68,8)="CONFORME",LEFT(S68,8)="CONFORME",OR(LEFT(U68,7)="ADEQUAR",LEFT(U68,8)="VINCULAR")),"FISCAL E EMBALAGEM OK — ADEQUAR CAMPO MAPA (SIPEAGRO / MARCA)","BLOQUEADO — CORRIGIR DIVERGÊNCIAS APONTADAS ANTES DE LIBERAR NO ERP")))</f>
        <v/>
      </c>
    </row>
    <row r="69" customFormat="false" ht="19.5" hidden="false" customHeight="true" outlineLevel="0" collapsed="false">
      <c r="A69" s="12"/>
      <c r="B69" s="13"/>
      <c r="C69" s="12"/>
      <c r="D69" s="13"/>
      <c r="E69" s="12"/>
      <c r="F69" s="12"/>
      <c r="G69" s="14"/>
      <c r="H69" s="13" t="s">
        <v>166</v>
      </c>
      <c r="I69" s="15" t="str">
        <f aca="false">IF(B69="","",IF(ISNUMBER(MATCH(A69,'4. Base Mestre (845 Produtos)'!$A$4:$A$848,0)),"Localizado por Código ("&amp;A69&amp;") na Base Mestre",IF(ISNUMBER(MATCH(B69,'4. Base Mestre (845 Produtos)'!$B$4:$B$848,0)),"Localizado por Descrição na Base Mestre",IF(ISNUMBER(MATCH(D69,'3. Dicionario Principios Ativos'!$A$4:$A$245,0)),"Produto Novo — Validado pelo Dicionário de P.A.","Não Localizado — Revisar Código/P.A."))))</f>
        <v/>
      </c>
      <c r="J69" s="15" t="str">
        <f aca="false">IF(B69="","",IF(IF(ISNUMBER(MATCH(A69,'4.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Produtos)'!$I$4:$I$848,IF(ISNUMBER(MATCH(A69,'4. Base Mestre (845 Produtos)'!$A$4:$A$848,0)),MATCH(A69,'4. Base Mestre (845 Produtos)'!$A$4:$A$848,0),IF(ISNUMBER(MATCH(B69,'4. Base Mestre (845 Produtos)'!$B$4:$B$848,0)),MATCH(B69,'4. Base Mestre (845 Produtos)'!$B$4:$B$848,0),0))),IF(ISNUMBER(MATCH(D69,'3. Dicionario Principios Ativos'!$A$4:$A$245,0)),INDEX('3. Dicionario Principios Ativos'!$B$4:$B$245,MATCH(D69,'3. Dicionario Principios Ativos'!$A$4:$A$245,0)),"Revisar Classificação")))</f>
        <v/>
      </c>
      <c r="K69" s="16" t="str">
        <f aca="false">IF(B69="","",IF(G69&lt;&gt;"",G69,IF(OR(ISNUMBER(SEARCH("PRINCIPIO ATIVO",B69)),ISNUMBER(SEARCH("PRINC. ATIVO",B69)),ISNUMBER(SEARCH("PR. ATIVO",B69)),ISNUMBER(SEARCH("PR.AT.",B69)),ISNUMBER(SEARCH("(P.A",B69)),ISNUMBER(SEARCH("(P. A",B69))),0,IF(OR(ISNUMBER(SEARCH("0,100KG",B69)),ISNUMBER(SEARCH("0,1KG",B69)),ISNUMBER(SEARCH("0,100L",B69))),0.1,IF(OR(ISNUMBER(SEARCH("0,200L",B69)),ISNUMBER(SEARCH("0,2L",B69)),ISNUMBER(SEARCH("0,200KG",B69)),ISNUMBER(SEARCH("0,2KG",B69))),0.2,IF(OR(ISNUMBER(SEARCH("0,240KG",B69)),ISNUMBER(SEARCH("0,250L",B69))),0.24,IF(OR(ISNUMBER(SEARCH("0,300KG",B69)),ISNUMBER(SEARCH("0,3KG",B69))),0.3,IF(OR(ISNUMBER(SEARCH("0,500L",B69)),ISNUMBER(SEARCH("0,5L",B69)),ISNUMBER(SEARCH("0,5KG",B69))),0.5,IF(ISNUMBER(SEARCH("0,8KG",B69)),0.8,IF(OR(ISNUMBER(SEARCH("1,5L",B69)),ISNUMBER(SEARCH("1,5KG",B69))),1.5,IF(OR(ISNUMBER(SEARCH("1,75L",B69)),ISNUMBER(SEARCH("1,8L",B69)),ISNUMBER(SEARCH("1.8L",B69))),1.8,IF(ISNUMBER(SEARCH("4,5KG",B69)),4.5,IF(ISNUMBER(SEARCH("7,5KG",B69)),7.5,IF(OR(ISNUMBER(SEARCH("1000L",B69)),ISNUMBER(SEARCH("1000KG",B69)),ISNUMBER(SEARCH("1.000KG",B69)),ISNUMBER(SEARCH("1.000L",B69)),ISNUMBER(SEARCH("1000 KG",B69)),ISNUMBER(SEARCH("GRANEL",B69)),ISNUMBER(SEARCH("(TON)",B69))),1000,IF(ISNUMBER(SEARCH("200L",B69)),200,IF(OR(ISNUMBER(SEARCH("25KG",B69)),ISNUMBER(SEARCH("25L",B69))),25,IF(OR(ISNUMBER(SEARCH("20L",B69)),ISNUMBER(SEARCH("20KG",B69))),20,IF(ISNUMBER(SEARCH("15KG",B69)),15,IF(OR(ISNUMBER(SEARCH("10L",B69)),ISNUMBER(SEARCH("10KG",B69))),10,IF(OR(ISNUMBER(SEARCH("5L",B69)),ISNUMBER(SEARCH("5KG",B69)),ISNUMBER(SEARCH("5LT",B69))),5,IF(OR(ISNUMBER(SEARCH("3KG",B69)),ISNUMBER(SEARCH("3L",B69))),3,IF(OR(ISNUMBER(SEARCH("2L",B69)),ISNUMBER(SEARCH("2KG",B69))),2,IF(OR(ISNUMBER(SEARCH("1L",B69)),ISNUMBER(SEARCH("1KG",B69)),ISNUMBER(SEARCH("1LT",B69))),1,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Produtos)'!$D$4:$D$848,IF(ISNUMBER(MATCH(A69,'4. Base Mestre (845 Produtos)'!$A$4:$A$848,0)),MATCH(A69,'4. Base Mestre (845 Produtos)'!$A$4:$A$848,0),IF(ISNUMBER(MATCH(B69,'4. Base Mestre (845 Produtos)'!$B$4:$B$848,0)),MATCH(B69,'4. Base Mestre (845 Produtos)'!$B$4:$B$848,0),0))),1))))))))))))))))))))))))</f>
        <v/>
      </c>
      <c r="L69" s="17" t="str">
        <f aca="false">IF(B69="","",IF(OR(ISNUMBER(SEARCH("KG",B69)),ISNUMBER(SEARCH("GR",B69))),"KG",IF(OR(ISNUMBER(SEARCH("0,200L",B69)),ISNUMBER(SEARCH("0,2L",B69)),ISNUMBER(SEARCH("0,5L",B69)),ISNUMBER(SEARCH("1,5L",B69)),ISNUMBER(SEARCH("1,8L",B69)),ISNUMBER(SEARCH("1.8L",B69)),ISNUMBER(SEARCH("1L",B69)),ISNUMBER(SEARCH("2L",B69)),ISNUMBER(SEARCH("3L",B69)),ISNUMBER(SEARCH("5L",B69)),ISNUMBER(SEARCH("10L",B69)),ISNUMBER(SEARCH("20L",B69)),ISNUMBER(SEARCH("25L",B69)),ISNUMBER(SEARCH("200L",B69)),ISNUMBER(SEARCH("1000L",B69)),ISNUMBER(SEARCH("LT",B69))),"L",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Produtos)'!$E$4:$E$848,IF(ISNUMBER(MATCH(A69,'4. Base Mestre (845 Produtos)'!$A$4:$A$848,0)),MATCH(A69,'4. Base Mestre (845 Produtos)'!$A$4:$A$848,0),IF(ISNUMBER(MATCH(B69,'4. Base Mestre (845 Produtos)'!$B$4:$B$848,0)),MATCH(B69,'4. Base Mestre (845 Produtos)'!$B$4:$B$848,0),0))),C69))))</f>
        <v/>
      </c>
      <c r="M69" s="15" t="str">
        <f aca="false">IF(B69="","",IF(C69=L69,"CONFORME — Unidade ("&amp;C69&amp;") compatível c/ Embalagem","DIVERGENTE — Embalagem em "&amp;L69&amp;", mas cadastrado em "&amp;C69))</f>
        <v/>
      </c>
      <c r="N69" s="15" t="str">
        <f aca="false">IF(B69="","",IF(K69=0,"Granel / Produto Técnico (Sem Embalagem Comercial)",IF(K69&lt;=0.3001,"Faixa 1 TIPI: Até 300g/mL (3808.61.00 / 3105.10.00)",IF(K69&lt;=7.5001,"Faixa 2 TIPI: De 300g a 7,5kg/L (3808.62.90 / 3105.10.00)",IF(K69&lt;=10.0001,"Faixa 3 TIPI: De 7,5kg a 10kg/L (3808.69.90 / 3105.10.00)","Faixa 4 TIPI: Acima de 10kg/L (3808.69.90 / Cap. 31 Geral)")))))</f>
        <v/>
      </c>
      <c r="O69" s="15" t="str">
        <f aca="false">IF(B69="","",IF(IF(ISNUMBER(MATCH(A69,'4.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Produtos)'!$H$4:$H$848,IF(ISNUMBER(MATCH(A69,'4. Base Mestre (845 Produtos)'!$A$4:$A$848,0)),MATCH(A69,'4. Base Mestre (845 Produtos)'!$A$4:$A$848,0),IF(ISNUMBER(MATCH(B69,'4. Base Mestre (845 Produtos)'!$B$4:$B$848,0)),MATCH(B69,'4. Base Mestre (845 Produtos)'!$B$4:$B$848,0),0))),IF(ISNUMBER(MATCH(D69,'3. Dicionario Principios Ativos'!$A$4:$A$245,0)),INDEX('3. Dicionario Principios Ativos'!$A$4:$A$245,MATCH(D69,'3. Dicionario Principios Ativos'!$A$4:$A$245,0)),D69)))</f>
        <v/>
      </c>
      <c r="P69" s="15" t="str">
        <f aca="false">IF(B69="","",IF(D69=O69,"CONFORME — Princípio Ativo Validado","DIVERGENTE — Substituir por: "&amp;O69))</f>
        <v/>
      </c>
      <c r="Q69" s="17" t="str">
        <f aca="false">IF(B69="","",IF(IF(IF(ISNUMBER(MATCH(A69,'4.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Produtos)'!$J$4:$J$848,IF(ISNUMBER(MATCH(A69,'4. Base Mestre (845 Produtos)'!$A$4:$A$848,0)),MATCH(A69,'4. Base Mestre (845 Produtos)'!$A$4:$A$848,0),IF(ISNUMBER(MATCH(B69,'4. Base Mestre (845 Produtos)'!$B$4:$B$848,0)),MATCH(B69,'4. Base Mestre (845 Produtos)'!$B$4:$B$848,0),0)))="SIM",IF(ISNUMBER(MATCH(D69,'3. Dicionario Principios Ativos'!$A$4:$A$245,0)),INDEX('3. Dicionario Principios Ativos'!$C$4:$C$245,MATCH(D69,'3. Dicionario Principios Ativos'!$A$4:$A$245,0))="SIM",FALSE())),IF(AND(K69&gt;0,K69&lt;=0.3001),"3808.61.00",IF(AND(K69&gt;0.3001,K69&lt;=7.5001),"3808.62.90","3808.69.90")),IF(AND(LEFT(IF(IF(ISNUMBER(MATCH(A69,'4.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Produtos)'!$L$4:$L$848,IF(ISNUMBER(MATCH(A69,'4. Base Mestre (845 Produtos)'!$A$4:$A$848,0)),MATCH(A69,'4. Base Mestre (845 Produtos)'!$A$4:$A$848,0),IF(ISNUMBER(MATCH(B69,'4. Base Mestre (845 Produtos)'!$B$4:$B$848,0)),MATCH(B69,'4. Base Mestre (845 Produtos)'!$B$4:$B$848,0),0))),IF(ISNUMBER(MATCH(D69,'3. Dicionario Principios Ativos'!$A$4:$A$245,0)),INDEX('3. Dicionario Principios Ativos'!$D$4:$D$245,MATCH(D69,'3. Dicionario Principios Ativos'!$A$4:$A$245,0)),E69)),2)="31",E69="3105.10.00",K69&gt;0,K69&lt;=10.0001),"3105.10.00",IF(AND(IF(IF(ISNUMBER(MATCH(A69,'4.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Produtos)'!$L$4:$L$848,IF(ISNUMBER(MATCH(A69,'4. Base Mestre (845 Produtos)'!$A$4:$A$848,0)),MATCH(A69,'4. Base Mestre (845 Produtos)'!$A$4:$A$848,0),IF(ISNUMBER(MATCH(B69,'4. Base Mestre (845 Produtos)'!$B$4:$B$848,0)),MATCH(B69,'4. Base Mestre (845 Produtos)'!$B$4:$B$848,0),0))),IF(ISNUMBER(MATCH(D69,'3. Dicionario Principios Ativos'!$A$4:$A$245,0)),INDEX('3. Dicionario Principios Ativos'!$D$4:$D$245,MATCH(D69,'3. Dicionario Principios Ativos'!$A$4:$A$245,0)),E69))="3105.10.00",K69&gt;10.0001),"3105.90.90",IF(IF(ISNUMBER(MATCH(A69,'4.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Produtos)'!$L$4:$L$848,IF(ISNUMBER(MATCH(A69,'4. Base Mestre (845 Produtos)'!$A$4:$A$848,0)),MATCH(A69,'4. Base Mestre (845 Produtos)'!$A$4:$A$848,0),IF(ISNUMBER(MATCH(B69,'4. Base Mestre (845 Produtos)'!$B$4:$B$848,0)),MATCH(B69,'4. Base Mestre (845 Produtos)'!$B$4:$B$848,0),0))),IF(ISNUMBER(MATCH(D69,'3. Dicionario Principios Ativos'!$A$4:$A$245,0)),INDEX('3. Dicionario Principios Ativos'!$D$4:$D$245,MATCH(D69,'3. Dicionario Principios Ativos'!$A$4:$A$245,0)),E69))))))</f>
        <v/>
      </c>
      <c r="R69" s="15" t="str">
        <f aca="false">IF(B69="","",IF(OR(E69=Q69,AND(Q69="3002.49.99",E69="3002.90.00")),"CONFORME — NCM "&amp;E69&amp;" Correta na TIPI","DIVERGENTE — Substituir "&amp;E69&amp;" por "&amp;Q69))</f>
        <v/>
      </c>
      <c r="S69" s="15" t="str">
        <f aca="false">IF(B69="","",IF(AND(E69="3808.61.00",OR(K69&gt;0.3001,K69=0)),"INCOMPATÍVEL — NCM 3808.61.00 exige emb. &lt;= 0,3kg/L (Emb. atual: "&amp;K69&amp;" "&amp;L69&amp;" -&gt; usar "&amp;Q69&amp;")",IF(AND(LEFT(E69,7)="3808.62",OR(K69&lt;=0.3001,K69&gt;7.5001)),"INCOMPATÍVEL — NCM 3808.62 exige emb. de 0,3 a 7,5kg/L (Emb. atual: "&amp;K69&amp;" "&amp;L69&amp;" -&gt; usar "&amp;Q69&amp;")",IF(AND(LEFT(E69,7)="3808.69",K69&gt;0,K69&lt;=7.5001),"INCOMPATÍVEL — NCM 3808.69 exige emb. &gt; 7,5kg/L (Emb. atual: "&amp;K69&amp;" "&amp;L69&amp;" -&gt; usar "&amp;Q69&amp;")",IF(AND(LEFT(Q69,6)="3808.6",LEFT(E69,6)&lt;&gt;"3808.6"),"INCOMPATÍVEL — Molécula Nota Subpos. 2 c/ emb. "&amp;K69&amp;" "&amp;L69&amp;" exige NCM "&amp;Q69,IF(AND(OR(E69="3808.91.19",E69="3808.92.19",E69="3808.93.19",E69="3808.99.19"),K69&gt;=1),"INCOMPATÍVEL — Subitem .19 (Domissanitário) vedado p/ emb. agrícola de "&amp;K69&amp;" "&amp;L69,IF(AND(E69="3105.10.00",K69&gt;10.0001),"INCOMPATÍVEL — NCM 3105.10.00 exige peso bruto &lt;= 10kg (Emb. atual: "&amp;K69&amp;" "&amp;L69&amp;" -&gt; usar 3105.90.90)",IF(AND(LEFT(E69,2)="29",LEFT(Q69,4)="3808",K69&gt;0),"INCOMPATÍVEL — Produto formulado em emb. comercial ("&amp;K69&amp;" "&amp;L69&amp;") vedado no Cap. 29 -&gt; usar "&amp;Q69,"CONFORME — Embalagem ("&amp;K69&amp;" "&amp;L69&amp;") compatível c/ a NCM"))))))))</f>
        <v/>
      </c>
      <c r="T69" s="17" t="str">
        <f aca="false">IF(B69="","",IF(IF(ISNUMBER(MATCH(A69,'4.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Produtos)'!$P$4:$P$848,IF(ISNUMBER(MATCH(A69,'4. Base Mestre (845 Produtos)'!$A$4:$A$848,0)),MATCH(A69,'4. Base Mestre (845 Produtos)'!$A$4:$A$848,0),IF(ISNUMBER(MATCH(B69,'4. Base Mestre (845 Produtos)'!$B$4:$B$848,0)),MATCH(B69,'4. Base Mestre (845 Produtos)'!$B$4:$B$848,0),0))),IF(ISNUMBER(MATCH(D69,'3. Dicionario Principios Ativos'!$A$4:$A$245,0)),INDEX('3. Dicionario Principios Ativos'!$K$4:$K$245,MATCH(D69,'3. Dicionario Principios Ativos'!$A$4:$A$245,0)),"VERIFICAR BULA")))</f>
        <v/>
      </c>
      <c r="U69" s="15" t="str">
        <f aca="false">IF(B69="","",IF(ISNUMBER(SEARCH("ISENTO",T69)),IF(OR(F69=0,F69="0",F69="ISENTO",F69=""),"CONFORME (DISPENSADO) — Isento pelo Ato SDA/MAPA nº 104/2017","INCORRETO — Produto isento de registro MAPA (usar 0 ou ISENTO)"),IF(ISNUMBER(SEARCH("SIPEAGRO",T69)),IF(ISNUMBER(SEARCH("-",F69)),"CONFORME — Registro SIPEAGRO ("&amp;F69&amp;") Preenchido","ADEQUAR P/ SIPEAGRO — Substituir 0 pelo Registro (UF-XXXXX-XXXXX.X)"),IF(ISNUMBER(SEARCH("VINCULAR",T69)),IF(AND(F69&lt;&gt;0,F69&lt;&gt;"0",F69&lt;&gt;""),"INCORRETO / TROCADO — Código "&amp;F69&amp;" pertence a outro produto (Vincular bula da marca)","VINCULAR MARCA — Cadastro de P.A. s/ marca fixa (Vincular registro na NF-e)"),IF(OR(F69=0,F69="0",F69=""),"AUSENTE (ZERO) — Preencher Registro Oficial MAPA nº "&amp;T69,IF(TEXT(F69,"0")=TEXT(T69,"0"),"CONFORME — Registro MAPA nº "&amp;T69&amp;" Validado na Bula","INCORRETO / TROCADO — Substituir "&amp;F69&amp;" pelo Registro Oficial nº "&amp;T69))))))</f>
        <v/>
      </c>
      <c r="V69" s="15" t="str">
        <f aca="false">IF(B69="","",IF(IF(ISNUMBER(MATCH(A69,'4.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Produtos)'!$S$4:$S$848,IF(ISNUMBER(MATCH(A69,'4. Base Mestre (845 Produtos)'!$A$4:$A$848,0)),MATCH(A69,'4. Base Mestre (845 Produtos)'!$A$4:$A$848,0),IF(ISNUMBER(MATCH(B69,'4. Base Mestre (845 Produtos)'!$B$4:$B$848,0)),MATCH(B69,'4. Base Mestre (845 Produtos)'!$B$4:$B$848,0),0))),IF(ISNUMBER(MATCH(D69,'3. Dicionario Principios Ativos'!$A$4:$A$245,0)),INDEX('3. Dicionario Principios Ativos'!$L$4:$L$245,MATCH(D69,'3. Dicionario Principios Ativos'!$A$4:$A$245,0)),"Verificar NCM")))</f>
        <v/>
      </c>
      <c r="W69" s="15" t="str">
        <f aca="false">IF(B69="","",IF(IF(ISNUMBER(MATCH(A69,'4. Base Mestre (845 Produtos)'!$A$4:$A$848,0)),MATCH(A69,'4. Base Mestre (845 Produtos)'!$A$4:$A$848,0),IF(ISNUMBER(MATCH(B69,'4. Base Mestre (845 Produtos)'!$B$4:$B$848,0)),MATCH(B69,'4. Base Mestre (845 Produtos)'!$B$4:$B$848,0),0))&gt;0,INDEX('4. Base Mestre (845 Produtos)'!$T$4:$T$848,IF(ISNUMBER(MATCH(A69,'4. Base Mestre (845 Produtos)'!$A$4:$A$848,0)),MATCH(A69,'4. Base Mestre (845 Produtos)'!$A$4:$A$848,0),IF(ISNUMBER(MATCH(B69,'4. Base Mestre (845 Produtos)'!$B$4:$B$848,0)),MATCH(B69,'4. Base Mestre (845 Produtos)'!$B$4:$B$848,0),0))),IF(ISNUMBER(MATCH(D69,'3. Dicionario Principios Ativos'!$A$4:$A$245,0)),INDEX('3. Dicionario Principios Ativos'!$M$4:$M$245,MATCH(D69,'3. Dicionario Principios Ativos'!$A$4:$A$245,0)),"Verificar CST")))</f>
        <v/>
      </c>
      <c r="X69" s="15" t="str">
        <f aca="false">IF(B69="","",IF(AND(LEFT(M69,8)="CONFORME",LEFT(P69,8)="CONFORME",LEFT(R69,8)="CONFORME",LEFT(S69,8)="CONFORME",LEFT(U69,8)="CONFORME"),"CADASTRO 100% CONFORME — LIBERADO P/ ERP",IF(AND(LEFT(M69,8)="CONFORME",LEFT(P69,8)="CONFORME",LEFT(R69,8)="CONFORME",LEFT(S69,8)="CONFORME",OR(LEFT(U69,7)="ADEQUAR",LEFT(U69,8)="VINCULAR")),"FISCAL E EMBALAGEM OK — ADEQUAR CAMPO MAPA (SIPEAGRO / MARCA)","BLOQUEADO — CORRIGIR DIVERGÊNCIAS APONTADAS ANTES DE LIBERAR NO ERP")))</f>
        <v/>
      </c>
    </row>
    <row r="70" customFormat="false" ht="19.5" hidden="false" customHeight="true" outlineLevel="0" collapsed="false">
      <c r="A70" s="12"/>
      <c r="B70" s="13"/>
      <c r="C70" s="12"/>
      <c r="D70" s="13"/>
      <c r="E70" s="12"/>
      <c r="F70" s="12"/>
      <c r="G70" s="14"/>
      <c r="H70" s="13" t="s">
        <v>166</v>
      </c>
      <c r="I70" s="20" t="str">
        <f aca="false">IF(B70="","",IF(ISNUMBER(MATCH(A70,'4. Base Mestre (845 Produtos)'!$A$4:$A$848,0)),"Localizado por Código ("&amp;A70&amp;") na Base Mestre",IF(ISNUMBER(MATCH(B70,'4. Base Mestre (845 Produtos)'!$B$4:$B$848,0)),"Localizado por Descrição na Base Mestre",IF(ISNUMBER(MATCH(D70,'3. Dicionario Principios Ativos'!$A$4:$A$245,0)),"Produto Novo — Validado pelo Dicionário de P.A.","Não Localizado — Revisar Código/P.A."))))</f>
        <v/>
      </c>
      <c r="J70" s="20" t="str">
        <f aca="false">IF(B70="","",IF(IF(ISNUMBER(MATCH(A70,'4.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Produtos)'!$I$4:$I$848,IF(ISNUMBER(MATCH(A70,'4. Base Mestre (845 Produtos)'!$A$4:$A$848,0)),MATCH(A70,'4. Base Mestre (845 Produtos)'!$A$4:$A$848,0),IF(ISNUMBER(MATCH(B70,'4. Base Mestre (845 Produtos)'!$B$4:$B$848,0)),MATCH(B70,'4. Base Mestre (845 Produtos)'!$B$4:$B$848,0),0))),IF(ISNUMBER(MATCH(D70,'3. Dicionario Principios Ativos'!$A$4:$A$245,0)),INDEX('3. Dicionario Principios Ativos'!$B$4:$B$245,MATCH(D70,'3. Dicionario Principios Ativos'!$A$4:$A$245,0)),"Revisar Classificação")))</f>
        <v/>
      </c>
      <c r="K70" s="21" t="str">
        <f aca="false">IF(B70="","",IF(G70&lt;&gt;"",G70,IF(OR(ISNUMBER(SEARCH("PRINCIPIO ATIVO",B70)),ISNUMBER(SEARCH("PRINC. ATIVO",B70)),ISNUMBER(SEARCH("PR. ATIVO",B70)),ISNUMBER(SEARCH("PR.AT.",B70)),ISNUMBER(SEARCH("(P.A",B70)),ISNUMBER(SEARCH("(P. A",B70))),0,IF(OR(ISNUMBER(SEARCH("0,100KG",B70)),ISNUMBER(SEARCH("0,1KG",B70)),ISNUMBER(SEARCH("0,100L",B70))),0.1,IF(OR(ISNUMBER(SEARCH("0,200L",B70)),ISNUMBER(SEARCH("0,2L",B70)),ISNUMBER(SEARCH("0,200KG",B70)),ISNUMBER(SEARCH("0,2KG",B70))),0.2,IF(OR(ISNUMBER(SEARCH("0,240KG",B70)),ISNUMBER(SEARCH("0,250L",B70))),0.24,IF(OR(ISNUMBER(SEARCH("0,300KG",B70)),ISNUMBER(SEARCH("0,3KG",B70))),0.3,IF(OR(ISNUMBER(SEARCH("0,500L",B70)),ISNUMBER(SEARCH("0,5L",B70)),ISNUMBER(SEARCH("0,5KG",B70))),0.5,IF(ISNUMBER(SEARCH("0,8KG",B70)),0.8,IF(OR(ISNUMBER(SEARCH("1,5L",B70)),ISNUMBER(SEARCH("1,5KG",B70))),1.5,IF(OR(ISNUMBER(SEARCH("1,75L",B70)),ISNUMBER(SEARCH("1,8L",B70)),ISNUMBER(SEARCH("1.8L",B70))),1.8,IF(ISNUMBER(SEARCH("4,5KG",B70)),4.5,IF(ISNUMBER(SEARCH("7,5KG",B70)),7.5,IF(OR(ISNUMBER(SEARCH("1000L",B70)),ISNUMBER(SEARCH("1000KG",B70)),ISNUMBER(SEARCH("1.000KG",B70)),ISNUMBER(SEARCH("1.000L",B70)),ISNUMBER(SEARCH("1000 KG",B70)),ISNUMBER(SEARCH("GRANEL",B70)),ISNUMBER(SEARCH("(TON)",B70))),1000,IF(ISNUMBER(SEARCH("200L",B70)),200,IF(OR(ISNUMBER(SEARCH("25KG",B70)),ISNUMBER(SEARCH("25L",B70))),25,IF(OR(ISNUMBER(SEARCH("20L",B70)),ISNUMBER(SEARCH("20KG",B70))),20,IF(ISNUMBER(SEARCH("15KG",B70)),15,IF(OR(ISNUMBER(SEARCH("10L",B70)),ISNUMBER(SEARCH("10KG",B70))),10,IF(OR(ISNUMBER(SEARCH("5L",B70)),ISNUMBER(SEARCH("5KG",B70)),ISNUMBER(SEARCH("5LT",B70))),5,IF(OR(ISNUMBER(SEARCH("3KG",B70)),ISNUMBER(SEARCH("3L",B70))),3,IF(OR(ISNUMBER(SEARCH("2L",B70)),ISNUMBER(SEARCH("2KG",B70))),2,IF(OR(ISNUMBER(SEARCH("1L",B70)),ISNUMBER(SEARCH("1KG",B70)),ISNUMBER(SEARCH("1LT",B70))),1,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Produtos)'!$D$4:$D$848,IF(ISNUMBER(MATCH(A70,'4. Base Mestre (845 Produtos)'!$A$4:$A$848,0)),MATCH(A70,'4. Base Mestre (845 Produtos)'!$A$4:$A$848,0),IF(ISNUMBER(MATCH(B70,'4. Base Mestre (845 Produtos)'!$B$4:$B$848,0)),MATCH(B70,'4. Base Mestre (845 Produtos)'!$B$4:$B$848,0),0))),1))))))))))))))))))))))))</f>
        <v/>
      </c>
      <c r="L70" s="22" t="str">
        <f aca="false">IF(B70="","",IF(OR(ISNUMBER(SEARCH("KG",B70)),ISNUMBER(SEARCH("GR",B70))),"KG",IF(OR(ISNUMBER(SEARCH("0,200L",B70)),ISNUMBER(SEARCH("0,2L",B70)),ISNUMBER(SEARCH("0,5L",B70)),ISNUMBER(SEARCH("1,5L",B70)),ISNUMBER(SEARCH("1,8L",B70)),ISNUMBER(SEARCH("1.8L",B70)),ISNUMBER(SEARCH("1L",B70)),ISNUMBER(SEARCH("2L",B70)),ISNUMBER(SEARCH("3L",B70)),ISNUMBER(SEARCH("5L",B70)),ISNUMBER(SEARCH("10L",B70)),ISNUMBER(SEARCH("20L",B70)),ISNUMBER(SEARCH("25L",B70)),ISNUMBER(SEARCH("200L",B70)),ISNUMBER(SEARCH("1000L",B70)),ISNUMBER(SEARCH("LT",B70))),"L",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Produtos)'!$E$4:$E$848,IF(ISNUMBER(MATCH(A70,'4. Base Mestre (845 Produtos)'!$A$4:$A$848,0)),MATCH(A70,'4. Base Mestre (845 Produtos)'!$A$4:$A$848,0),IF(ISNUMBER(MATCH(B70,'4. Base Mestre (845 Produtos)'!$B$4:$B$848,0)),MATCH(B70,'4. Base Mestre (845 Produtos)'!$B$4:$B$848,0),0))),C70))))</f>
        <v/>
      </c>
      <c r="M70" s="20" t="str">
        <f aca="false">IF(B70="","",IF(C70=L70,"CONFORME — Unidade ("&amp;C70&amp;") compatível c/ Embalagem","DIVERGENTE — Embalagem em "&amp;L70&amp;", mas cadastrado em "&amp;C70))</f>
        <v/>
      </c>
      <c r="N70" s="20" t="str">
        <f aca="false">IF(B70="","",IF(K70=0,"Granel / Produto Técnico (Sem Embalagem Comercial)",IF(K70&lt;=0.3001,"Faixa 1 TIPI: Até 300g/mL (3808.61.00 / 3105.10.00)",IF(K70&lt;=7.5001,"Faixa 2 TIPI: De 300g a 7,5kg/L (3808.62.90 / 3105.10.00)",IF(K70&lt;=10.0001,"Faixa 3 TIPI: De 7,5kg a 10kg/L (3808.69.90 / 3105.10.00)","Faixa 4 TIPI: Acima de 10kg/L (3808.69.90 / Cap. 31 Geral)")))))</f>
        <v/>
      </c>
      <c r="O70" s="20" t="str">
        <f aca="false">IF(B70="","",IF(IF(ISNUMBER(MATCH(A70,'4.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Produtos)'!$H$4:$H$848,IF(ISNUMBER(MATCH(A70,'4. Base Mestre (845 Produtos)'!$A$4:$A$848,0)),MATCH(A70,'4. Base Mestre (845 Produtos)'!$A$4:$A$848,0),IF(ISNUMBER(MATCH(B70,'4. Base Mestre (845 Produtos)'!$B$4:$B$848,0)),MATCH(B70,'4. Base Mestre (845 Produtos)'!$B$4:$B$848,0),0))),IF(ISNUMBER(MATCH(D70,'3. Dicionario Principios Ativos'!$A$4:$A$245,0)),INDEX('3. Dicionario Principios Ativos'!$A$4:$A$245,MATCH(D70,'3. Dicionario Principios Ativos'!$A$4:$A$245,0)),D70)))</f>
        <v/>
      </c>
      <c r="P70" s="20" t="str">
        <f aca="false">IF(B70="","",IF(D70=O70,"CONFORME — Princípio Ativo Validado","DIVERGENTE — Substituir por: "&amp;O70))</f>
        <v/>
      </c>
      <c r="Q70" s="22" t="str">
        <f aca="false">IF(B70="","",IF(IF(IF(ISNUMBER(MATCH(A70,'4.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Produtos)'!$J$4:$J$848,IF(ISNUMBER(MATCH(A70,'4. Base Mestre (845 Produtos)'!$A$4:$A$848,0)),MATCH(A70,'4. Base Mestre (845 Produtos)'!$A$4:$A$848,0),IF(ISNUMBER(MATCH(B70,'4. Base Mestre (845 Produtos)'!$B$4:$B$848,0)),MATCH(B70,'4. Base Mestre (845 Produtos)'!$B$4:$B$848,0),0)))="SIM",IF(ISNUMBER(MATCH(D70,'3. Dicionario Principios Ativos'!$A$4:$A$245,0)),INDEX('3. Dicionario Principios Ativos'!$C$4:$C$245,MATCH(D70,'3. Dicionario Principios Ativos'!$A$4:$A$245,0))="SIM",FALSE())),IF(AND(K70&gt;0,K70&lt;=0.3001),"3808.61.00",IF(AND(K70&gt;0.3001,K70&lt;=7.5001),"3808.62.90","3808.69.90")),IF(AND(LEFT(IF(IF(ISNUMBER(MATCH(A70,'4.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Produtos)'!$L$4:$L$848,IF(ISNUMBER(MATCH(A70,'4. Base Mestre (845 Produtos)'!$A$4:$A$848,0)),MATCH(A70,'4. Base Mestre (845 Produtos)'!$A$4:$A$848,0),IF(ISNUMBER(MATCH(B70,'4. Base Mestre (845 Produtos)'!$B$4:$B$848,0)),MATCH(B70,'4. Base Mestre (845 Produtos)'!$B$4:$B$848,0),0))),IF(ISNUMBER(MATCH(D70,'3. Dicionario Principios Ativos'!$A$4:$A$245,0)),INDEX('3. Dicionario Principios Ativos'!$D$4:$D$245,MATCH(D70,'3. Dicionario Principios Ativos'!$A$4:$A$245,0)),E70)),2)="31",E70="3105.10.00",K70&gt;0,K70&lt;=10.0001),"3105.10.00",IF(AND(IF(IF(ISNUMBER(MATCH(A70,'4.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Produtos)'!$L$4:$L$848,IF(ISNUMBER(MATCH(A70,'4. Base Mestre (845 Produtos)'!$A$4:$A$848,0)),MATCH(A70,'4. Base Mestre (845 Produtos)'!$A$4:$A$848,0),IF(ISNUMBER(MATCH(B70,'4. Base Mestre (845 Produtos)'!$B$4:$B$848,0)),MATCH(B70,'4. Base Mestre (845 Produtos)'!$B$4:$B$848,0),0))),IF(ISNUMBER(MATCH(D70,'3. Dicionario Principios Ativos'!$A$4:$A$245,0)),INDEX('3. Dicionario Principios Ativos'!$D$4:$D$245,MATCH(D70,'3. Dicionario Principios Ativos'!$A$4:$A$245,0)),E70))="3105.10.00",K70&gt;10.0001),"3105.90.90",IF(IF(ISNUMBER(MATCH(A70,'4.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Produtos)'!$L$4:$L$848,IF(ISNUMBER(MATCH(A70,'4. Base Mestre (845 Produtos)'!$A$4:$A$848,0)),MATCH(A70,'4. Base Mestre (845 Produtos)'!$A$4:$A$848,0),IF(ISNUMBER(MATCH(B70,'4. Base Mestre (845 Produtos)'!$B$4:$B$848,0)),MATCH(B70,'4. Base Mestre (845 Produtos)'!$B$4:$B$848,0),0))),IF(ISNUMBER(MATCH(D70,'3. Dicionario Principios Ativos'!$A$4:$A$245,0)),INDEX('3. Dicionario Principios Ativos'!$D$4:$D$245,MATCH(D70,'3. Dicionario Principios Ativos'!$A$4:$A$245,0)),E70))))))</f>
        <v/>
      </c>
      <c r="R70" s="20" t="str">
        <f aca="false">IF(B70="","",IF(OR(E70=Q70,AND(Q70="3002.49.99",E70="3002.90.00")),"CONFORME — NCM "&amp;E70&amp;" Correta na TIPI","DIVERGENTE — Substituir "&amp;E70&amp;" por "&amp;Q70))</f>
        <v/>
      </c>
      <c r="S70" s="20" t="str">
        <f aca="false">IF(B70="","",IF(AND(E70="3808.61.00",OR(K70&gt;0.3001,K70=0)),"INCOMPATÍVEL — NCM 3808.61.00 exige emb. &lt;= 0,3kg/L (Emb. atual: "&amp;K70&amp;" "&amp;L70&amp;" -&gt; usar "&amp;Q70&amp;")",IF(AND(LEFT(E70,7)="3808.62",OR(K70&lt;=0.3001,K70&gt;7.5001)),"INCOMPATÍVEL — NCM 3808.62 exige emb. de 0,3 a 7,5kg/L (Emb. atual: "&amp;K70&amp;" "&amp;L70&amp;" -&gt; usar "&amp;Q70&amp;")",IF(AND(LEFT(E70,7)="3808.69",K70&gt;0,K70&lt;=7.5001),"INCOMPATÍVEL — NCM 3808.69 exige emb. &gt; 7,5kg/L (Emb. atual: "&amp;K70&amp;" "&amp;L70&amp;" -&gt; usar "&amp;Q70&amp;")",IF(AND(LEFT(Q70,6)="3808.6",LEFT(E70,6)&lt;&gt;"3808.6"),"INCOMPATÍVEL — Molécula Nota Subpos. 2 c/ emb. "&amp;K70&amp;" "&amp;L70&amp;" exige NCM "&amp;Q70,IF(AND(OR(E70="3808.91.19",E70="3808.92.19",E70="3808.93.19",E70="3808.99.19"),K70&gt;=1),"INCOMPATÍVEL — Subitem .19 (Domissanitário) vedado p/ emb. agrícola de "&amp;K70&amp;" "&amp;L70,IF(AND(E70="3105.10.00",K70&gt;10.0001),"INCOMPATÍVEL — NCM 3105.10.00 exige peso bruto &lt;= 10kg (Emb. atual: "&amp;K70&amp;" "&amp;L70&amp;" -&gt; usar 3105.90.90)",IF(AND(LEFT(E70,2)="29",LEFT(Q70,4)="3808",K70&gt;0),"INCOMPATÍVEL — Produto formulado em emb. comercial ("&amp;K70&amp;" "&amp;L70&amp;") vedado no Cap. 29 -&gt; usar "&amp;Q70,"CONFORME — Embalagem ("&amp;K70&amp;" "&amp;L70&amp;") compatível c/ a NCM"))))))))</f>
        <v/>
      </c>
      <c r="T70" s="22" t="str">
        <f aca="false">IF(B70="","",IF(IF(ISNUMBER(MATCH(A70,'4.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Produtos)'!$P$4:$P$848,IF(ISNUMBER(MATCH(A70,'4. Base Mestre (845 Produtos)'!$A$4:$A$848,0)),MATCH(A70,'4. Base Mestre (845 Produtos)'!$A$4:$A$848,0),IF(ISNUMBER(MATCH(B70,'4. Base Mestre (845 Produtos)'!$B$4:$B$848,0)),MATCH(B70,'4. Base Mestre (845 Produtos)'!$B$4:$B$848,0),0))),IF(ISNUMBER(MATCH(D70,'3. Dicionario Principios Ativos'!$A$4:$A$245,0)),INDEX('3. Dicionario Principios Ativos'!$K$4:$K$245,MATCH(D70,'3. Dicionario Principios Ativos'!$A$4:$A$245,0)),"VERIFICAR BULA")))</f>
        <v/>
      </c>
      <c r="U70" s="20" t="str">
        <f aca="false">IF(B70="","",IF(ISNUMBER(SEARCH("ISENTO",T70)),IF(OR(F70=0,F70="0",F70="ISENTO",F70=""),"CONFORME (DISPENSADO) — Isento pelo Ato SDA/MAPA nº 104/2017","INCORRETO — Produto isento de registro MAPA (usar 0 ou ISENTO)"),IF(ISNUMBER(SEARCH("SIPEAGRO",T70)),IF(ISNUMBER(SEARCH("-",F70)),"CONFORME — Registro SIPEAGRO ("&amp;F70&amp;") Preenchido","ADEQUAR P/ SIPEAGRO — Substituir 0 pelo Registro (UF-XXXXX-XXXXX.X)"),IF(ISNUMBER(SEARCH("VINCULAR",T70)),IF(AND(F70&lt;&gt;0,F70&lt;&gt;"0",F70&lt;&gt;""),"INCORRETO / TROCADO — Código "&amp;F70&amp;" pertence a outro produto (Vincular bula da marca)","VINCULAR MARCA — Cadastro de P.A. s/ marca fixa (Vincular registro na NF-e)"),IF(OR(F70=0,F70="0",F70=""),"AUSENTE (ZERO) — Preencher Registro Oficial MAPA nº "&amp;T70,IF(TEXT(F70,"0")=TEXT(T70,"0"),"CONFORME — Registro MAPA nº "&amp;T70&amp;" Validado na Bula","INCORRETO / TROCADO — Substituir "&amp;F70&amp;" pelo Registro Oficial nº "&amp;T70))))))</f>
        <v/>
      </c>
      <c r="V70" s="20" t="str">
        <f aca="false">IF(B70="","",IF(IF(ISNUMBER(MATCH(A70,'4.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Produtos)'!$S$4:$S$848,IF(ISNUMBER(MATCH(A70,'4. Base Mestre (845 Produtos)'!$A$4:$A$848,0)),MATCH(A70,'4. Base Mestre (845 Produtos)'!$A$4:$A$848,0),IF(ISNUMBER(MATCH(B70,'4. Base Mestre (845 Produtos)'!$B$4:$B$848,0)),MATCH(B70,'4. Base Mestre (845 Produtos)'!$B$4:$B$848,0),0))),IF(ISNUMBER(MATCH(D70,'3. Dicionario Principios Ativos'!$A$4:$A$245,0)),INDEX('3. Dicionario Principios Ativos'!$L$4:$L$245,MATCH(D70,'3. Dicionario Principios Ativos'!$A$4:$A$245,0)),"Verificar NCM")))</f>
        <v/>
      </c>
      <c r="W70" s="20" t="str">
        <f aca="false">IF(B70="","",IF(IF(ISNUMBER(MATCH(A70,'4. Base Mestre (845 Produtos)'!$A$4:$A$848,0)),MATCH(A70,'4. Base Mestre (845 Produtos)'!$A$4:$A$848,0),IF(ISNUMBER(MATCH(B70,'4. Base Mestre (845 Produtos)'!$B$4:$B$848,0)),MATCH(B70,'4. Base Mestre (845 Produtos)'!$B$4:$B$848,0),0))&gt;0,INDEX('4. Base Mestre (845 Produtos)'!$T$4:$T$848,IF(ISNUMBER(MATCH(A70,'4. Base Mestre (845 Produtos)'!$A$4:$A$848,0)),MATCH(A70,'4. Base Mestre (845 Produtos)'!$A$4:$A$848,0),IF(ISNUMBER(MATCH(B70,'4. Base Mestre (845 Produtos)'!$B$4:$B$848,0)),MATCH(B70,'4. Base Mestre (845 Produtos)'!$B$4:$B$848,0),0))),IF(ISNUMBER(MATCH(D70,'3. Dicionario Principios Ativos'!$A$4:$A$245,0)),INDEX('3. Dicionario Principios Ativos'!$M$4:$M$245,MATCH(D70,'3. Dicionario Principios Ativos'!$A$4:$A$245,0)),"Verificar CST")))</f>
        <v/>
      </c>
      <c r="X70" s="20" t="str">
        <f aca="false">IF(B70="","",IF(AND(LEFT(M70,8)="CONFORME",LEFT(P70,8)="CONFORME",LEFT(R70,8)="CONFORME",LEFT(S70,8)="CONFORME",LEFT(U70,8)="CONFORME"),"CADASTRO 100% CONFORME — LIBERADO P/ ERP",IF(AND(LEFT(M70,8)="CONFORME",LEFT(P70,8)="CONFORME",LEFT(R70,8)="CONFORME",LEFT(S70,8)="CONFORME",OR(LEFT(U70,7)="ADEQUAR",LEFT(U70,8)="VINCULAR")),"FISCAL E EMBALAGEM OK — ADEQUAR CAMPO MAPA (SIPEAGRO / MARCA)","BLOQUEADO — CORRIGIR DIVERGÊNCIAS APONTADAS ANTES DE LIBERAR NO ERP")))</f>
        <v/>
      </c>
    </row>
    <row r="71" customFormat="false" ht="19.5" hidden="false" customHeight="true" outlineLevel="0" collapsed="false">
      <c r="A71" s="12"/>
      <c r="B71" s="13"/>
      <c r="C71" s="12"/>
      <c r="D71" s="13"/>
      <c r="E71" s="12"/>
      <c r="F71" s="12"/>
      <c r="G71" s="14"/>
      <c r="H71" s="13" t="s">
        <v>166</v>
      </c>
      <c r="I71" s="15" t="str">
        <f aca="false">IF(B71="","",IF(ISNUMBER(MATCH(A71,'4. Base Mestre (845 Produtos)'!$A$4:$A$848,0)),"Localizado por Código ("&amp;A71&amp;") na Base Mestre",IF(ISNUMBER(MATCH(B71,'4. Base Mestre (845 Produtos)'!$B$4:$B$848,0)),"Localizado por Descrição na Base Mestre",IF(ISNUMBER(MATCH(D71,'3. Dicionario Principios Ativos'!$A$4:$A$245,0)),"Produto Novo — Validado pelo Dicionário de P.A.","Não Localizado — Revisar Código/P.A."))))</f>
        <v/>
      </c>
      <c r="J71" s="15" t="str">
        <f aca="false">IF(B71="","",IF(IF(ISNUMBER(MATCH(A71,'4.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Produtos)'!$I$4:$I$848,IF(ISNUMBER(MATCH(A71,'4. Base Mestre (845 Produtos)'!$A$4:$A$848,0)),MATCH(A71,'4. Base Mestre (845 Produtos)'!$A$4:$A$848,0),IF(ISNUMBER(MATCH(B71,'4. Base Mestre (845 Produtos)'!$B$4:$B$848,0)),MATCH(B71,'4. Base Mestre (845 Produtos)'!$B$4:$B$848,0),0))),IF(ISNUMBER(MATCH(D71,'3. Dicionario Principios Ativos'!$A$4:$A$245,0)),INDEX('3. Dicionario Principios Ativos'!$B$4:$B$245,MATCH(D71,'3. Dicionario Principios Ativos'!$A$4:$A$245,0)),"Revisar Classificação")))</f>
        <v/>
      </c>
      <c r="K71" s="16" t="str">
        <f aca="false">IF(B71="","",IF(G71&lt;&gt;"",G71,IF(OR(ISNUMBER(SEARCH("PRINCIPIO ATIVO",B71)),ISNUMBER(SEARCH("PRINC. ATIVO",B71)),ISNUMBER(SEARCH("PR. ATIVO",B71)),ISNUMBER(SEARCH("PR.AT.",B71)),ISNUMBER(SEARCH("(P.A",B71)),ISNUMBER(SEARCH("(P. A",B71))),0,IF(OR(ISNUMBER(SEARCH("0,100KG",B71)),ISNUMBER(SEARCH("0,1KG",B71)),ISNUMBER(SEARCH("0,100L",B71))),0.1,IF(OR(ISNUMBER(SEARCH("0,200L",B71)),ISNUMBER(SEARCH("0,2L",B71)),ISNUMBER(SEARCH("0,200KG",B71)),ISNUMBER(SEARCH("0,2KG",B71))),0.2,IF(OR(ISNUMBER(SEARCH("0,240KG",B71)),ISNUMBER(SEARCH("0,250L",B71))),0.24,IF(OR(ISNUMBER(SEARCH("0,300KG",B71)),ISNUMBER(SEARCH("0,3KG",B71))),0.3,IF(OR(ISNUMBER(SEARCH("0,500L",B71)),ISNUMBER(SEARCH("0,5L",B71)),ISNUMBER(SEARCH("0,5KG",B71))),0.5,IF(ISNUMBER(SEARCH("0,8KG",B71)),0.8,IF(OR(ISNUMBER(SEARCH("1,5L",B71)),ISNUMBER(SEARCH("1,5KG",B71))),1.5,IF(OR(ISNUMBER(SEARCH("1,75L",B71)),ISNUMBER(SEARCH("1,8L",B71)),ISNUMBER(SEARCH("1.8L",B71))),1.8,IF(ISNUMBER(SEARCH("4,5KG",B71)),4.5,IF(ISNUMBER(SEARCH("7,5KG",B71)),7.5,IF(OR(ISNUMBER(SEARCH("1000L",B71)),ISNUMBER(SEARCH("1000KG",B71)),ISNUMBER(SEARCH("1.000KG",B71)),ISNUMBER(SEARCH("1.000L",B71)),ISNUMBER(SEARCH("1000 KG",B71)),ISNUMBER(SEARCH("GRANEL",B71)),ISNUMBER(SEARCH("(TON)",B71))),1000,IF(ISNUMBER(SEARCH("200L",B71)),200,IF(OR(ISNUMBER(SEARCH("25KG",B71)),ISNUMBER(SEARCH("25L",B71))),25,IF(OR(ISNUMBER(SEARCH("20L",B71)),ISNUMBER(SEARCH("20KG",B71))),20,IF(ISNUMBER(SEARCH("15KG",B71)),15,IF(OR(ISNUMBER(SEARCH("10L",B71)),ISNUMBER(SEARCH("10KG",B71))),10,IF(OR(ISNUMBER(SEARCH("5L",B71)),ISNUMBER(SEARCH("5KG",B71)),ISNUMBER(SEARCH("5LT",B71))),5,IF(OR(ISNUMBER(SEARCH("3KG",B71)),ISNUMBER(SEARCH("3L",B71))),3,IF(OR(ISNUMBER(SEARCH("2L",B71)),ISNUMBER(SEARCH("2KG",B71))),2,IF(OR(ISNUMBER(SEARCH("1L",B71)),ISNUMBER(SEARCH("1KG",B71)),ISNUMBER(SEARCH("1LT",B71))),1,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Produtos)'!$D$4:$D$848,IF(ISNUMBER(MATCH(A71,'4. Base Mestre (845 Produtos)'!$A$4:$A$848,0)),MATCH(A71,'4. Base Mestre (845 Produtos)'!$A$4:$A$848,0),IF(ISNUMBER(MATCH(B71,'4. Base Mestre (845 Produtos)'!$B$4:$B$848,0)),MATCH(B71,'4. Base Mestre (845 Produtos)'!$B$4:$B$848,0),0))),1))))))))))))))))))))))))</f>
        <v/>
      </c>
      <c r="L71" s="17" t="str">
        <f aca="false">IF(B71="","",IF(OR(ISNUMBER(SEARCH("KG",B71)),ISNUMBER(SEARCH("GR",B71))),"KG",IF(OR(ISNUMBER(SEARCH("0,200L",B71)),ISNUMBER(SEARCH("0,2L",B71)),ISNUMBER(SEARCH("0,5L",B71)),ISNUMBER(SEARCH("1,5L",B71)),ISNUMBER(SEARCH("1,8L",B71)),ISNUMBER(SEARCH("1.8L",B71)),ISNUMBER(SEARCH("1L",B71)),ISNUMBER(SEARCH("2L",B71)),ISNUMBER(SEARCH("3L",B71)),ISNUMBER(SEARCH("5L",B71)),ISNUMBER(SEARCH("10L",B71)),ISNUMBER(SEARCH("20L",B71)),ISNUMBER(SEARCH("25L",B71)),ISNUMBER(SEARCH("200L",B71)),ISNUMBER(SEARCH("1000L",B71)),ISNUMBER(SEARCH("LT",B71))),"L",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Produtos)'!$E$4:$E$848,IF(ISNUMBER(MATCH(A71,'4. Base Mestre (845 Produtos)'!$A$4:$A$848,0)),MATCH(A71,'4. Base Mestre (845 Produtos)'!$A$4:$A$848,0),IF(ISNUMBER(MATCH(B71,'4. Base Mestre (845 Produtos)'!$B$4:$B$848,0)),MATCH(B71,'4. Base Mestre (845 Produtos)'!$B$4:$B$848,0),0))),C71))))</f>
        <v/>
      </c>
      <c r="M71" s="15" t="str">
        <f aca="false">IF(B71="","",IF(C71=L71,"CONFORME — Unidade ("&amp;C71&amp;") compatível c/ Embalagem","DIVERGENTE — Embalagem em "&amp;L71&amp;", mas cadastrado em "&amp;C71))</f>
        <v/>
      </c>
      <c r="N71" s="15" t="str">
        <f aca="false">IF(B71="","",IF(K71=0,"Granel / Produto Técnico (Sem Embalagem Comercial)",IF(K71&lt;=0.3001,"Faixa 1 TIPI: Até 300g/mL (3808.61.00 / 3105.10.00)",IF(K71&lt;=7.5001,"Faixa 2 TIPI: De 300g a 7,5kg/L (3808.62.90 / 3105.10.00)",IF(K71&lt;=10.0001,"Faixa 3 TIPI: De 7,5kg a 10kg/L (3808.69.90 / 3105.10.00)","Faixa 4 TIPI: Acima de 10kg/L (3808.69.90 / Cap. 31 Geral)")))))</f>
        <v/>
      </c>
      <c r="O71" s="15" t="str">
        <f aca="false">IF(B71="","",IF(IF(ISNUMBER(MATCH(A71,'4.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Produtos)'!$H$4:$H$848,IF(ISNUMBER(MATCH(A71,'4. Base Mestre (845 Produtos)'!$A$4:$A$848,0)),MATCH(A71,'4. Base Mestre (845 Produtos)'!$A$4:$A$848,0),IF(ISNUMBER(MATCH(B71,'4. Base Mestre (845 Produtos)'!$B$4:$B$848,0)),MATCH(B71,'4. Base Mestre (845 Produtos)'!$B$4:$B$848,0),0))),IF(ISNUMBER(MATCH(D71,'3. Dicionario Principios Ativos'!$A$4:$A$245,0)),INDEX('3. Dicionario Principios Ativos'!$A$4:$A$245,MATCH(D71,'3. Dicionario Principios Ativos'!$A$4:$A$245,0)),D71)))</f>
        <v/>
      </c>
      <c r="P71" s="15" t="str">
        <f aca="false">IF(B71="","",IF(D71=O71,"CONFORME — Princípio Ativo Validado","DIVERGENTE — Substituir por: "&amp;O71))</f>
        <v/>
      </c>
      <c r="Q71" s="17" t="str">
        <f aca="false">IF(B71="","",IF(IF(IF(ISNUMBER(MATCH(A71,'4.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Produtos)'!$J$4:$J$848,IF(ISNUMBER(MATCH(A71,'4. Base Mestre (845 Produtos)'!$A$4:$A$848,0)),MATCH(A71,'4. Base Mestre (845 Produtos)'!$A$4:$A$848,0),IF(ISNUMBER(MATCH(B71,'4. Base Mestre (845 Produtos)'!$B$4:$B$848,0)),MATCH(B71,'4. Base Mestre (845 Produtos)'!$B$4:$B$848,0),0)))="SIM",IF(ISNUMBER(MATCH(D71,'3. Dicionario Principios Ativos'!$A$4:$A$245,0)),INDEX('3. Dicionario Principios Ativos'!$C$4:$C$245,MATCH(D71,'3. Dicionario Principios Ativos'!$A$4:$A$245,0))="SIM",FALSE())),IF(AND(K71&gt;0,K71&lt;=0.3001),"3808.61.00",IF(AND(K71&gt;0.3001,K71&lt;=7.5001),"3808.62.90","3808.69.90")),IF(AND(LEFT(IF(IF(ISNUMBER(MATCH(A71,'4.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Produtos)'!$L$4:$L$848,IF(ISNUMBER(MATCH(A71,'4. Base Mestre (845 Produtos)'!$A$4:$A$848,0)),MATCH(A71,'4. Base Mestre (845 Produtos)'!$A$4:$A$848,0),IF(ISNUMBER(MATCH(B71,'4. Base Mestre (845 Produtos)'!$B$4:$B$848,0)),MATCH(B71,'4. Base Mestre (845 Produtos)'!$B$4:$B$848,0),0))),IF(ISNUMBER(MATCH(D71,'3. Dicionario Principios Ativos'!$A$4:$A$245,0)),INDEX('3. Dicionario Principios Ativos'!$D$4:$D$245,MATCH(D71,'3. Dicionario Principios Ativos'!$A$4:$A$245,0)),E71)),2)="31",E71="3105.10.00",K71&gt;0,K71&lt;=10.0001),"3105.10.00",IF(AND(IF(IF(ISNUMBER(MATCH(A71,'4.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Produtos)'!$L$4:$L$848,IF(ISNUMBER(MATCH(A71,'4. Base Mestre (845 Produtos)'!$A$4:$A$848,0)),MATCH(A71,'4. Base Mestre (845 Produtos)'!$A$4:$A$848,0),IF(ISNUMBER(MATCH(B71,'4. Base Mestre (845 Produtos)'!$B$4:$B$848,0)),MATCH(B71,'4. Base Mestre (845 Produtos)'!$B$4:$B$848,0),0))),IF(ISNUMBER(MATCH(D71,'3. Dicionario Principios Ativos'!$A$4:$A$245,0)),INDEX('3. Dicionario Principios Ativos'!$D$4:$D$245,MATCH(D71,'3. Dicionario Principios Ativos'!$A$4:$A$245,0)),E71))="3105.10.00",K71&gt;10.0001),"3105.90.90",IF(IF(ISNUMBER(MATCH(A71,'4.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Produtos)'!$L$4:$L$848,IF(ISNUMBER(MATCH(A71,'4. Base Mestre (845 Produtos)'!$A$4:$A$848,0)),MATCH(A71,'4. Base Mestre (845 Produtos)'!$A$4:$A$848,0),IF(ISNUMBER(MATCH(B71,'4. Base Mestre (845 Produtos)'!$B$4:$B$848,0)),MATCH(B71,'4. Base Mestre (845 Produtos)'!$B$4:$B$848,0),0))),IF(ISNUMBER(MATCH(D71,'3. Dicionario Principios Ativos'!$A$4:$A$245,0)),INDEX('3. Dicionario Principios Ativos'!$D$4:$D$245,MATCH(D71,'3. Dicionario Principios Ativos'!$A$4:$A$245,0)),E71))))))</f>
        <v/>
      </c>
      <c r="R71" s="15" t="str">
        <f aca="false">IF(B71="","",IF(OR(E71=Q71,AND(Q71="3002.49.99",E71="3002.90.00")),"CONFORME — NCM "&amp;E71&amp;" Correta na TIPI","DIVERGENTE — Substituir "&amp;E71&amp;" por "&amp;Q71))</f>
        <v/>
      </c>
      <c r="S71" s="15" t="str">
        <f aca="false">IF(B71="","",IF(AND(E71="3808.61.00",OR(K71&gt;0.3001,K71=0)),"INCOMPATÍVEL — NCM 3808.61.00 exige emb. &lt;= 0,3kg/L (Emb. atual: "&amp;K71&amp;" "&amp;L71&amp;" -&gt; usar "&amp;Q71&amp;")",IF(AND(LEFT(E71,7)="3808.62",OR(K71&lt;=0.3001,K71&gt;7.5001)),"INCOMPATÍVEL — NCM 3808.62 exige emb. de 0,3 a 7,5kg/L (Emb. atual: "&amp;K71&amp;" "&amp;L71&amp;" -&gt; usar "&amp;Q71&amp;")",IF(AND(LEFT(E71,7)="3808.69",K71&gt;0,K71&lt;=7.5001),"INCOMPATÍVEL — NCM 3808.69 exige emb. &gt; 7,5kg/L (Emb. atual: "&amp;K71&amp;" "&amp;L71&amp;" -&gt; usar "&amp;Q71&amp;")",IF(AND(LEFT(Q71,6)="3808.6",LEFT(E71,6)&lt;&gt;"3808.6"),"INCOMPATÍVEL — Molécula Nota Subpos. 2 c/ emb. "&amp;K71&amp;" "&amp;L71&amp;" exige NCM "&amp;Q71,IF(AND(OR(E71="3808.91.19",E71="3808.92.19",E71="3808.93.19",E71="3808.99.19"),K71&gt;=1),"INCOMPATÍVEL — Subitem .19 (Domissanitário) vedado p/ emb. agrícola de "&amp;K71&amp;" "&amp;L71,IF(AND(E71="3105.10.00",K71&gt;10.0001),"INCOMPATÍVEL — NCM 3105.10.00 exige peso bruto &lt;= 10kg (Emb. atual: "&amp;K71&amp;" "&amp;L71&amp;" -&gt; usar 3105.90.90)",IF(AND(LEFT(E71,2)="29",LEFT(Q71,4)="3808",K71&gt;0),"INCOMPATÍVEL — Produto formulado em emb. comercial ("&amp;K71&amp;" "&amp;L71&amp;") vedado no Cap. 29 -&gt; usar "&amp;Q71,"CONFORME — Embalagem ("&amp;K71&amp;" "&amp;L71&amp;") compatível c/ a NCM"))))))))</f>
        <v/>
      </c>
      <c r="T71" s="17" t="str">
        <f aca="false">IF(B71="","",IF(IF(ISNUMBER(MATCH(A71,'4.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Produtos)'!$P$4:$P$848,IF(ISNUMBER(MATCH(A71,'4. Base Mestre (845 Produtos)'!$A$4:$A$848,0)),MATCH(A71,'4. Base Mestre (845 Produtos)'!$A$4:$A$848,0),IF(ISNUMBER(MATCH(B71,'4. Base Mestre (845 Produtos)'!$B$4:$B$848,0)),MATCH(B71,'4. Base Mestre (845 Produtos)'!$B$4:$B$848,0),0))),IF(ISNUMBER(MATCH(D71,'3. Dicionario Principios Ativos'!$A$4:$A$245,0)),INDEX('3. Dicionario Principios Ativos'!$K$4:$K$245,MATCH(D71,'3. Dicionario Principios Ativos'!$A$4:$A$245,0)),"VERIFICAR BULA")))</f>
        <v/>
      </c>
      <c r="U71" s="15" t="str">
        <f aca="false">IF(B71="","",IF(ISNUMBER(SEARCH("ISENTO",T71)),IF(OR(F71=0,F71="0",F71="ISENTO",F71=""),"CONFORME (DISPENSADO) — Isento pelo Ato SDA/MAPA nº 104/2017","INCORRETO — Produto isento de registro MAPA (usar 0 ou ISENTO)"),IF(ISNUMBER(SEARCH("SIPEAGRO",T71)),IF(ISNUMBER(SEARCH("-",F71)),"CONFORME — Registro SIPEAGRO ("&amp;F71&amp;") Preenchido","ADEQUAR P/ SIPEAGRO — Substituir 0 pelo Registro (UF-XXXXX-XXXXX.X)"),IF(ISNUMBER(SEARCH("VINCULAR",T71)),IF(AND(F71&lt;&gt;0,F71&lt;&gt;"0",F71&lt;&gt;""),"INCORRETO / TROCADO — Código "&amp;F71&amp;" pertence a outro produto (Vincular bula da marca)","VINCULAR MARCA — Cadastro de P.A. s/ marca fixa (Vincular registro na NF-e)"),IF(OR(F71=0,F71="0",F71=""),"AUSENTE (ZERO) — Preencher Registro Oficial MAPA nº "&amp;T71,IF(TEXT(F71,"0")=TEXT(T71,"0"),"CONFORME — Registro MAPA nº "&amp;T71&amp;" Validado na Bula","INCORRETO / TROCADO — Substituir "&amp;F71&amp;" pelo Registro Oficial nº "&amp;T71))))))</f>
        <v/>
      </c>
      <c r="V71" s="15" t="str">
        <f aca="false">IF(B71="","",IF(IF(ISNUMBER(MATCH(A71,'4.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Produtos)'!$S$4:$S$848,IF(ISNUMBER(MATCH(A71,'4. Base Mestre (845 Produtos)'!$A$4:$A$848,0)),MATCH(A71,'4. Base Mestre (845 Produtos)'!$A$4:$A$848,0),IF(ISNUMBER(MATCH(B71,'4. Base Mestre (845 Produtos)'!$B$4:$B$848,0)),MATCH(B71,'4. Base Mestre (845 Produtos)'!$B$4:$B$848,0),0))),IF(ISNUMBER(MATCH(D71,'3. Dicionario Principios Ativos'!$A$4:$A$245,0)),INDEX('3. Dicionario Principios Ativos'!$L$4:$L$245,MATCH(D71,'3. Dicionario Principios Ativos'!$A$4:$A$245,0)),"Verificar NCM")))</f>
        <v/>
      </c>
      <c r="W71" s="15" t="str">
        <f aca="false">IF(B71="","",IF(IF(ISNUMBER(MATCH(A71,'4. Base Mestre (845 Produtos)'!$A$4:$A$848,0)),MATCH(A71,'4. Base Mestre (845 Produtos)'!$A$4:$A$848,0),IF(ISNUMBER(MATCH(B71,'4. Base Mestre (845 Produtos)'!$B$4:$B$848,0)),MATCH(B71,'4. Base Mestre (845 Produtos)'!$B$4:$B$848,0),0))&gt;0,INDEX('4. Base Mestre (845 Produtos)'!$T$4:$T$848,IF(ISNUMBER(MATCH(A71,'4. Base Mestre (845 Produtos)'!$A$4:$A$848,0)),MATCH(A71,'4. Base Mestre (845 Produtos)'!$A$4:$A$848,0),IF(ISNUMBER(MATCH(B71,'4. Base Mestre (845 Produtos)'!$B$4:$B$848,0)),MATCH(B71,'4. Base Mestre (845 Produtos)'!$B$4:$B$848,0),0))),IF(ISNUMBER(MATCH(D71,'3. Dicionario Principios Ativos'!$A$4:$A$245,0)),INDEX('3. Dicionario Principios Ativos'!$M$4:$M$245,MATCH(D71,'3. Dicionario Principios Ativos'!$A$4:$A$245,0)),"Verificar CST")))</f>
        <v/>
      </c>
      <c r="X71" s="15" t="str">
        <f aca="false">IF(B71="","",IF(AND(LEFT(M71,8)="CONFORME",LEFT(P71,8)="CONFORME",LEFT(R71,8)="CONFORME",LEFT(S71,8)="CONFORME",LEFT(U71,8)="CONFORME"),"CADASTRO 100% CONFORME — LIBERADO P/ ERP",IF(AND(LEFT(M71,8)="CONFORME",LEFT(P71,8)="CONFORME",LEFT(R71,8)="CONFORME",LEFT(S71,8)="CONFORME",OR(LEFT(U71,7)="ADEQUAR",LEFT(U71,8)="VINCULAR")),"FISCAL E EMBALAGEM OK — ADEQUAR CAMPO MAPA (SIPEAGRO / MARCA)","BLOQUEADO — CORRIGIR DIVERGÊNCIAS APONTADAS ANTES DE LIBERAR NO ERP")))</f>
        <v/>
      </c>
    </row>
    <row r="72" customFormat="false" ht="19.5" hidden="false" customHeight="true" outlineLevel="0" collapsed="false">
      <c r="A72" s="12"/>
      <c r="B72" s="13"/>
      <c r="C72" s="12"/>
      <c r="D72" s="13"/>
      <c r="E72" s="12"/>
      <c r="F72" s="12"/>
      <c r="G72" s="14"/>
      <c r="H72" s="13" t="s">
        <v>166</v>
      </c>
      <c r="I72" s="20" t="str">
        <f aca="false">IF(B72="","",IF(ISNUMBER(MATCH(A72,'4. Base Mestre (845 Produtos)'!$A$4:$A$848,0)),"Localizado por Código ("&amp;A72&amp;") na Base Mestre",IF(ISNUMBER(MATCH(B72,'4. Base Mestre (845 Produtos)'!$B$4:$B$848,0)),"Localizado por Descrição na Base Mestre",IF(ISNUMBER(MATCH(D72,'3. Dicionario Principios Ativos'!$A$4:$A$245,0)),"Produto Novo — Validado pelo Dicionário de P.A.","Não Localizado — Revisar Código/P.A."))))</f>
        <v/>
      </c>
      <c r="J72" s="20" t="str">
        <f aca="false">IF(B72="","",IF(IF(ISNUMBER(MATCH(A72,'4.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Produtos)'!$I$4:$I$848,IF(ISNUMBER(MATCH(A72,'4. Base Mestre (845 Produtos)'!$A$4:$A$848,0)),MATCH(A72,'4. Base Mestre (845 Produtos)'!$A$4:$A$848,0),IF(ISNUMBER(MATCH(B72,'4. Base Mestre (845 Produtos)'!$B$4:$B$848,0)),MATCH(B72,'4. Base Mestre (845 Produtos)'!$B$4:$B$848,0),0))),IF(ISNUMBER(MATCH(D72,'3. Dicionario Principios Ativos'!$A$4:$A$245,0)),INDEX('3. Dicionario Principios Ativos'!$B$4:$B$245,MATCH(D72,'3. Dicionario Principios Ativos'!$A$4:$A$245,0)),"Revisar Classificação")))</f>
        <v/>
      </c>
      <c r="K72" s="21" t="str">
        <f aca="false">IF(B72="","",IF(G72&lt;&gt;"",G72,IF(OR(ISNUMBER(SEARCH("PRINCIPIO ATIVO",B72)),ISNUMBER(SEARCH("PRINC. ATIVO",B72)),ISNUMBER(SEARCH("PR. ATIVO",B72)),ISNUMBER(SEARCH("PR.AT.",B72)),ISNUMBER(SEARCH("(P.A",B72)),ISNUMBER(SEARCH("(P. A",B72))),0,IF(OR(ISNUMBER(SEARCH("0,100KG",B72)),ISNUMBER(SEARCH("0,1KG",B72)),ISNUMBER(SEARCH("0,100L",B72))),0.1,IF(OR(ISNUMBER(SEARCH("0,200L",B72)),ISNUMBER(SEARCH("0,2L",B72)),ISNUMBER(SEARCH("0,200KG",B72)),ISNUMBER(SEARCH("0,2KG",B72))),0.2,IF(OR(ISNUMBER(SEARCH("0,240KG",B72)),ISNUMBER(SEARCH("0,250L",B72))),0.24,IF(OR(ISNUMBER(SEARCH("0,300KG",B72)),ISNUMBER(SEARCH("0,3KG",B72))),0.3,IF(OR(ISNUMBER(SEARCH("0,500L",B72)),ISNUMBER(SEARCH("0,5L",B72)),ISNUMBER(SEARCH("0,5KG",B72))),0.5,IF(ISNUMBER(SEARCH("0,8KG",B72)),0.8,IF(OR(ISNUMBER(SEARCH("1,5L",B72)),ISNUMBER(SEARCH("1,5KG",B72))),1.5,IF(OR(ISNUMBER(SEARCH("1,75L",B72)),ISNUMBER(SEARCH("1,8L",B72)),ISNUMBER(SEARCH("1.8L",B72))),1.8,IF(ISNUMBER(SEARCH("4,5KG",B72)),4.5,IF(ISNUMBER(SEARCH("7,5KG",B72)),7.5,IF(OR(ISNUMBER(SEARCH("1000L",B72)),ISNUMBER(SEARCH("1000KG",B72)),ISNUMBER(SEARCH("1.000KG",B72)),ISNUMBER(SEARCH("1.000L",B72)),ISNUMBER(SEARCH("1000 KG",B72)),ISNUMBER(SEARCH("GRANEL",B72)),ISNUMBER(SEARCH("(TON)",B72))),1000,IF(ISNUMBER(SEARCH("200L",B72)),200,IF(OR(ISNUMBER(SEARCH("25KG",B72)),ISNUMBER(SEARCH("25L",B72))),25,IF(OR(ISNUMBER(SEARCH("20L",B72)),ISNUMBER(SEARCH("20KG",B72))),20,IF(ISNUMBER(SEARCH("15KG",B72)),15,IF(OR(ISNUMBER(SEARCH("10L",B72)),ISNUMBER(SEARCH("10KG",B72))),10,IF(OR(ISNUMBER(SEARCH("5L",B72)),ISNUMBER(SEARCH("5KG",B72)),ISNUMBER(SEARCH("5LT",B72))),5,IF(OR(ISNUMBER(SEARCH("3KG",B72)),ISNUMBER(SEARCH("3L",B72))),3,IF(OR(ISNUMBER(SEARCH("2L",B72)),ISNUMBER(SEARCH("2KG",B72))),2,IF(OR(ISNUMBER(SEARCH("1L",B72)),ISNUMBER(SEARCH("1KG",B72)),ISNUMBER(SEARCH("1LT",B72))),1,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Produtos)'!$D$4:$D$848,IF(ISNUMBER(MATCH(A72,'4. Base Mestre (845 Produtos)'!$A$4:$A$848,0)),MATCH(A72,'4. Base Mestre (845 Produtos)'!$A$4:$A$848,0),IF(ISNUMBER(MATCH(B72,'4. Base Mestre (845 Produtos)'!$B$4:$B$848,0)),MATCH(B72,'4. Base Mestre (845 Produtos)'!$B$4:$B$848,0),0))),1))))))))))))))))))))))))</f>
        <v/>
      </c>
      <c r="L72" s="22" t="str">
        <f aca="false">IF(B72="","",IF(OR(ISNUMBER(SEARCH("KG",B72)),ISNUMBER(SEARCH("GR",B72))),"KG",IF(OR(ISNUMBER(SEARCH("0,200L",B72)),ISNUMBER(SEARCH("0,2L",B72)),ISNUMBER(SEARCH("0,5L",B72)),ISNUMBER(SEARCH("1,5L",B72)),ISNUMBER(SEARCH("1,8L",B72)),ISNUMBER(SEARCH("1.8L",B72)),ISNUMBER(SEARCH("1L",B72)),ISNUMBER(SEARCH("2L",B72)),ISNUMBER(SEARCH("3L",B72)),ISNUMBER(SEARCH("5L",B72)),ISNUMBER(SEARCH("10L",B72)),ISNUMBER(SEARCH("20L",B72)),ISNUMBER(SEARCH("25L",B72)),ISNUMBER(SEARCH("200L",B72)),ISNUMBER(SEARCH("1000L",B72)),ISNUMBER(SEARCH("LT",B72))),"L",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Produtos)'!$E$4:$E$848,IF(ISNUMBER(MATCH(A72,'4. Base Mestre (845 Produtos)'!$A$4:$A$848,0)),MATCH(A72,'4. Base Mestre (845 Produtos)'!$A$4:$A$848,0),IF(ISNUMBER(MATCH(B72,'4. Base Mestre (845 Produtos)'!$B$4:$B$848,0)),MATCH(B72,'4. Base Mestre (845 Produtos)'!$B$4:$B$848,0),0))),C72))))</f>
        <v/>
      </c>
      <c r="M72" s="20" t="str">
        <f aca="false">IF(B72="","",IF(C72=L72,"CONFORME — Unidade ("&amp;C72&amp;") compatível c/ Embalagem","DIVERGENTE — Embalagem em "&amp;L72&amp;", mas cadastrado em "&amp;C72))</f>
        <v/>
      </c>
      <c r="N72" s="20" t="str">
        <f aca="false">IF(B72="","",IF(K72=0,"Granel / Produto Técnico (Sem Embalagem Comercial)",IF(K72&lt;=0.3001,"Faixa 1 TIPI: Até 300g/mL (3808.61.00 / 3105.10.00)",IF(K72&lt;=7.5001,"Faixa 2 TIPI: De 300g a 7,5kg/L (3808.62.90 / 3105.10.00)",IF(K72&lt;=10.0001,"Faixa 3 TIPI: De 7,5kg a 10kg/L (3808.69.90 / 3105.10.00)","Faixa 4 TIPI: Acima de 10kg/L (3808.69.90 / Cap. 31 Geral)")))))</f>
        <v/>
      </c>
      <c r="O72" s="20" t="str">
        <f aca="false">IF(B72="","",IF(IF(ISNUMBER(MATCH(A72,'4.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Produtos)'!$H$4:$H$848,IF(ISNUMBER(MATCH(A72,'4. Base Mestre (845 Produtos)'!$A$4:$A$848,0)),MATCH(A72,'4. Base Mestre (845 Produtos)'!$A$4:$A$848,0),IF(ISNUMBER(MATCH(B72,'4. Base Mestre (845 Produtos)'!$B$4:$B$848,0)),MATCH(B72,'4. Base Mestre (845 Produtos)'!$B$4:$B$848,0),0))),IF(ISNUMBER(MATCH(D72,'3. Dicionario Principios Ativos'!$A$4:$A$245,0)),INDEX('3. Dicionario Principios Ativos'!$A$4:$A$245,MATCH(D72,'3. Dicionario Principios Ativos'!$A$4:$A$245,0)),D72)))</f>
        <v/>
      </c>
      <c r="P72" s="20" t="str">
        <f aca="false">IF(B72="","",IF(D72=O72,"CONFORME — Princípio Ativo Validado","DIVERGENTE — Substituir por: "&amp;O72))</f>
        <v/>
      </c>
      <c r="Q72" s="22" t="str">
        <f aca="false">IF(B72="","",IF(IF(IF(ISNUMBER(MATCH(A72,'4.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Produtos)'!$J$4:$J$848,IF(ISNUMBER(MATCH(A72,'4. Base Mestre (845 Produtos)'!$A$4:$A$848,0)),MATCH(A72,'4. Base Mestre (845 Produtos)'!$A$4:$A$848,0),IF(ISNUMBER(MATCH(B72,'4. Base Mestre (845 Produtos)'!$B$4:$B$848,0)),MATCH(B72,'4. Base Mestre (845 Produtos)'!$B$4:$B$848,0),0)))="SIM",IF(ISNUMBER(MATCH(D72,'3. Dicionario Principios Ativos'!$A$4:$A$245,0)),INDEX('3. Dicionario Principios Ativos'!$C$4:$C$245,MATCH(D72,'3. Dicionario Principios Ativos'!$A$4:$A$245,0))="SIM",FALSE())),IF(AND(K72&gt;0,K72&lt;=0.3001),"3808.61.00",IF(AND(K72&gt;0.3001,K72&lt;=7.5001),"3808.62.90","3808.69.90")),IF(AND(LEFT(IF(IF(ISNUMBER(MATCH(A72,'4.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Produtos)'!$L$4:$L$848,IF(ISNUMBER(MATCH(A72,'4. Base Mestre (845 Produtos)'!$A$4:$A$848,0)),MATCH(A72,'4. Base Mestre (845 Produtos)'!$A$4:$A$848,0),IF(ISNUMBER(MATCH(B72,'4. Base Mestre (845 Produtos)'!$B$4:$B$848,0)),MATCH(B72,'4. Base Mestre (845 Produtos)'!$B$4:$B$848,0),0))),IF(ISNUMBER(MATCH(D72,'3. Dicionario Principios Ativos'!$A$4:$A$245,0)),INDEX('3. Dicionario Principios Ativos'!$D$4:$D$245,MATCH(D72,'3. Dicionario Principios Ativos'!$A$4:$A$245,0)),E72)),2)="31",E72="3105.10.00",K72&gt;0,K72&lt;=10.0001),"3105.10.00",IF(AND(IF(IF(ISNUMBER(MATCH(A72,'4.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Produtos)'!$L$4:$L$848,IF(ISNUMBER(MATCH(A72,'4. Base Mestre (845 Produtos)'!$A$4:$A$848,0)),MATCH(A72,'4. Base Mestre (845 Produtos)'!$A$4:$A$848,0),IF(ISNUMBER(MATCH(B72,'4. Base Mestre (845 Produtos)'!$B$4:$B$848,0)),MATCH(B72,'4. Base Mestre (845 Produtos)'!$B$4:$B$848,0),0))),IF(ISNUMBER(MATCH(D72,'3. Dicionario Principios Ativos'!$A$4:$A$245,0)),INDEX('3. Dicionario Principios Ativos'!$D$4:$D$245,MATCH(D72,'3. Dicionario Principios Ativos'!$A$4:$A$245,0)),E72))="3105.10.00",K72&gt;10.0001),"3105.90.90",IF(IF(ISNUMBER(MATCH(A72,'4.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Produtos)'!$L$4:$L$848,IF(ISNUMBER(MATCH(A72,'4. Base Mestre (845 Produtos)'!$A$4:$A$848,0)),MATCH(A72,'4. Base Mestre (845 Produtos)'!$A$4:$A$848,0),IF(ISNUMBER(MATCH(B72,'4. Base Mestre (845 Produtos)'!$B$4:$B$848,0)),MATCH(B72,'4. Base Mestre (845 Produtos)'!$B$4:$B$848,0),0))),IF(ISNUMBER(MATCH(D72,'3. Dicionario Principios Ativos'!$A$4:$A$245,0)),INDEX('3. Dicionario Principios Ativos'!$D$4:$D$245,MATCH(D72,'3. Dicionario Principios Ativos'!$A$4:$A$245,0)),E72))))))</f>
        <v/>
      </c>
      <c r="R72" s="20" t="str">
        <f aca="false">IF(B72="","",IF(OR(E72=Q72,AND(Q72="3002.49.99",E72="3002.90.00")),"CONFORME — NCM "&amp;E72&amp;" Correta na TIPI","DIVERGENTE — Substituir "&amp;E72&amp;" por "&amp;Q72))</f>
        <v/>
      </c>
      <c r="S72" s="20" t="str">
        <f aca="false">IF(B72="","",IF(AND(E72="3808.61.00",OR(K72&gt;0.3001,K72=0)),"INCOMPATÍVEL — NCM 3808.61.00 exige emb. &lt;= 0,3kg/L (Emb. atual: "&amp;K72&amp;" "&amp;L72&amp;" -&gt; usar "&amp;Q72&amp;")",IF(AND(LEFT(E72,7)="3808.62",OR(K72&lt;=0.3001,K72&gt;7.5001)),"INCOMPATÍVEL — NCM 3808.62 exige emb. de 0,3 a 7,5kg/L (Emb. atual: "&amp;K72&amp;" "&amp;L72&amp;" -&gt; usar "&amp;Q72&amp;")",IF(AND(LEFT(E72,7)="3808.69",K72&gt;0,K72&lt;=7.5001),"INCOMPATÍVEL — NCM 3808.69 exige emb. &gt; 7,5kg/L (Emb. atual: "&amp;K72&amp;" "&amp;L72&amp;" -&gt; usar "&amp;Q72&amp;")",IF(AND(LEFT(Q72,6)="3808.6",LEFT(E72,6)&lt;&gt;"3808.6"),"INCOMPATÍVEL — Molécula Nota Subpos. 2 c/ emb. "&amp;K72&amp;" "&amp;L72&amp;" exige NCM "&amp;Q72,IF(AND(OR(E72="3808.91.19",E72="3808.92.19",E72="3808.93.19",E72="3808.99.19"),K72&gt;=1),"INCOMPATÍVEL — Subitem .19 (Domissanitário) vedado p/ emb. agrícola de "&amp;K72&amp;" "&amp;L72,IF(AND(E72="3105.10.00",K72&gt;10.0001),"INCOMPATÍVEL — NCM 3105.10.00 exige peso bruto &lt;= 10kg (Emb. atual: "&amp;K72&amp;" "&amp;L72&amp;" -&gt; usar 3105.90.90)",IF(AND(LEFT(E72,2)="29",LEFT(Q72,4)="3808",K72&gt;0),"INCOMPATÍVEL — Produto formulado em emb. comercial ("&amp;K72&amp;" "&amp;L72&amp;") vedado no Cap. 29 -&gt; usar "&amp;Q72,"CONFORME — Embalagem ("&amp;K72&amp;" "&amp;L72&amp;") compatível c/ a NCM"))))))))</f>
        <v/>
      </c>
      <c r="T72" s="22" t="str">
        <f aca="false">IF(B72="","",IF(IF(ISNUMBER(MATCH(A72,'4.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Produtos)'!$P$4:$P$848,IF(ISNUMBER(MATCH(A72,'4. Base Mestre (845 Produtos)'!$A$4:$A$848,0)),MATCH(A72,'4. Base Mestre (845 Produtos)'!$A$4:$A$848,0),IF(ISNUMBER(MATCH(B72,'4. Base Mestre (845 Produtos)'!$B$4:$B$848,0)),MATCH(B72,'4. Base Mestre (845 Produtos)'!$B$4:$B$848,0),0))),IF(ISNUMBER(MATCH(D72,'3. Dicionario Principios Ativos'!$A$4:$A$245,0)),INDEX('3. Dicionario Principios Ativos'!$K$4:$K$245,MATCH(D72,'3. Dicionario Principios Ativos'!$A$4:$A$245,0)),"VERIFICAR BULA")))</f>
        <v/>
      </c>
      <c r="U72" s="20" t="str">
        <f aca="false">IF(B72="","",IF(ISNUMBER(SEARCH("ISENTO",T72)),IF(OR(F72=0,F72="0",F72="ISENTO",F72=""),"CONFORME (DISPENSADO) — Isento pelo Ato SDA/MAPA nº 104/2017","INCORRETO — Produto isento de registro MAPA (usar 0 ou ISENTO)"),IF(ISNUMBER(SEARCH("SIPEAGRO",T72)),IF(ISNUMBER(SEARCH("-",F72)),"CONFORME — Registro SIPEAGRO ("&amp;F72&amp;") Preenchido","ADEQUAR P/ SIPEAGRO — Substituir 0 pelo Registro (UF-XXXXX-XXXXX.X)"),IF(ISNUMBER(SEARCH("VINCULAR",T72)),IF(AND(F72&lt;&gt;0,F72&lt;&gt;"0",F72&lt;&gt;""),"INCORRETO / TROCADO — Código "&amp;F72&amp;" pertence a outro produto (Vincular bula da marca)","VINCULAR MARCA — Cadastro de P.A. s/ marca fixa (Vincular registro na NF-e)"),IF(OR(F72=0,F72="0",F72=""),"AUSENTE (ZERO) — Preencher Registro Oficial MAPA nº "&amp;T72,IF(TEXT(F72,"0")=TEXT(T72,"0"),"CONFORME — Registro MAPA nº "&amp;T72&amp;" Validado na Bula","INCORRETO / TROCADO — Substituir "&amp;F72&amp;" pelo Registro Oficial nº "&amp;T72))))))</f>
        <v/>
      </c>
      <c r="V72" s="20" t="str">
        <f aca="false">IF(B72="","",IF(IF(ISNUMBER(MATCH(A72,'4.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Produtos)'!$S$4:$S$848,IF(ISNUMBER(MATCH(A72,'4. Base Mestre (845 Produtos)'!$A$4:$A$848,0)),MATCH(A72,'4. Base Mestre (845 Produtos)'!$A$4:$A$848,0),IF(ISNUMBER(MATCH(B72,'4. Base Mestre (845 Produtos)'!$B$4:$B$848,0)),MATCH(B72,'4. Base Mestre (845 Produtos)'!$B$4:$B$848,0),0))),IF(ISNUMBER(MATCH(D72,'3. Dicionario Principios Ativos'!$A$4:$A$245,0)),INDEX('3. Dicionario Principios Ativos'!$L$4:$L$245,MATCH(D72,'3. Dicionario Principios Ativos'!$A$4:$A$245,0)),"Verificar NCM")))</f>
        <v/>
      </c>
      <c r="W72" s="20" t="str">
        <f aca="false">IF(B72="","",IF(IF(ISNUMBER(MATCH(A72,'4. Base Mestre (845 Produtos)'!$A$4:$A$848,0)),MATCH(A72,'4. Base Mestre (845 Produtos)'!$A$4:$A$848,0),IF(ISNUMBER(MATCH(B72,'4. Base Mestre (845 Produtos)'!$B$4:$B$848,0)),MATCH(B72,'4. Base Mestre (845 Produtos)'!$B$4:$B$848,0),0))&gt;0,INDEX('4. Base Mestre (845 Produtos)'!$T$4:$T$848,IF(ISNUMBER(MATCH(A72,'4. Base Mestre (845 Produtos)'!$A$4:$A$848,0)),MATCH(A72,'4. Base Mestre (845 Produtos)'!$A$4:$A$848,0),IF(ISNUMBER(MATCH(B72,'4. Base Mestre (845 Produtos)'!$B$4:$B$848,0)),MATCH(B72,'4. Base Mestre (845 Produtos)'!$B$4:$B$848,0),0))),IF(ISNUMBER(MATCH(D72,'3. Dicionario Principios Ativos'!$A$4:$A$245,0)),INDEX('3. Dicionario Principios Ativos'!$M$4:$M$245,MATCH(D72,'3. Dicionario Principios Ativos'!$A$4:$A$245,0)),"Verificar CST")))</f>
        <v/>
      </c>
      <c r="X72" s="20" t="str">
        <f aca="false">IF(B72="","",IF(AND(LEFT(M72,8)="CONFORME",LEFT(P72,8)="CONFORME",LEFT(R72,8)="CONFORME",LEFT(S72,8)="CONFORME",LEFT(U72,8)="CONFORME"),"CADASTRO 100% CONFORME — LIBERADO P/ ERP",IF(AND(LEFT(M72,8)="CONFORME",LEFT(P72,8)="CONFORME",LEFT(R72,8)="CONFORME",LEFT(S72,8)="CONFORME",OR(LEFT(U72,7)="ADEQUAR",LEFT(U72,8)="VINCULAR")),"FISCAL E EMBALAGEM OK — ADEQUAR CAMPO MAPA (SIPEAGRO / MARCA)","BLOQUEADO — CORRIGIR DIVERGÊNCIAS APONTADAS ANTES DE LIBERAR NO ERP")))</f>
        <v/>
      </c>
    </row>
    <row r="73" customFormat="false" ht="19.5" hidden="false" customHeight="true" outlineLevel="0" collapsed="false">
      <c r="A73" s="12"/>
      <c r="B73" s="13"/>
      <c r="C73" s="12"/>
      <c r="D73" s="13"/>
      <c r="E73" s="12"/>
      <c r="F73" s="12"/>
      <c r="G73" s="14"/>
      <c r="H73" s="13" t="s">
        <v>166</v>
      </c>
      <c r="I73" s="15" t="str">
        <f aca="false">IF(B73="","",IF(ISNUMBER(MATCH(A73,'4. Base Mestre (845 Produtos)'!$A$4:$A$848,0)),"Localizado por Código ("&amp;A73&amp;") na Base Mestre",IF(ISNUMBER(MATCH(B73,'4. Base Mestre (845 Produtos)'!$B$4:$B$848,0)),"Localizado por Descrição na Base Mestre",IF(ISNUMBER(MATCH(D73,'3. Dicionario Principios Ativos'!$A$4:$A$245,0)),"Produto Novo — Validado pelo Dicionário de P.A.","Não Localizado — Revisar Código/P.A."))))</f>
        <v/>
      </c>
      <c r="J73" s="15" t="str">
        <f aca="false">IF(B73="","",IF(IF(ISNUMBER(MATCH(A73,'4.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Produtos)'!$I$4:$I$848,IF(ISNUMBER(MATCH(A73,'4. Base Mestre (845 Produtos)'!$A$4:$A$848,0)),MATCH(A73,'4. Base Mestre (845 Produtos)'!$A$4:$A$848,0),IF(ISNUMBER(MATCH(B73,'4. Base Mestre (845 Produtos)'!$B$4:$B$848,0)),MATCH(B73,'4. Base Mestre (845 Produtos)'!$B$4:$B$848,0),0))),IF(ISNUMBER(MATCH(D73,'3. Dicionario Principios Ativos'!$A$4:$A$245,0)),INDEX('3. Dicionario Principios Ativos'!$B$4:$B$245,MATCH(D73,'3. Dicionario Principios Ativos'!$A$4:$A$245,0)),"Revisar Classificação")))</f>
        <v/>
      </c>
      <c r="K73" s="16" t="str">
        <f aca="false">IF(B73="","",IF(G73&lt;&gt;"",G73,IF(OR(ISNUMBER(SEARCH("PRINCIPIO ATIVO",B73)),ISNUMBER(SEARCH("PRINC. ATIVO",B73)),ISNUMBER(SEARCH("PR. ATIVO",B73)),ISNUMBER(SEARCH("PR.AT.",B73)),ISNUMBER(SEARCH("(P.A",B73)),ISNUMBER(SEARCH("(P. A",B73))),0,IF(OR(ISNUMBER(SEARCH("0,100KG",B73)),ISNUMBER(SEARCH("0,1KG",B73)),ISNUMBER(SEARCH("0,100L",B73))),0.1,IF(OR(ISNUMBER(SEARCH("0,200L",B73)),ISNUMBER(SEARCH("0,2L",B73)),ISNUMBER(SEARCH("0,200KG",B73)),ISNUMBER(SEARCH("0,2KG",B73))),0.2,IF(OR(ISNUMBER(SEARCH("0,240KG",B73)),ISNUMBER(SEARCH("0,250L",B73))),0.24,IF(OR(ISNUMBER(SEARCH("0,300KG",B73)),ISNUMBER(SEARCH("0,3KG",B73))),0.3,IF(OR(ISNUMBER(SEARCH("0,500L",B73)),ISNUMBER(SEARCH("0,5L",B73)),ISNUMBER(SEARCH("0,5KG",B73))),0.5,IF(ISNUMBER(SEARCH("0,8KG",B73)),0.8,IF(OR(ISNUMBER(SEARCH("1,5L",B73)),ISNUMBER(SEARCH("1,5KG",B73))),1.5,IF(OR(ISNUMBER(SEARCH("1,75L",B73)),ISNUMBER(SEARCH("1,8L",B73)),ISNUMBER(SEARCH("1.8L",B73))),1.8,IF(ISNUMBER(SEARCH("4,5KG",B73)),4.5,IF(ISNUMBER(SEARCH("7,5KG",B73)),7.5,IF(OR(ISNUMBER(SEARCH("1000L",B73)),ISNUMBER(SEARCH("1000KG",B73)),ISNUMBER(SEARCH("1.000KG",B73)),ISNUMBER(SEARCH("1.000L",B73)),ISNUMBER(SEARCH("1000 KG",B73)),ISNUMBER(SEARCH("GRANEL",B73)),ISNUMBER(SEARCH("(TON)",B73))),1000,IF(ISNUMBER(SEARCH("200L",B73)),200,IF(OR(ISNUMBER(SEARCH("25KG",B73)),ISNUMBER(SEARCH("25L",B73))),25,IF(OR(ISNUMBER(SEARCH("20L",B73)),ISNUMBER(SEARCH("20KG",B73))),20,IF(ISNUMBER(SEARCH("15KG",B73)),15,IF(OR(ISNUMBER(SEARCH("10L",B73)),ISNUMBER(SEARCH("10KG",B73))),10,IF(OR(ISNUMBER(SEARCH("5L",B73)),ISNUMBER(SEARCH("5KG",B73)),ISNUMBER(SEARCH("5LT",B73))),5,IF(OR(ISNUMBER(SEARCH("3KG",B73)),ISNUMBER(SEARCH("3L",B73))),3,IF(OR(ISNUMBER(SEARCH("2L",B73)),ISNUMBER(SEARCH("2KG",B73))),2,IF(OR(ISNUMBER(SEARCH("1L",B73)),ISNUMBER(SEARCH("1KG",B73)),ISNUMBER(SEARCH("1LT",B73))),1,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Produtos)'!$D$4:$D$848,IF(ISNUMBER(MATCH(A73,'4. Base Mestre (845 Produtos)'!$A$4:$A$848,0)),MATCH(A73,'4. Base Mestre (845 Produtos)'!$A$4:$A$848,0),IF(ISNUMBER(MATCH(B73,'4. Base Mestre (845 Produtos)'!$B$4:$B$848,0)),MATCH(B73,'4. Base Mestre (845 Produtos)'!$B$4:$B$848,0),0))),1))))))))))))))))))))))))</f>
        <v/>
      </c>
      <c r="L73" s="17" t="str">
        <f aca="false">IF(B73="","",IF(OR(ISNUMBER(SEARCH("KG",B73)),ISNUMBER(SEARCH("GR",B73))),"KG",IF(OR(ISNUMBER(SEARCH("0,200L",B73)),ISNUMBER(SEARCH("0,2L",B73)),ISNUMBER(SEARCH("0,5L",B73)),ISNUMBER(SEARCH("1,5L",B73)),ISNUMBER(SEARCH("1,8L",B73)),ISNUMBER(SEARCH("1.8L",B73)),ISNUMBER(SEARCH("1L",B73)),ISNUMBER(SEARCH("2L",B73)),ISNUMBER(SEARCH("3L",B73)),ISNUMBER(SEARCH("5L",B73)),ISNUMBER(SEARCH("10L",B73)),ISNUMBER(SEARCH("20L",B73)),ISNUMBER(SEARCH("25L",B73)),ISNUMBER(SEARCH("200L",B73)),ISNUMBER(SEARCH("1000L",B73)),ISNUMBER(SEARCH("LT",B73))),"L",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Produtos)'!$E$4:$E$848,IF(ISNUMBER(MATCH(A73,'4. Base Mestre (845 Produtos)'!$A$4:$A$848,0)),MATCH(A73,'4. Base Mestre (845 Produtos)'!$A$4:$A$848,0),IF(ISNUMBER(MATCH(B73,'4. Base Mestre (845 Produtos)'!$B$4:$B$848,0)),MATCH(B73,'4. Base Mestre (845 Produtos)'!$B$4:$B$848,0),0))),C73))))</f>
        <v/>
      </c>
      <c r="M73" s="15" t="str">
        <f aca="false">IF(B73="","",IF(C73=L73,"CONFORME — Unidade ("&amp;C73&amp;") compatível c/ Embalagem","DIVERGENTE — Embalagem em "&amp;L73&amp;", mas cadastrado em "&amp;C73))</f>
        <v/>
      </c>
      <c r="N73" s="15" t="str">
        <f aca="false">IF(B73="","",IF(K73=0,"Granel / Produto Técnico (Sem Embalagem Comercial)",IF(K73&lt;=0.3001,"Faixa 1 TIPI: Até 300g/mL (3808.61.00 / 3105.10.00)",IF(K73&lt;=7.5001,"Faixa 2 TIPI: De 300g a 7,5kg/L (3808.62.90 / 3105.10.00)",IF(K73&lt;=10.0001,"Faixa 3 TIPI: De 7,5kg a 10kg/L (3808.69.90 / 3105.10.00)","Faixa 4 TIPI: Acima de 10kg/L (3808.69.90 / Cap. 31 Geral)")))))</f>
        <v/>
      </c>
      <c r="O73" s="15" t="str">
        <f aca="false">IF(B73="","",IF(IF(ISNUMBER(MATCH(A73,'4.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Produtos)'!$H$4:$H$848,IF(ISNUMBER(MATCH(A73,'4. Base Mestre (845 Produtos)'!$A$4:$A$848,0)),MATCH(A73,'4. Base Mestre (845 Produtos)'!$A$4:$A$848,0),IF(ISNUMBER(MATCH(B73,'4. Base Mestre (845 Produtos)'!$B$4:$B$848,0)),MATCH(B73,'4. Base Mestre (845 Produtos)'!$B$4:$B$848,0),0))),IF(ISNUMBER(MATCH(D73,'3. Dicionario Principios Ativos'!$A$4:$A$245,0)),INDEX('3. Dicionario Principios Ativos'!$A$4:$A$245,MATCH(D73,'3. Dicionario Principios Ativos'!$A$4:$A$245,0)),D73)))</f>
        <v/>
      </c>
      <c r="P73" s="15" t="str">
        <f aca="false">IF(B73="","",IF(D73=O73,"CONFORME — Princípio Ativo Validado","DIVERGENTE — Substituir por: "&amp;O73))</f>
        <v/>
      </c>
      <c r="Q73" s="17" t="str">
        <f aca="false">IF(B73="","",IF(IF(IF(ISNUMBER(MATCH(A73,'4.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Produtos)'!$J$4:$J$848,IF(ISNUMBER(MATCH(A73,'4. Base Mestre (845 Produtos)'!$A$4:$A$848,0)),MATCH(A73,'4. Base Mestre (845 Produtos)'!$A$4:$A$848,0),IF(ISNUMBER(MATCH(B73,'4. Base Mestre (845 Produtos)'!$B$4:$B$848,0)),MATCH(B73,'4. Base Mestre (845 Produtos)'!$B$4:$B$848,0),0)))="SIM",IF(ISNUMBER(MATCH(D73,'3. Dicionario Principios Ativos'!$A$4:$A$245,0)),INDEX('3. Dicionario Principios Ativos'!$C$4:$C$245,MATCH(D73,'3. Dicionario Principios Ativos'!$A$4:$A$245,0))="SIM",FALSE())),IF(AND(K73&gt;0,K73&lt;=0.3001),"3808.61.00",IF(AND(K73&gt;0.3001,K73&lt;=7.5001),"3808.62.90","3808.69.90")),IF(AND(LEFT(IF(IF(ISNUMBER(MATCH(A73,'4.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Produtos)'!$L$4:$L$848,IF(ISNUMBER(MATCH(A73,'4. Base Mestre (845 Produtos)'!$A$4:$A$848,0)),MATCH(A73,'4. Base Mestre (845 Produtos)'!$A$4:$A$848,0),IF(ISNUMBER(MATCH(B73,'4. Base Mestre (845 Produtos)'!$B$4:$B$848,0)),MATCH(B73,'4. Base Mestre (845 Produtos)'!$B$4:$B$848,0),0))),IF(ISNUMBER(MATCH(D73,'3. Dicionario Principios Ativos'!$A$4:$A$245,0)),INDEX('3. Dicionario Principios Ativos'!$D$4:$D$245,MATCH(D73,'3. Dicionario Principios Ativos'!$A$4:$A$245,0)),E73)),2)="31",E73="3105.10.00",K73&gt;0,K73&lt;=10.0001),"3105.10.00",IF(AND(IF(IF(ISNUMBER(MATCH(A73,'4.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Produtos)'!$L$4:$L$848,IF(ISNUMBER(MATCH(A73,'4. Base Mestre (845 Produtos)'!$A$4:$A$848,0)),MATCH(A73,'4. Base Mestre (845 Produtos)'!$A$4:$A$848,0),IF(ISNUMBER(MATCH(B73,'4. Base Mestre (845 Produtos)'!$B$4:$B$848,0)),MATCH(B73,'4. Base Mestre (845 Produtos)'!$B$4:$B$848,0),0))),IF(ISNUMBER(MATCH(D73,'3. Dicionario Principios Ativos'!$A$4:$A$245,0)),INDEX('3. Dicionario Principios Ativos'!$D$4:$D$245,MATCH(D73,'3. Dicionario Principios Ativos'!$A$4:$A$245,0)),E73))="3105.10.00",K73&gt;10.0001),"3105.90.90",IF(IF(ISNUMBER(MATCH(A73,'4.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Produtos)'!$L$4:$L$848,IF(ISNUMBER(MATCH(A73,'4. Base Mestre (845 Produtos)'!$A$4:$A$848,0)),MATCH(A73,'4. Base Mestre (845 Produtos)'!$A$4:$A$848,0),IF(ISNUMBER(MATCH(B73,'4. Base Mestre (845 Produtos)'!$B$4:$B$848,0)),MATCH(B73,'4. Base Mestre (845 Produtos)'!$B$4:$B$848,0),0))),IF(ISNUMBER(MATCH(D73,'3. Dicionario Principios Ativos'!$A$4:$A$245,0)),INDEX('3. Dicionario Principios Ativos'!$D$4:$D$245,MATCH(D73,'3. Dicionario Principios Ativos'!$A$4:$A$245,0)),E73))))))</f>
        <v/>
      </c>
      <c r="R73" s="15" t="str">
        <f aca="false">IF(B73="","",IF(OR(E73=Q73,AND(Q73="3002.49.99",E73="3002.90.00")),"CONFORME — NCM "&amp;E73&amp;" Correta na TIPI","DIVERGENTE — Substituir "&amp;E73&amp;" por "&amp;Q73))</f>
        <v/>
      </c>
      <c r="S73" s="15" t="str">
        <f aca="false">IF(B73="","",IF(AND(E73="3808.61.00",OR(K73&gt;0.3001,K73=0)),"INCOMPATÍVEL — NCM 3808.61.00 exige emb. &lt;= 0,3kg/L (Emb. atual: "&amp;K73&amp;" "&amp;L73&amp;" -&gt; usar "&amp;Q73&amp;")",IF(AND(LEFT(E73,7)="3808.62",OR(K73&lt;=0.3001,K73&gt;7.5001)),"INCOMPATÍVEL — NCM 3808.62 exige emb. de 0,3 a 7,5kg/L (Emb. atual: "&amp;K73&amp;" "&amp;L73&amp;" -&gt; usar "&amp;Q73&amp;")",IF(AND(LEFT(E73,7)="3808.69",K73&gt;0,K73&lt;=7.5001),"INCOMPATÍVEL — NCM 3808.69 exige emb. &gt; 7,5kg/L (Emb. atual: "&amp;K73&amp;" "&amp;L73&amp;" -&gt; usar "&amp;Q73&amp;")",IF(AND(LEFT(Q73,6)="3808.6",LEFT(E73,6)&lt;&gt;"3808.6"),"INCOMPATÍVEL — Molécula Nota Subpos. 2 c/ emb. "&amp;K73&amp;" "&amp;L73&amp;" exige NCM "&amp;Q73,IF(AND(OR(E73="3808.91.19",E73="3808.92.19",E73="3808.93.19",E73="3808.99.19"),K73&gt;=1),"INCOMPATÍVEL — Subitem .19 (Domissanitário) vedado p/ emb. agrícola de "&amp;K73&amp;" "&amp;L73,IF(AND(E73="3105.10.00",K73&gt;10.0001),"INCOMPATÍVEL — NCM 3105.10.00 exige peso bruto &lt;= 10kg (Emb. atual: "&amp;K73&amp;" "&amp;L73&amp;" -&gt; usar 3105.90.90)",IF(AND(LEFT(E73,2)="29",LEFT(Q73,4)="3808",K73&gt;0),"INCOMPATÍVEL — Produto formulado em emb. comercial ("&amp;K73&amp;" "&amp;L73&amp;") vedado no Cap. 29 -&gt; usar "&amp;Q73,"CONFORME — Embalagem ("&amp;K73&amp;" "&amp;L73&amp;") compatível c/ a NCM"))))))))</f>
        <v/>
      </c>
      <c r="T73" s="17" t="str">
        <f aca="false">IF(B73="","",IF(IF(ISNUMBER(MATCH(A73,'4.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Produtos)'!$P$4:$P$848,IF(ISNUMBER(MATCH(A73,'4. Base Mestre (845 Produtos)'!$A$4:$A$848,0)),MATCH(A73,'4. Base Mestre (845 Produtos)'!$A$4:$A$848,0),IF(ISNUMBER(MATCH(B73,'4. Base Mestre (845 Produtos)'!$B$4:$B$848,0)),MATCH(B73,'4. Base Mestre (845 Produtos)'!$B$4:$B$848,0),0))),IF(ISNUMBER(MATCH(D73,'3. Dicionario Principios Ativos'!$A$4:$A$245,0)),INDEX('3. Dicionario Principios Ativos'!$K$4:$K$245,MATCH(D73,'3. Dicionario Principios Ativos'!$A$4:$A$245,0)),"VERIFICAR BULA")))</f>
        <v/>
      </c>
      <c r="U73" s="15" t="str">
        <f aca="false">IF(B73="","",IF(ISNUMBER(SEARCH("ISENTO",T73)),IF(OR(F73=0,F73="0",F73="ISENTO",F73=""),"CONFORME (DISPENSADO) — Isento pelo Ato SDA/MAPA nº 104/2017","INCORRETO — Produto isento de registro MAPA (usar 0 ou ISENTO)"),IF(ISNUMBER(SEARCH("SIPEAGRO",T73)),IF(ISNUMBER(SEARCH("-",F73)),"CONFORME — Registro SIPEAGRO ("&amp;F73&amp;") Preenchido","ADEQUAR P/ SIPEAGRO — Substituir 0 pelo Registro (UF-XXXXX-XXXXX.X)"),IF(ISNUMBER(SEARCH("VINCULAR",T73)),IF(AND(F73&lt;&gt;0,F73&lt;&gt;"0",F73&lt;&gt;""),"INCORRETO / TROCADO — Código "&amp;F73&amp;" pertence a outro produto (Vincular bula da marca)","VINCULAR MARCA — Cadastro de P.A. s/ marca fixa (Vincular registro na NF-e)"),IF(OR(F73=0,F73="0",F73=""),"AUSENTE (ZERO) — Preencher Registro Oficial MAPA nº "&amp;T73,IF(TEXT(F73,"0")=TEXT(T73,"0"),"CONFORME — Registro MAPA nº "&amp;T73&amp;" Validado na Bula","INCORRETO / TROCADO — Substituir "&amp;F73&amp;" pelo Registro Oficial nº "&amp;T73))))))</f>
        <v/>
      </c>
      <c r="V73" s="15" t="str">
        <f aca="false">IF(B73="","",IF(IF(ISNUMBER(MATCH(A73,'4.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Produtos)'!$S$4:$S$848,IF(ISNUMBER(MATCH(A73,'4. Base Mestre (845 Produtos)'!$A$4:$A$848,0)),MATCH(A73,'4. Base Mestre (845 Produtos)'!$A$4:$A$848,0),IF(ISNUMBER(MATCH(B73,'4. Base Mestre (845 Produtos)'!$B$4:$B$848,0)),MATCH(B73,'4. Base Mestre (845 Produtos)'!$B$4:$B$848,0),0))),IF(ISNUMBER(MATCH(D73,'3. Dicionario Principios Ativos'!$A$4:$A$245,0)),INDEX('3. Dicionario Principios Ativos'!$L$4:$L$245,MATCH(D73,'3. Dicionario Principios Ativos'!$A$4:$A$245,0)),"Verificar NCM")))</f>
        <v/>
      </c>
      <c r="W73" s="15" t="str">
        <f aca="false">IF(B73="","",IF(IF(ISNUMBER(MATCH(A73,'4. Base Mestre (845 Produtos)'!$A$4:$A$848,0)),MATCH(A73,'4. Base Mestre (845 Produtos)'!$A$4:$A$848,0),IF(ISNUMBER(MATCH(B73,'4. Base Mestre (845 Produtos)'!$B$4:$B$848,0)),MATCH(B73,'4. Base Mestre (845 Produtos)'!$B$4:$B$848,0),0))&gt;0,INDEX('4. Base Mestre (845 Produtos)'!$T$4:$T$848,IF(ISNUMBER(MATCH(A73,'4. Base Mestre (845 Produtos)'!$A$4:$A$848,0)),MATCH(A73,'4. Base Mestre (845 Produtos)'!$A$4:$A$848,0),IF(ISNUMBER(MATCH(B73,'4. Base Mestre (845 Produtos)'!$B$4:$B$848,0)),MATCH(B73,'4. Base Mestre (845 Produtos)'!$B$4:$B$848,0),0))),IF(ISNUMBER(MATCH(D73,'3. Dicionario Principios Ativos'!$A$4:$A$245,0)),INDEX('3. Dicionario Principios Ativos'!$M$4:$M$245,MATCH(D73,'3. Dicionario Principios Ativos'!$A$4:$A$245,0)),"Verificar CST")))</f>
        <v/>
      </c>
      <c r="X73" s="15" t="str">
        <f aca="false">IF(B73="","",IF(AND(LEFT(M73,8)="CONFORME",LEFT(P73,8)="CONFORME",LEFT(R73,8)="CONFORME",LEFT(S73,8)="CONFORME",LEFT(U73,8)="CONFORME"),"CADASTRO 100% CONFORME — LIBERADO P/ ERP",IF(AND(LEFT(M73,8)="CONFORME",LEFT(P73,8)="CONFORME",LEFT(R73,8)="CONFORME",LEFT(S73,8)="CONFORME",OR(LEFT(U73,7)="ADEQUAR",LEFT(U73,8)="VINCULAR")),"FISCAL E EMBALAGEM OK — ADEQUAR CAMPO MAPA (SIPEAGRO / MARCA)","BLOQUEADO — CORRIGIR DIVERGÊNCIAS APONTADAS ANTES DE LIBERAR NO ERP")))</f>
        <v/>
      </c>
    </row>
  </sheetData>
  <mergeCells count="20">
    <mergeCell ref="A1:X1"/>
    <mergeCell ref="A2:X2"/>
    <mergeCell ref="A4:D4"/>
    <mergeCell ref="E4:H4"/>
    <mergeCell ref="I4:L4"/>
    <mergeCell ref="M4:P4"/>
    <mergeCell ref="Q4:T4"/>
    <mergeCell ref="U4:X4"/>
    <mergeCell ref="A5:D5"/>
    <mergeCell ref="E5:H5"/>
    <mergeCell ref="I5:L5"/>
    <mergeCell ref="M5:P5"/>
    <mergeCell ref="Q5:T5"/>
    <mergeCell ref="U5:X5"/>
    <mergeCell ref="A6:D6"/>
    <mergeCell ref="E6:H6"/>
    <mergeCell ref="I6:L6"/>
    <mergeCell ref="M6:P6"/>
    <mergeCell ref="Q6:T6"/>
    <mergeCell ref="U6:X6"/>
  </mergeCells>
  <conditionalFormatting sqref="M9:M73">
    <cfRule type="expression" priority="2" aboveAverage="0" equalAverage="0" bottom="0" percent="0" rank="0" text="" dxfId="0">
      <formula>OR(LEFT(M9,8)="CONFORME",LEFT(M9,8)="CADASTRO")</formula>
    </cfRule>
    <cfRule type="expression" priority="3" aboveAverage="0" equalAverage="0" bottom="0" percent="0" rank="0" text="" dxfId="1">
      <formula>OR(LEFT(M9,10)="DIVERGENTE",LEFT(M9,12)="INCOMPATÍVEL",LEFT(M9,9)="INCORRETO",LEFT(M9,7)="AUSENTE",LEFT(M9,9)="BLOQUEADO")</formula>
    </cfRule>
    <cfRule type="expression" priority="4" aboveAverage="0" equalAverage="0" bottom="0" percent="0" rank="0" text="" dxfId="2">
      <formula>OR(LEFT(M9,7)="ADEQUAR",LEFT(M9,8)="VINCULAR",LEFT(M9,6)="FISCAL")</formula>
    </cfRule>
  </conditionalFormatting>
  <conditionalFormatting sqref="P9:P73">
    <cfRule type="expression" priority="5" aboveAverage="0" equalAverage="0" bottom="0" percent="0" rank="0" text="" dxfId="0">
      <formula>OR(LEFT(P9,8)="CONFORME",LEFT(P9,8)="CADASTRO")</formula>
    </cfRule>
    <cfRule type="expression" priority="6" aboveAverage="0" equalAverage="0" bottom="0" percent="0" rank="0" text="" dxfId="1">
      <formula>OR(LEFT(P9,10)="DIVERGENTE",LEFT(P9,12)="INCOMPATÍVEL",LEFT(P9,9)="INCORRETO",LEFT(P9,7)="AUSENTE",LEFT(P9,9)="BLOQUEADO")</formula>
    </cfRule>
    <cfRule type="expression" priority="7" aboveAverage="0" equalAverage="0" bottom="0" percent="0" rank="0" text="" dxfId="2">
      <formula>OR(LEFT(P9,7)="ADEQUAR",LEFT(P9,8)="VINCULAR",LEFT(P9,6)="FISCAL")</formula>
    </cfRule>
  </conditionalFormatting>
  <conditionalFormatting sqref="R9:R73">
    <cfRule type="expression" priority="8" aboveAverage="0" equalAverage="0" bottom="0" percent="0" rank="0" text="" dxfId="0">
      <formula>OR(LEFT(R9,8)="CONFORME",LEFT(R9,8)="CADASTRO")</formula>
    </cfRule>
    <cfRule type="expression" priority="9" aboveAverage="0" equalAverage="0" bottom="0" percent="0" rank="0" text="" dxfId="1">
      <formula>OR(LEFT(R9,10)="DIVERGENTE",LEFT(R9,12)="INCOMPATÍVEL",LEFT(R9,9)="INCORRETO",LEFT(R9,7)="AUSENTE",LEFT(R9,9)="BLOQUEADO")</formula>
    </cfRule>
    <cfRule type="expression" priority="10" aboveAverage="0" equalAverage="0" bottom="0" percent="0" rank="0" text="" dxfId="2">
      <formula>OR(LEFT(R9,7)="ADEQUAR",LEFT(R9,8)="VINCULAR",LEFT(R9,6)="FISCAL")</formula>
    </cfRule>
  </conditionalFormatting>
  <conditionalFormatting sqref="S9:S73">
    <cfRule type="expression" priority="11" aboveAverage="0" equalAverage="0" bottom="0" percent="0" rank="0" text="" dxfId="0">
      <formula>OR(LEFT(S9,8)="CONFORME",LEFT(S9,8)="CADASTRO")</formula>
    </cfRule>
    <cfRule type="expression" priority="12" aboveAverage="0" equalAverage="0" bottom="0" percent="0" rank="0" text="" dxfId="1">
      <formula>OR(LEFT(S9,10)="DIVERGENTE",LEFT(S9,12)="INCOMPATÍVEL",LEFT(S9,9)="INCORRETO",LEFT(S9,7)="AUSENTE",LEFT(S9,9)="BLOQUEADO")</formula>
    </cfRule>
    <cfRule type="expression" priority="13" aboveAverage="0" equalAverage="0" bottom="0" percent="0" rank="0" text="" dxfId="2">
      <formula>OR(LEFT(S9,7)="ADEQUAR",LEFT(S9,8)="VINCULAR",LEFT(S9,6)="FISCAL")</formula>
    </cfRule>
  </conditionalFormatting>
  <conditionalFormatting sqref="U9:U73">
    <cfRule type="expression" priority="14" aboveAverage="0" equalAverage="0" bottom="0" percent="0" rank="0" text="" dxfId="0">
      <formula>OR(LEFT(U9,8)="CONFORME",LEFT(U9,8)="CADASTRO")</formula>
    </cfRule>
    <cfRule type="expression" priority="15" aboveAverage="0" equalAverage="0" bottom="0" percent="0" rank="0" text="" dxfId="1">
      <formula>OR(LEFT(U9,10)="DIVERGENTE",LEFT(U9,12)="INCOMPATÍVEL",LEFT(U9,9)="INCORRETO",LEFT(U9,7)="AUSENTE",LEFT(U9,9)="BLOQUEADO")</formula>
    </cfRule>
    <cfRule type="expression" priority="16" aboveAverage="0" equalAverage="0" bottom="0" percent="0" rank="0" text="" dxfId="2">
      <formula>OR(LEFT(U9,7)="ADEQUAR",LEFT(U9,8)="VINCULAR",LEFT(U9,6)="FISCAL")</formula>
    </cfRule>
  </conditionalFormatting>
  <conditionalFormatting sqref="X9:X73">
    <cfRule type="expression" priority="17" aboveAverage="0" equalAverage="0" bottom="0" percent="0" rank="0" text="" dxfId="0">
      <formula>OR(LEFT(X9,8)="CONFORME",LEFT(X9,8)="CADASTRO")</formula>
    </cfRule>
    <cfRule type="expression" priority="18" aboveAverage="0" equalAverage="0" bottom="0" percent="0" rank="0" text="" dxfId="1">
      <formula>OR(LEFT(X9,10)="DIVERGENTE",LEFT(X9,12)="INCOMPATÍVEL",LEFT(X9,9)="INCORRETO",LEFT(X9,7)="AUSENTE",LEFT(X9,9)="BLOQUEADO")</formula>
    </cfRule>
    <cfRule type="expression" priority="19" aboveAverage="0" equalAverage="0" bottom="0" percent="0" rank="0" text="" dxfId="2">
      <formula>OR(LEFT(X9,7)="ADEQUAR",LEFT(X9,8)="VINCULAR",LEFT(X9,6)="FISCAL")</formula>
    </cfRule>
  </conditionalFormatting>
  <dataValidations count="2">
    <dataValidation allowBlank="true" errorStyle="stop" operator="between" showDropDown="false" showErrorMessage="false" showInputMessage="false" sqref="C9:C73" type="list">
      <formula1>"L,KG,DS,TL,UN"</formula1>
      <formula2>0</formula2>
    </dataValidation>
    <dataValidation allowBlank="true" errorStyle="stop" operator="between" showDropDown="false" showErrorMessage="false" showInputMessage="false" sqref="D9:D73" type="list">
      <formula1>'3. Dicionario Principios Ativos'!$A$4:$A$245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4" min="3" style="0" width="2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32"/>
    <col collapsed="false" customWidth="true" hidden="false" outlineLevel="0" max="11" min="11" style="0" width="46"/>
  </cols>
  <sheetData>
    <row r="1" customFormat="false" ht="27.75" hidden="false" customHeight="true" outlineLevel="0" collapsed="false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169</v>
      </c>
      <c r="B4" s="3"/>
      <c r="C4" s="4" t="s">
        <v>170</v>
      </c>
      <c r="D4" s="4"/>
      <c r="E4" s="4"/>
      <c r="F4" s="5" t="s">
        <v>171</v>
      </c>
      <c r="G4" s="5"/>
      <c r="H4" s="5"/>
      <c r="I4" s="3" t="s">
        <v>172</v>
      </c>
      <c r="J4" s="3"/>
      <c r="K4" s="3"/>
    </row>
    <row r="5" customFormat="false" ht="24" hidden="false" customHeight="true" outlineLevel="0" collapsed="false">
      <c r="A5" s="6" t="n">
        <f aca="false">'4. Base Mestre (845 Produtos)'!A849</f>
        <v>845</v>
      </c>
      <c r="B5" s="6"/>
      <c r="C5" s="6" t="n">
        <f aca="false">COUNTIF('4. Base Mestre (845 Produtos)'!J4:J848,"SIM")</f>
        <v>63</v>
      </c>
      <c r="D5" s="6"/>
      <c r="E5" s="6"/>
      <c r="F5" s="6" t="n">
        <f aca="false">SUM(D20:D26)</f>
        <v>30</v>
      </c>
      <c r="G5" s="6"/>
      <c r="H5" s="6"/>
      <c r="I5" s="6" t="n">
        <f aca="false">COUNTA('3. Dicionario Principios Ativos'!A4:A245)</f>
        <v>242</v>
      </c>
      <c r="J5" s="6"/>
      <c r="K5" s="6"/>
    </row>
    <row r="6" customFormat="false" ht="15.75" hidden="false" customHeight="true" outlineLevel="0" collapsed="false">
      <c r="A6" s="7" t="s">
        <v>173</v>
      </c>
      <c r="B6" s="7"/>
      <c r="C6" s="7" t="s">
        <v>174</v>
      </c>
      <c r="D6" s="7"/>
      <c r="E6" s="7"/>
      <c r="F6" s="7" t="s">
        <v>175</v>
      </c>
      <c r="G6" s="7"/>
      <c r="H6" s="7"/>
      <c r="I6" s="7" t="s">
        <v>176</v>
      </c>
      <c r="J6" s="7"/>
      <c r="K6" s="7"/>
    </row>
    <row r="7" customFormat="false" ht="9.75" hidden="false" customHeight="true" outlineLevel="0" collapsed="false"/>
    <row r="8" customFormat="false" ht="21.75" hidden="false" customHeight="true" outlineLevel="0" collapsed="false">
      <c r="A8" s="25" t="s">
        <v>177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customFormat="false" ht="24" hidden="false" customHeight="true" outlineLevel="0" collapsed="false">
      <c r="A9" s="8" t="s">
        <v>178</v>
      </c>
      <c r="B9" s="8" t="s">
        <v>179</v>
      </c>
      <c r="C9" s="8" t="s">
        <v>180</v>
      </c>
      <c r="D9" s="8" t="s">
        <v>181</v>
      </c>
      <c r="E9" s="8" t="s">
        <v>182</v>
      </c>
      <c r="F9" s="8" t="s">
        <v>183</v>
      </c>
      <c r="G9" s="8" t="s">
        <v>184</v>
      </c>
      <c r="H9" s="8" t="s">
        <v>185</v>
      </c>
      <c r="I9" s="8"/>
      <c r="J9" s="8"/>
      <c r="K9" s="8"/>
    </row>
    <row r="10" customFormat="false" ht="27.75" hidden="false" customHeight="true" outlineLevel="0" collapsed="false">
      <c r="A10" s="26" t="s">
        <v>186</v>
      </c>
      <c r="B10" s="27" t="s">
        <v>187</v>
      </c>
      <c r="C10" s="27" t="s">
        <v>188</v>
      </c>
      <c r="D10" s="27" t="s">
        <v>189</v>
      </c>
      <c r="E10" s="26" t="s">
        <v>45</v>
      </c>
      <c r="F10" s="27" t="s">
        <v>190</v>
      </c>
      <c r="G10" s="27" t="s">
        <v>191</v>
      </c>
      <c r="H10" s="27" t="s">
        <v>192</v>
      </c>
      <c r="I10" s="27"/>
      <c r="J10" s="27"/>
      <c r="K10" s="27"/>
    </row>
    <row r="11" customFormat="false" ht="27.75" hidden="false" customHeight="true" outlineLevel="0" collapsed="false">
      <c r="A11" s="19" t="s">
        <v>193</v>
      </c>
      <c r="B11" s="15" t="s">
        <v>187</v>
      </c>
      <c r="C11" s="15" t="s">
        <v>188</v>
      </c>
      <c r="D11" s="15" t="s">
        <v>194</v>
      </c>
      <c r="E11" s="19" t="s">
        <v>48</v>
      </c>
      <c r="F11" s="15" t="s">
        <v>195</v>
      </c>
      <c r="G11" s="15" t="s">
        <v>196</v>
      </c>
      <c r="H11" s="28" t="s">
        <v>197</v>
      </c>
      <c r="I11" s="28"/>
      <c r="J11" s="28"/>
      <c r="K11" s="28"/>
    </row>
    <row r="12" customFormat="false" ht="27.75" hidden="false" customHeight="true" outlineLevel="0" collapsed="false">
      <c r="A12" s="26" t="s">
        <v>198</v>
      </c>
      <c r="B12" s="27" t="s">
        <v>187</v>
      </c>
      <c r="C12" s="27" t="s">
        <v>188</v>
      </c>
      <c r="D12" s="27" t="s">
        <v>199</v>
      </c>
      <c r="E12" s="26" t="s">
        <v>51</v>
      </c>
      <c r="F12" s="27" t="s">
        <v>200</v>
      </c>
      <c r="G12" s="27" t="s">
        <v>201</v>
      </c>
      <c r="H12" s="27" t="s">
        <v>202</v>
      </c>
      <c r="I12" s="27"/>
      <c r="J12" s="27"/>
      <c r="K12" s="27"/>
    </row>
    <row r="13" customFormat="false" ht="27.75" hidden="false" customHeight="true" outlineLevel="0" collapsed="false">
      <c r="A13" s="19" t="s">
        <v>203</v>
      </c>
      <c r="B13" s="15" t="s">
        <v>204</v>
      </c>
      <c r="C13" s="15" t="s">
        <v>205</v>
      </c>
      <c r="D13" s="15" t="s">
        <v>206</v>
      </c>
      <c r="E13" s="19" t="s">
        <v>207</v>
      </c>
      <c r="F13" s="15" t="s">
        <v>208</v>
      </c>
      <c r="G13" s="15" t="s">
        <v>209</v>
      </c>
      <c r="H13" s="28" t="s">
        <v>210</v>
      </c>
      <c r="I13" s="28"/>
      <c r="J13" s="28"/>
      <c r="K13" s="28"/>
    </row>
    <row r="14" customFormat="false" ht="27.75" hidden="false" customHeight="true" outlineLevel="0" collapsed="false">
      <c r="A14" s="26" t="s">
        <v>211</v>
      </c>
      <c r="B14" s="27" t="s">
        <v>212</v>
      </c>
      <c r="C14" s="27" t="s">
        <v>213</v>
      </c>
      <c r="D14" s="27" t="s">
        <v>214</v>
      </c>
      <c r="E14" s="26" t="s">
        <v>215</v>
      </c>
      <c r="F14" s="27" t="s">
        <v>216</v>
      </c>
      <c r="G14" s="27" t="s">
        <v>217</v>
      </c>
      <c r="H14" s="27" t="s">
        <v>218</v>
      </c>
      <c r="I14" s="27"/>
      <c r="J14" s="27"/>
      <c r="K14" s="27"/>
    </row>
    <row r="15" customFormat="false" ht="27.75" hidden="false" customHeight="true" outlineLevel="0" collapsed="false">
      <c r="A15" s="19" t="s">
        <v>219</v>
      </c>
      <c r="B15" s="15" t="s">
        <v>220</v>
      </c>
      <c r="C15" s="15" t="s">
        <v>221</v>
      </c>
      <c r="D15" s="15" t="s">
        <v>222</v>
      </c>
      <c r="E15" s="19" t="s">
        <v>223</v>
      </c>
      <c r="F15" s="15" t="s">
        <v>224</v>
      </c>
      <c r="G15" s="15" t="s">
        <v>225</v>
      </c>
      <c r="H15" s="28" t="s">
        <v>226</v>
      </c>
      <c r="I15" s="28"/>
      <c r="J15" s="28"/>
      <c r="K15" s="28"/>
    </row>
    <row r="16" customFormat="false" ht="9.75" hidden="false" customHeight="true" outlineLevel="0" collapsed="false"/>
    <row r="17" customFormat="false" ht="9.75" hidden="false" customHeight="true" outlineLevel="0" collapsed="false"/>
    <row r="18" customFormat="false" ht="21.75" hidden="false" customHeight="true" outlineLevel="0" collapsed="false">
      <c r="A18" s="25" t="s">
        <v>227</v>
      </c>
      <c r="B18" s="25"/>
      <c r="C18" s="25"/>
      <c r="D18" s="25"/>
      <c r="E18" s="25"/>
    </row>
    <row r="19" customFormat="false" ht="21.75" hidden="false" customHeight="true" outlineLevel="0" collapsed="false">
      <c r="A19" s="29" t="s">
        <v>228</v>
      </c>
      <c r="B19" s="29" t="s">
        <v>229</v>
      </c>
      <c r="C19" s="8" t="s">
        <v>230</v>
      </c>
      <c r="D19" s="8" t="s">
        <v>231</v>
      </c>
      <c r="E19" s="8" t="s">
        <v>232</v>
      </c>
    </row>
    <row r="20" customFormat="false" ht="19.5" hidden="false" customHeight="true" outlineLevel="0" collapsed="false">
      <c r="A20" s="27" t="s">
        <v>233</v>
      </c>
      <c r="B20" s="27" t="s">
        <v>234</v>
      </c>
      <c r="C20" s="30" t="s">
        <v>48</v>
      </c>
      <c r="D20" s="31" t="n">
        <v>9</v>
      </c>
      <c r="E20" s="32" t="n">
        <f aca="false">D20/$D$27</f>
        <v>0.3</v>
      </c>
    </row>
    <row r="21" customFormat="false" ht="19.5" hidden="false" customHeight="true" outlineLevel="0" collapsed="false">
      <c r="A21" s="15" t="s">
        <v>235</v>
      </c>
      <c r="B21" s="15" t="s">
        <v>236</v>
      </c>
      <c r="C21" s="17" t="s">
        <v>51</v>
      </c>
      <c r="D21" s="33" t="n">
        <v>8</v>
      </c>
      <c r="E21" s="34" t="n">
        <f aca="false">D21/$D$27</f>
        <v>0.266666666666667</v>
      </c>
    </row>
    <row r="22" customFormat="false" ht="19.5" hidden="false" customHeight="true" outlineLevel="0" collapsed="false">
      <c r="A22" s="27" t="s">
        <v>237</v>
      </c>
      <c r="B22" s="27" t="s">
        <v>234</v>
      </c>
      <c r="C22" s="30" t="s">
        <v>48</v>
      </c>
      <c r="D22" s="31" t="n">
        <v>4</v>
      </c>
      <c r="E22" s="32" t="n">
        <f aca="false">D22/$D$27</f>
        <v>0.133333333333333</v>
      </c>
    </row>
    <row r="23" customFormat="false" ht="19.5" hidden="false" customHeight="true" outlineLevel="0" collapsed="false">
      <c r="A23" s="15" t="s">
        <v>238</v>
      </c>
      <c r="B23" s="15" t="s">
        <v>239</v>
      </c>
      <c r="C23" s="17" t="s">
        <v>45</v>
      </c>
      <c r="D23" s="33" t="n">
        <v>4</v>
      </c>
      <c r="E23" s="34" t="n">
        <f aca="false">D23/$D$27</f>
        <v>0.133333333333333</v>
      </c>
    </row>
    <row r="24" customFormat="false" ht="19.5" hidden="false" customHeight="true" outlineLevel="0" collapsed="false">
      <c r="A24" s="27" t="s">
        <v>240</v>
      </c>
      <c r="B24" s="27" t="s">
        <v>241</v>
      </c>
      <c r="C24" s="30" t="s">
        <v>242</v>
      </c>
      <c r="D24" s="31" t="n">
        <v>3</v>
      </c>
      <c r="E24" s="32" t="n">
        <f aca="false">D24/$D$27</f>
        <v>0.1</v>
      </c>
    </row>
    <row r="25" customFormat="false" ht="19.5" hidden="false" customHeight="true" outlineLevel="0" collapsed="false">
      <c r="A25" s="15" t="s">
        <v>243</v>
      </c>
      <c r="B25" s="15" t="s">
        <v>236</v>
      </c>
      <c r="C25" s="17" t="s">
        <v>51</v>
      </c>
      <c r="D25" s="33" t="n">
        <v>1</v>
      </c>
      <c r="E25" s="34" t="n">
        <f aca="false">D25/$D$27</f>
        <v>0.0333333333333333</v>
      </c>
    </row>
    <row r="26" customFormat="false" ht="19.5" hidden="false" customHeight="true" outlineLevel="0" collapsed="false">
      <c r="A26" s="27" t="s">
        <v>244</v>
      </c>
      <c r="B26" s="27" t="s">
        <v>245</v>
      </c>
      <c r="C26" s="30" t="s">
        <v>48</v>
      </c>
      <c r="D26" s="31" t="n">
        <v>1</v>
      </c>
      <c r="E26" s="32" t="n">
        <f aca="false">D26/$D$27</f>
        <v>0.0333333333333333</v>
      </c>
    </row>
    <row r="27" customFormat="false" ht="21.75" hidden="false" customHeight="true" outlineLevel="0" collapsed="false">
      <c r="A27" s="35" t="s">
        <v>246</v>
      </c>
      <c r="B27" s="35" t="s">
        <v>247</v>
      </c>
      <c r="C27" s="36" t="s">
        <v>247</v>
      </c>
      <c r="D27" s="37" t="n">
        <f aca="false">SUM(D20:D26)</f>
        <v>30</v>
      </c>
      <c r="E27" s="38" t="n">
        <f aca="false">SUM(E20:E26)</f>
        <v>1</v>
      </c>
    </row>
    <row r="28" customFormat="false" ht="12" hidden="false" customHeight="true" outlineLevel="0" collapsed="false"/>
    <row r="29" customFormat="false" ht="12" hidden="false" customHeight="true" outlineLevel="0" collapsed="false"/>
    <row r="30" customFormat="false" ht="12" hidden="false" customHeight="true" outlineLevel="0" collapsed="false"/>
    <row r="31" customFormat="false" ht="12" hidden="false" customHeight="true" outlineLevel="0" collapsed="false"/>
    <row r="32" customFormat="false" ht="12" hidden="false" customHeight="true" outlineLevel="0" collapsed="false"/>
    <row r="33" customFormat="false" ht="12" hidden="false" customHeight="true" outlineLevel="0" collapsed="false"/>
    <row r="34" customFormat="false" ht="12" hidden="false" customHeight="true" outlineLevel="0" collapsed="false"/>
    <row r="35" customFormat="false" ht="12" hidden="false" customHeight="true" outlineLevel="0" collapsed="false"/>
    <row r="36" customFormat="false" ht="21.75" hidden="false" customHeight="true" outlineLevel="0" collapsed="false">
      <c r="A36" s="25" t="s">
        <v>248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customFormat="false" ht="24" hidden="false" customHeight="true" outlineLevel="0" collapsed="false">
      <c r="A37" s="8" t="s">
        <v>249</v>
      </c>
      <c r="B37" s="8" t="s">
        <v>250</v>
      </c>
      <c r="C37" s="8" t="s">
        <v>251</v>
      </c>
      <c r="D37" s="8" t="s">
        <v>252</v>
      </c>
      <c r="E37" s="8" t="s">
        <v>253</v>
      </c>
      <c r="F37" s="8" t="s">
        <v>254</v>
      </c>
      <c r="G37" s="8" t="s">
        <v>255</v>
      </c>
      <c r="H37" s="8" t="s">
        <v>256</v>
      </c>
      <c r="I37" s="8" t="s">
        <v>257</v>
      </c>
      <c r="J37" s="8" t="s">
        <v>258</v>
      </c>
      <c r="K37" s="8" t="s">
        <v>259</v>
      </c>
    </row>
    <row r="38" customFormat="false" ht="21" hidden="false" customHeight="true" outlineLevel="0" collapsed="false">
      <c r="A38" s="26" t="n">
        <v>18</v>
      </c>
      <c r="B38" s="27" t="s">
        <v>80</v>
      </c>
      <c r="C38" s="30" t="s">
        <v>260</v>
      </c>
      <c r="D38" s="39" t="n">
        <v>5</v>
      </c>
      <c r="E38" s="30" t="s">
        <v>39</v>
      </c>
      <c r="F38" s="30" t="s">
        <v>39</v>
      </c>
      <c r="G38" s="27" t="s">
        <v>81</v>
      </c>
      <c r="H38" s="30" t="s">
        <v>82</v>
      </c>
      <c r="I38" s="26" t="s">
        <v>48</v>
      </c>
      <c r="J38" s="27" t="s">
        <v>261</v>
      </c>
      <c r="K38" s="27" t="s">
        <v>262</v>
      </c>
    </row>
    <row r="39" customFormat="false" ht="21" hidden="false" customHeight="true" outlineLevel="0" collapsed="false">
      <c r="A39" s="19" t="n">
        <v>429</v>
      </c>
      <c r="B39" s="15" t="s">
        <v>84</v>
      </c>
      <c r="C39" s="17" t="s">
        <v>263</v>
      </c>
      <c r="D39" s="16" t="n">
        <v>20</v>
      </c>
      <c r="E39" s="17" t="s">
        <v>39</v>
      </c>
      <c r="F39" s="17" t="s">
        <v>39</v>
      </c>
      <c r="G39" s="15" t="s">
        <v>70</v>
      </c>
      <c r="H39" s="17" t="s">
        <v>82</v>
      </c>
      <c r="I39" s="19" t="s">
        <v>51</v>
      </c>
      <c r="J39" s="15" t="s">
        <v>264</v>
      </c>
      <c r="K39" s="15" t="s">
        <v>265</v>
      </c>
    </row>
    <row r="40" customFormat="false" ht="21" hidden="false" customHeight="true" outlineLevel="0" collapsed="false">
      <c r="A40" s="26" t="n">
        <v>469</v>
      </c>
      <c r="B40" s="27" t="s">
        <v>67</v>
      </c>
      <c r="C40" s="30" t="s">
        <v>266</v>
      </c>
      <c r="D40" s="39" t="n">
        <v>5</v>
      </c>
      <c r="E40" s="30" t="s">
        <v>39</v>
      </c>
      <c r="F40" s="30" t="s">
        <v>39</v>
      </c>
      <c r="G40" s="27" t="s">
        <v>44</v>
      </c>
      <c r="H40" s="30" t="s">
        <v>51</v>
      </c>
      <c r="I40" s="26" t="s">
        <v>48</v>
      </c>
      <c r="J40" s="27" t="s">
        <v>261</v>
      </c>
      <c r="K40" s="27" t="s">
        <v>267</v>
      </c>
    </row>
    <row r="41" customFormat="false" ht="21" hidden="false" customHeight="true" outlineLevel="0" collapsed="false">
      <c r="A41" s="19" t="n">
        <v>517</v>
      </c>
      <c r="B41" s="15" t="s">
        <v>113</v>
      </c>
      <c r="C41" s="17" t="s">
        <v>260</v>
      </c>
      <c r="D41" s="16" t="n">
        <v>5</v>
      </c>
      <c r="E41" s="17" t="s">
        <v>39</v>
      </c>
      <c r="F41" s="17" t="s">
        <v>39</v>
      </c>
      <c r="G41" s="15" t="s">
        <v>44</v>
      </c>
      <c r="H41" s="17" t="s">
        <v>51</v>
      </c>
      <c r="I41" s="19" t="s">
        <v>48</v>
      </c>
      <c r="J41" s="15" t="s">
        <v>261</v>
      </c>
      <c r="K41" s="15" t="s">
        <v>267</v>
      </c>
    </row>
    <row r="42" customFormat="false" ht="21" hidden="false" customHeight="true" outlineLevel="0" collapsed="false">
      <c r="A42" s="26" t="n">
        <v>624</v>
      </c>
      <c r="B42" s="27" t="s">
        <v>268</v>
      </c>
      <c r="C42" s="30" t="s">
        <v>260</v>
      </c>
      <c r="D42" s="39" t="n">
        <v>5</v>
      </c>
      <c r="E42" s="30" t="s">
        <v>39</v>
      </c>
      <c r="F42" s="30" t="s">
        <v>39</v>
      </c>
      <c r="G42" s="27" t="s">
        <v>269</v>
      </c>
      <c r="H42" s="30" t="s">
        <v>82</v>
      </c>
      <c r="I42" s="26" t="s">
        <v>48</v>
      </c>
      <c r="J42" s="27" t="s">
        <v>261</v>
      </c>
      <c r="K42" s="27" t="s">
        <v>262</v>
      </c>
    </row>
    <row r="43" customFormat="false" ht="21" hidden="false" customHeight="true" outlineLevel="0" collapsed="false">
      <c r="A43" s="19" t="n">
        <v>1534</v>
      </c>
      <c r="B43" s="15" t="s">
        <v>270</v>
      </c>
      <c r="C43" s="17" t="s">
        <v>263</v>
      </c>
      <c r="D43" s="16" t="n">
        <v>20</v>
      </c>
      <c r="E43" s="17" t="s">
        <v>39</v>
      </c>
      <c r="F43" s="17" t="s">
        <v>39</v>
      </c>
      <c r="G43" s="15" t="s">
        <v>70</v>
      </c>
      <c r="H43" s="17" t="s">
        <v>82</v>
      </c>
      <c r="I43" s="19" t="s">
        <v>51</v>
      </c>
      <c r="J43" s="15" t="s">
        <v>264</v>
      </c>
      <c r="K43" s="15" t="s">
        <v>265</v>
      </c>
    </row>
    <row r="44" customFormat="false" ht="21" hidden="false" customHeight="true" outlineLevel="0" collapsed="false">
      <c r="A44" s="26" t="n">
        <v>1641</v>
      </c>
      <c r="B44" s="27" t="s">
        <v>271</v>
      </c>
      <c r="C44" s="30" t="s">
        <v>272</v>
      </c>
      <c r="D44" s="39" t="n">
        <v>5</v>
      </c>
      <c r="E44" s="30" t="s">
        <v>63</v>
      </c>
      <c r="F44" s="30" t="s">
        <v>63</v>
      </c>
      <c r="G44" s="27" t="s">
        <v>78</v>
      </c>
      <c r="H44" s="30" t="s">
        <v>82</v>
      </c>
      <c r="I44" s="26" t="s">
        <v>48</v>
      </c>
      <c r="J44" s="27" t="s">
        <v>261</v>
      </c>
      <c r="K44" s="27" t="s">
        <v>273</v>
      </c>
    </row>
    <row r="45" customFormat="false" ht="21" hidden="false" customHeight="true" outlineLevel="0" collapsed="false">
      <c r="A45" s="19" t="n">
        <v>1898</v>
      </c>
      <c r="B45" s="15" t="s">
        <v>274</v>
      </c>
      <c r="C45" s="17" t="s">
        <v>275</v>
      </c>
      <c r="D45" s="16" t="n">
        <v>10</v>
      </c>
      <c r="E45" s="17" t="s">
        <v>63</v>
      </c>
      <c r="F45" s="17" t="s">
        <v>63</v>
      </c>
      <c r="G45" s="15" t="s">
        <v>78</v>
      </c>
      <c r="H45" s="17" t="s">
        <v>82</v>
      </c>
      <c r="I45" s="19" t="s">
        <v>51</v>
      </c>
      <c r="J45" s="15" t="s">
        <v>276</v>
      </c>
      <c r="K45" s="15" t="s">
        <v>277</v>
      </c>
    </row>
    <row r="46" customFormat="false" ht="21" hidden="false" customHeight="true" outlineLevel="0" collapsed="false">
      <c r="A46" s="26" t="n">
        <v>2620</v>
      </c>
      <c r="B46" s="27" t="s">
        <v>278</v>
      </c>
      <c r="C46" s="30" t="s">
        <v>279</v>
      </c>
      <c r="D46" s="39" t="n">
        <v>10</v>
      </c>
      <c r="E46" s="30" t="s">
        <v>39</v>
      </c>
      <c r="F46" s="30" t="s">
        <v>39</v>
      </c>
      <c r="G46" s="27" t="s">
        <v>70</v>
      </c>
      <c r="H46" s="30" t="s">
        <v>82</v>
      </c>
      <c r="I46" s="26" t="s">
        <v>51</v>
      </c>
      <c r="J46" s="27" t="s">
        <v>276</v>
      </c>
      <c r="K46" s="27" t="s">
        <v>280</v>
      </c>
    </row>
    <row r="47" customFormat="false" ht="21" hidden="false" customHeight="true" outlineLevel="0" collapsed="false">
      <c r="A47" s="19" t="n">
        <v>2663</v>
      </c>
      <c r="B47" s="15" t="s">
        <v>281</v>
      </c>
      <c r="C47" s="17" t="s">
        <v>260</v>
      </c>
      <c r="D47" s="16" t="n">
        <v>5</v>
      </c>
      <c r="E47" s="17" t="s">
        <v>39</v>
      </c>
      <c r="F47" s="17" t="s">
        <v>39</v>
      </c>
      <c r="G47" s="15" t="s">
        <v>70</v>
      </c>
      <c r="H47" s="17" t="s">
        <v>82</v>
      </c>
      <c r="I47" s="19" t="s">
        <v>48</v>
      </c>
      <c r="J47" s="15" t="s">
        <v>261</v>
      </c>
      <c r="K47" s="15" t="s">
        <v>262</v>
      </c>
    </row>
    <row r="48" customFormat="false" ht="21" hidden="false" customHeight="true" outlineLevel="0" collapsed="false">
      <c r="A48" s="26" t="n">
        <v>2878</v>
      </c>
      <c r="B48" s="27" t="s">
        <v>282</v>
      </c>
      <c r="C48" s="30" t="s">
        <v>260</v>
      </c>
      <c r="D48" s="39" t="n">
        <v>5</v>
      </c>
      <c r="E48" s="30" t="s">
        <v>39</v>
      </c>
      <c r="F48" s="30" t="s">
        <v>39</v>
      </c>
      <c r="G48" s="27" t="s">
        <v>44</v>
      </c>
      <c r="H48" s="30" t="s">
        <v>51</v>
      </c>
      <c r="I48" s="26" t="s">
        <v>48</v>
      </c>
      <c r="J48" s="27" t="s">
        <v>261</v>
      </c>
      <c r="K48" s="27" t="s">
        <v>267</v>
      </c>
    </row>
    <row r="49" customFormat="false" ht="21" hidden="false" customHeight="true" outlineLevel="0" collapsed="false">
      <c r="A49" s="19" t="n">
        <v>2903</v>
      </c>
      <c r="B49" s="15" t="s">
        <v>283</v>
      </c>
      <c r="C49" s="17" t="s">
        <v>263</v>
      </c>
      <c r="D49" s="16" t="n">
        <v>20</v>
      </c>
      <c r="E49" s="17" t="s">
        <v>39</v>
      </c>
      <c r="F49" s="17" t="s">
        <v>39</v>
      </c>
      <c r="G49" s="15" t="s">
        <v>70</v>
      </c>
      <c r="H49" s="17" t="s">
        <v>82</v>
      </c>
      <c r="I49" s="19" t="s">
        <v>51</v>
      </c>
      <c r="J49" s="15" t="s">
        <v>264</v>
      </c>
      <c r="K49" s="15" t="s">
        <v>265</v>
      </c>
    </row>
    <row r="50" customFormat="false" ht="21" hidden="false" customHeight="true" outlineLevel="0" collapsed="false">
      <c r="A50" s="26" t="n">
        <v>3068</v>
      </c>
      <c r="B50" s="27" t="s">
        <v>69</v>
      </c>
      <c r="C50" s="30" t="s">
        <v>279</v>
      </c>
      <c r="D50" s="39" t="n">
        <v>10</v>
      </c>
      <c r="E50" s="30" t="s">
        <v>39</v>
      </c>
      <c r="F50" s="30" t="s">
        <v>39</v>
      </c>
      <c r="G50" s="27" t="s">
        <v>70</v>
      </c>
      <c r="H50" s="30" t="s">
        <v>48</v>
      </c>
      <c r="I50" s="26" t="s">
        <v>51</v>
      </c>
      <c r="J50" s="27" t="s">
        <v>276</v>
      </c>
      <c r="K50" s="27" t="s">
        <v>284</v>
      </c>
    </row>
    <row r="51" customFormat="false" ht="21" hidden="false" customHeight="true" outlineLevel="0" collapsed="false">
      <c r="A51" s="19" t="n">
        <v>3075</v>
      </c>
      <c r="B51" s="15" t="s">
        <v>98</v>
      </c>
      <c r="C51" s="17" t="s">
        <v>260</v>
      </c>
      <c r="D51" s="16" t="n">
        <v>5</v>
      </c>
      <c r="E51" s="17" t="s">
        <v>39</v>
      </c>
      <c r="F51" s="17" t="s">
        <v>63</v>
      </c>
      <c r="G51" s="15" t="s">
        <v>99</v>
      </c>
      <c r="H51" s="17" t="s">
        <v>82</v>
      </c>
      <c r="I51" s="19" t="s">
        <v>82</v>
      </c>
      <c r="J51" s="15" t="s">
        <v>261</v>
      </c>
      <c r="K51" s="15" t="s">
        <v>285</v>
      </c>
    </row>
    <row r="52" customFormat="false" ht="21" hidden="false" customHeight="true" outlineLevel="0" collapsed="false">
      <c r="A52" s="26" t="n">
        <v>3210</v>
      </c>
      <c r="B52" s="27" t="s">
        <v>286</v>
      </c>
      <c r="C52" s="30" t="s">
        <v>287</v>
      </c>
      <c r="D52" s="39" t="n">
        <v>10</v>
      </c>
      <c r="E52" s="30" t="s">
        <v>63</v>
      </c>
      <c r="F52" s="30" t="s">
        <v>63</v>
      </c>
      <c r="G52" s="27" t="s">
        <v>78</v>
      </c>
      <c r="H52" s="30" t="s">
        <v>82</v>
      </c>
      <c r="I52" s="26" t="s">
        <v>51</v>
      </c>
      <c r="J52" s="27" t="s">
        <v>276</v>
      </c>
      <c r="K52" s="27" t="s">
        <v>277</v>
      </c>
    </row>
    <row r="53" customFormat="false" ht="21" hidden="false" customHeight="true" outlineLevel="0" collapsed="false">
      <c r="A53" s="19" t="n">
        <v>3974</v>
      </c>
      <c r="B53" s="15" t="s">
        <v>101</v>
      </c>
      <c r="C53" s="17" t="s">
        <v>288</v>
      </c>
      <c r="D53" s="16" t="n">
        <v>0.2</v>
      </c>
      <c r="E53" s="17" t="s">
        <v>39</v>
      </c>
      <c r="F53" s="17" t="s">
        <v>63</v>
      </c>
      <c r="G53" s="15" t="s">
        <v>102</v>
      </c>
      <c r="H53" s="17" t="s">
        <v>82</v>
      </c>
      <c r="I53" s="19" t="s">
        <v>82</v>
      </c>
      <c r="J53" s="15" t="s">
        <v>289</v>
      </c>
      <c r="K53" s="15" t="s">
        <v>290</v>
      </c>
    </row>
    <row r="54" customFormat="false" ht="21" hidden="false" customHeight="true" outlineLevel="0" collapsed="false">
      <c r="A54" s="26" t="n">
        <v>4490</v>
      </c>
      <c r="B54" s="27" t="s">
        <v>72</v>
      </c>
      <c r="C54" s="30" t="s">
        <v>288</v>
      </c>
      <c r="D54" s="39" t="n">
        <v>0.2</v>
      </c>
      <c r="E54" s="30" t="s">
        <v>39</v>
      </c>
      <c r="F54" s="30" t="s">
        <v>39</v>
      </c>
      <c r="G54" s="27" t="s">
        <v>70</v>
      </c>
      <c r="H54" s="30" t="s">
        <v>48</v>
      </c>
      <c r="I54" s="26" t="s">
        <v>45</v>
      </c>
      <c r="J54" s="27" t="s">
        <v>289</v>
      </c>
      <c r="K54" s="27" t="s">
        <v>291</v>
      </c>
    </row>
    <row r="55" customFormat="false" ht="21" hidden="false" customHeight="true" outlineLevel="0" collapsed="false">
      <c r="A55" s="19" t="n">
        <v>4914</v>
      </c>
      <c r="B55" s="15" t="s">
        <v>74</v>
      </c>
      <c r="C55" s="17" t="s">
        <v>292</v>
      </c>
      <c r="D55" s="16" t="n">
        <v>0.2</v>
      </c>
      <c r="E55" s="17" t="s">
        <v>39</v>
      </c>
      <c r="F55" s="17" t="s">
        <v>39</v>
      </c>
      <c r="G55" s="15" t="s">
        <v>75</v>
      </c>
      <c r="H55" s="17" t="s">
        <v>51</v>
      </c>
      <c r="I55" s="19" t="s">
        <v>45</v>
      </c>
      <c r="J55" s="15" t="s">
        <v>289</v>
      </c>
      <c r="K55" s="15" t="s">
        <v>293</v>
      </c>
    </row>
    <row r="56" customFormat="false" ht="21" hidden="false" customHeight="true" outlineLevel="0" collapsed="false">
      <c r="A56" s="26" t="n">
        <v>5605</v>
      </c>
      <c r="B56" s="27" t="s">
        <v>294</v>
      </c>
      <c r="C56" s="30" t="s">
        <v>272</v>
      </c>
      <c r="D56" s="39" t="n">
        <v>5</v>
      </c>
      <c r="E56" s="30" t="s">
        <v>63</v>
      </c>
      <c r="F56" s="30" t="s">
        <v>63</v>
      </c>
      <c r="G56" s="27" t="s">
        <v>78</v>
      </c>
      <c r="H56" s="30" t="s">
        <v>82</v>
      </c>
      <c r="I56" s="26" t="s">
        <v>48</v>
      </c>
      <c r="J56" s="27" t="s">
        <v>261</v>
      </c>
      <c r="K56" s="27" t="s">
        <v>273</v>
      </c>
    </row>
    <row r="57" customFormat="false" ht="21" hidden="false" customHeight="true" outlineLevel="0" collapsed="false">
      <c r="A57" s="19" t="n">
        <v>5610</v>
      </c>
      <c r="B57" s="15" t="s">
        <v>295</v>
      </c>
      <c r="C57" s="17" t="s">
        <v>296</v>
      </c>
      <c r="D57" s="16" t="n">
        <v>1</v>
      </c>
      <c r="E57" s="17" t="s">
        <v>39</v>
      </c>
      <c r="F57" s="17" t="s">
        <v>39</v>
      </c>
      <c r="G57" s="15" t="s">
        <v>297</v>
      </c>
      <c r="H57" s="17" t="s">
        <v>111</v>
      </c>
      <c r="I57" s="19" t="s">
        <v>48</v>
      </c>
      <c r="J57" s="15" t="s">
        <v>261</v>
      </c>
      <c r="K57" s="15" t="s">
        <v>298</v>
      </c>
    </row>
    <row r="58" customFormat="false" ht="21" hidden="false" customHeight="true" outlineLevel="0" collapsed="false">
      <c r="A58" s="26" t="n">
        <v>5625</v>
      </c>
      <c r="B58" s="27" t="s">
        <v>299</v>
      </c>
      <c r="C58" s="30" t="s">
        <v>272</v>
      </c>
      <c r="D58" s="39" t="n">
        <v>5</v>
      </c>
      <c r="E58" s="30" t="s">
        <v>63</v>
      </c>
      <c r="F58" s="30" t="s">
        <v>63</v>
      </c>
      <c r="G58" s="27" t="s">
        <v>300</v>
      </c>
      <c r="H58" s="30" t="s">
        <v>51</v>
      </c>
      <c r="I58" s="26" t="s">
        <v>65</v>
      </c>
      <c r="J58" s="27" t="s">
        <v>261</v>
      </c>
      <c r="K58" s="27" t="s">
        <v>301</v>
      </c>
    </row>
    <row r="59" customFormat="false" ht="21" hidden="false" customHeight="true" outlineLevel="0" collapsed="false">
      <c r="A59" s="19" t="n">
        <v>5629</v>
      </c>
      <c r="B59" s="15" t="s">
        <v>104</v>
      </c>
      <c r="C59" s="17" t="s">
        <v>302</v>
      </c>
      <c r="D59" s="16" t="n">
        <v>1.5</v>
      </c>
      <c r="E59" s="17" t="s">
        <v>63</v>
      </c>
      <c r="F59" s="17" t="s">
        <v>39</v>
      </c>
      <c r="G59" s="15" t="s">
        <v>105</v>
      </c>
      <c r="H59" s="17" t="s">
        <v>106</v>
      </c>
      <c r="I59" s="19" t="s">
        <v>106</v>
      </c>
      <c r="J59" s="15" t="s">
        <v>261</v>
      </c>
      <c r="K59" s="15" t="s">
        <v>303</v>
      </c>
    </row>
    <row r="60" customFormat="false" ht="21" hidden="false" customHeight="true" outlineLevel="0" collapsed="false">
      <c r="A60" s="26" t="n">
        <v>5638</v>
      </c>
      <c r="B60" s="27" t="s">
        <v>304</v>
      </c>
      <c r="C60" s="30" t="s">
        <v>260</v>
      </c>
      <c r="D60" s="39" t="n">
        <v>5</v>
      </c>
      <c r="E60" s="30" t="s">
        <v>39</v>
      </c>
      <c r="F60" s="30" t="s">
        <v>39</v>
      </c>
      <c r="G60" s="27" t="s">
        <v>87</v>
      </c>
      <c r="H60" s="30" t="s">
        <v>82</v>
      </c>
      <c r="I60" s="26" t="s">
        <v>48</v>
      </c>
      <c r="J60" s="27" t="s">
        <v>261</v>
      </c>
      <c r="K60" s="27" t="s">
        <v>262</v>
      </c>
    </row>
    <row r="61" customFormat="false" ht="21" hidden="false" customHeight="true" outlineLevel="0" collapsed="false">
      <c r="A61" s="19" t="n">
        <v>5668</v>
      </c>
      <c r="B61" s="15" t="s">
        <v>305</v>
      </c>
      <c r="C61" s="17" t="s">
        <v>263</v>
      </c>
      <c r="D61" s="16" t="n">
        <v>20</v>
      </c>
      <c r="E61" s="17" t="s">
        <v>39</v>
      </c>
      <c r="F61" s="17" t="s">
        <v>39</v>
      </c>
      <c r="G61" s="15" t="s">
        <v>306</v>
      </c>
      <c r="H61" s="17" t="s">
        <v>82</v>
      </c>
      <c r="I61" s="19" t="s">
        <v>51</v>
      </c>
      <c r="J61" s="15" t="s">
        <v>264</v>
      </c>
      <c r="K61" s="15" t="s">
        <v>265</v>
      </c>
    </row>
    <row r="62" customFormat="false" ht="21" hidden="false" customHeight="true" outlineLevel="0" collapsed="false">
      <c r="A62" s="26" t="n">
        <v>5674</v>
      </c>
      <c r="B62" s="27" t="s">
        <v>307</v>
      </c>
      <c r="C62" s="30" t="s">
        <v>260</v>
      </c>
      <c r="D62" s="39" t="n">
        <v>5</v>
      </c>
      <c r="E62" s="30" t="s">
        <v>39</v>
      </c>
      <c r="F62" s="30" t="s">
        <v>39</v>
      </c>
      <c r="G62" s="27" t="s">
        <v>308</v>
      </c>
      <c r="H62" s="30" t="s">
        <v>82</v>
      </c>
      <c r="I62" s="26" t="s">
        <v>48</v>
      </c>
      <c r="J62" s="27" t="s">
        <v>261</v>
      </c>
      <c r="K62" s="27" t="s">
        <v>262</v>
      </c>
    </row>
    <row r="63" customFormat="false" ht="21" hidden="false" customHeight="true" outlineLevel="0" collapsed="false">
      <c r="A63" s="19" t="n">
        <v>5677</v>
      </c>
      <c r="B63" s="15" t="s">
        <v>309</v>
      </c>
      <c r="C63" s="17" t="s">
        <v>263</v>
      </c>
      <c r="D63" s="16" t="n">
        <v>20</v>
      </c>
      <c r="E63" s="17" t="s">
        <v>39</v>
      </c>
      <c r="F63" s="17" t="s">
        <v>39</v>
      </c>
      <c r="G63" s="15" t="s">
        <v>310</v>
      </c>
      <c r="H63" s="17" t="s">
        <v>82</v>
      </c>
      <c r="I63" s="19" t="s">
        <v>51</v>
      </c>
      <c r="J63" s="15" t="s">
        <v>264</v>
      </c>
      <c r="K63" s="15" t="s">
        <v>265</v>
      </c>
    </row>
    <row r="64" customFormat="false" ht="21" hidden="false" customHeight="true" outlineLevel="0" collapsed="false">
      <c r="A64" s="26" t="n">
        <v>5710</v>
      </c>
      <c r="B64" s="27" t="s">
        <v>86</v>
      </c>
      <c r="C64" s="30" t="s">
        <v>260</v>
      </c>
      <c r="D64" s="39" t="n">
        <v>5</v>
      </c>
      <c r="E64" s="30" t="s">
        <v>39</v>
      </c>
      <c r="F64" s="30" t="s">
        <v>39</v>
      </c>
      <c r="G64" s="27" t="s">
        <v>87</v>
      </c>
      <c r="H64" s="30" t="s">
        <v>88</v>
      </c>
      <c r="I64" s="26" t="s">
        <v>48</v>
      </c>
      <c r="J64" s="27" t="s">
        <v>261</v>
      </c>
      <c r="K64" s="27" t="s">
        <v>311</v>
      </c>
    </row>
    <row r="65" customFormat="false" ht="21" hidden="false" customHeight="true" outlineLevel="0" collapsed="false">
      <c r="A65" s="19" t="n">
        <v>6750</v>
      </c>
      <c r="B65" s="15" t="s">
        <v>312</v>
      </c>
      <c r="C65" s="17" t="s">
        <v>292</v>
      </c>
      <c r="D65" s="16" t="n">
        <v>0.2</v>
      </c>
      <c r="E65" s="17" t="s">
        <v>39</v>
      </c>
      <c r="F65" s="17" t="s">
        <v>39</v>
      </c>
      <c r="G65" s="15" t="s">
        <v>44</v>
      </c>
      <c r="H65" s="17" t="s">
        <v>51</v>
      </c>
      <c r="I65" s="19" t="s">
        <v>45</v>
      </c>
      <c r="J65" s="15" t="s">
        <v>289</v>
      </c>
      <c r="K65" s="15" t="s">
        <v>293</v>
      </c>
    </row>
    <row r="66" customFormat="false" ht="21" hidden="false" customHeight="true" outlineLevel="0" collapsed="false">
      <c r="A66" s="26" t="n">
        <v>7216</v>
      </c>
      <c r="B66" s="27" t="s">
        <v>313</v>
      </c>
      <c r="C66" s="30" t="s">
        <v>314</v>
      </c>
      <c r="D66" s="39" t="n">
        <v>20</v>
      </c>
      <c r="E66" s="30" t="s">
        <v>39</v>
      </c>
      <c r="F66" s="30" t="s">
        <v>39</v>
      </c>
      <c r="G66" s="27" t="s">
        <v>315</v>
      </c>
      <c r="H66" s="30" t="s">
        <v>82</v>
      </c>
      <c r="I66" s="26" t="s">
        <v>51</v>
      </c>
      <c r="J66" s="27" t="s">
        <v>264</v>
      </c>
      <c r="K66" s="27" t="s">
        <v>265</v>
      </c>
    </row>
    <row r="67" customFormat="false" ht="21" hidden="false" customHeight="true" outlineLevel="0" collapsed="false">
      <c r="A67" s="19" t="n">
        <v>7374</v>
      </c>
      <c r="B67" s="15" t="s">
        <v>77</v>
      </c>
      <c r="C67" s="17" t="s">
        <v>316</v>
      </c>
      <c r="D67" s="16" t="n">
        <v>0.1</v>
      </c>
      <c r="E67" s="17" t="s">
        <v>63</v>
      </c>
      <c r="F67" s="17" t="s">
        <v>63</v>
      </c>
      <c r="G67" s="15" t="s">
        <v>78</v>
      </c>
      <c r="H67" s="17" t="s">
        <v>51</v>
      </c>
      <c r="I67" s="19" t="s">
        <v>45</v>
      </c>
      <c r="J67" s="15" t="s">
        <v>289</v>
      </c>
      <c r="K67" s="15" t="s">
        <v>317</v>
      </c>
    </row>
  </sheetData>
  <mergeCells count="24">
    <mergeCell ref="A1:K1"/>
    <mergeCell ref="A2:K2"/>
    <mergeCell ref="A4:B4"/>
    <mergeCell ref="C4:E4"/>
    <mergeCell ref="F4:H4"/>
    <mergeCell ref="I4:K4"/>
    <mergeCell ref="A5:B5"/>
    <mergeCell ref="C5:E5"/>
    <mergeCell ref="F5:H5"/>
    <mergeCell ref="I5:K5"/>
    <mergeCell ref="A6:B6"/>
    <mergeCell ref="C6:E6"/>
    <mergeCell ref="F6:H6"/>
    <mergeCell ref="I6:K6"/>
    <mergeCell ref="A8:K8"/>
    <mergeCell ref="H9:K9"/>
    <mergeCell ref="H10:K10"/>
    <mergeCell ref="H11:K11"/>
    <mergeCell ref="H12:K12"/>
    <mergeCell ref="H13:K13"/>
    <mergeCell ref="H14:K14"/>
    <mergeCell ref="H15:K15"/>
    <mergeCell ref="A18:E18"/>
    <mergeCell ref="A36:K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9" min="3" style="0" width="16"/>
    <col collapsed="false" customWidth="true" hidden="false" outlineLevel="0" max="10" min="10" style="0" width="44"/>
    <col collapsed="false" customWidth="true" hidden="false" outlineLevel="0" max="11" min="11" style="0" width="32"/>
    <col collapsed="false" customWidth="true" hidden="false" outlineLevel="0" max="12" min="12" style="0" width="44"/>
    <col collapsed="false" customWidth="true" hidden="false" outlineLevel="0" max="13" min="13" style="0" width="36"/>
    <col collapsed="false" customWidth="true" hidden="false" outlineLevel="0" max="14" min="14" style="0" width="16"/>
  </cols>
  <sheetData>
    <row r="1" customFormat="false" ht="27.75" hidden="false" customHeight="true" outlineLevel="0" collapsed="false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319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.5" hidden="false" customHeight="true" outlineLevel="0" collapsed="false">
      <c r="A3" s="8" t="s">
        <v>320</v>
      </c>
      <c r="B3" s="8" t="s">
        <v>321</v>
      </c>
      <c r="C3" s="8" t="s">
        <v>322</v>
      </c>
      <c r="D3" s="8" t="s">
        <v>323</v>
      </c>
      <c r="E3" s="9" t="s">
        <v>324</v>
      </c>
      <c r="F3" s="9" t="s">
        <v>325</v>
      </c>
      <c r="G3" s="9" t="s">
        <v>326</v>
      </c>
      <c r="H3" s="9" t="s">
        <v>327</v>
      </c>
      <c r="I3" s="9" t="s">
        <v>328</v>
      </c>
      <c r="J3" s="9" t="s">
        <v>329</v>
      </c>
      <c r="K3" s="9" t="s">
        <v>330</v>
      </c>
      <c r="L3" s="9" t="s">
        <v>331</v>
      </c>
      <c r="M3" s="9" t="s">
        <v>332</v>
      </c>
      <c r="N3" s="9" t="s">
        <v>333</v>
      </c>
    </row>
    <row r="4" customFormat="false" ht="19.5" hidden="false" customHeight="true" outlineLevel="0" collapsed="false">
      <c r="A4" s="40" t="s">
        <v>334</v>
      </c>
      <c r="B4" s="27" t="s">
        <v>335</v>
      </c>
      <c r="C4" s="30" t="s">
        <v>336</v>
      </c>
      <c r="D4" s="26" t="s">
        <v>337</v>
      </c>
      <c r="E4" s="30" t="s">
        <v>337</v>
      </c>
      <c r="F4" s="30" t="s">
        <v>337</v>
      </c>
      <c r="G4" s="30" t="s">
        <v>337</v>
      </c>
      <c r="H4" s="30" t="s">
        <v>337</v>
      </c>
      <c r="I4" s="30" t="s">
        <v>337</v>
      </c>
      <c r="J4" s="27" t="s">
        <v>338</v>
      </c>
      <c r="K4" s="27" t="s">
        <v>339</v>
      </c>
      <c r="L4" s="27" t="s">
        <v>340</v>
      </c>
      <c r="M4" s="27" t="s">
        <v>341</v>
      </c>
      <c r="N4" s="31" t="n">
        <v>1</v>
      </c>
    </row>
    <row r="5" customFormat="false" ht="19.5" hidden="false" customHeight="true" outlineLevel="0" collapsed="false">
      <c r="A5" s="18" t="s">
        <v>40</v>
      </c>
      <c r="B5" s="15" t="s">
        <v>342</v>
      </c>
      <c r="C5" s="17" t="s">
        <v>336</v>
      </c>
      <c r="D5" s="19" t="s">
        <v>41</v>
      </c>
      <c r="E5" s="17" t="s">
        <v>41</v>
      </c>
      <c r="F5" s="17" t="s">
        <v>41</v>
      </c>
      <c r="G5" s="17" t="s">
        <v>41</v>
      </c>
      <c r="H5" s="17" t="s">
        <v>41</v>
      </c>
      <c r="I5" s="17" t="s">
        <v>41</v>
      </c>
      <c r="J5" s="15" t="s">
        <v>343</v>
      </c>
      <c r="K5" s="15" t="s">
        <v>344</v>
      </c>
      <c r="L5" s="15" t="s">
        <v>345</v>
      </c>
      <c r="M5" s="15" t="s">
        <v>341</v>
      </c>
      <c r="N5" s="33" t="n">
        <v>11</v>
      </c>
    </row>
    <row r="6" customFormat="false" ht="19.5" hidden="false" customHeight="true" outlineLevel="0" collapsed="false">
      <c r="A6" s="40" t="s">
        <v>346</v>
      </c>
      <c r="B6" s="27" t="s">
        <v>347</v>
      </c>
      <c r="C6" s="30" t="s">
        <v>336</v>
      </c>
      <c r="D6" s="26" t="s">
        <v>348</v>
      </c>
      <c r="E6" s="30" t="s">
        <v>55</v>
      </c>
      <c r="F6" s="30" t="s">
        <v>348</v>
      </c>
      <c r="G6" s="30" t="s">
        <v>348</v>
      </c>
      <c r="H6" s="30" t="s">
        <v>348</v>
      </c>
      <c r="I6" s="30" t="s">
        <v>348</v>
      </c>
      <c r="J6" s="27" t="s">
        <v>349</v>
      </c>
      <c r="K6" s="27" t="s">
        <v>339</v>
      </c>
      <c r="L6" s="27" t="s">
        <v>345</v>
      </c>
      <c r="M6" s="27" t="s">
        <v>341</v>
      </c>
      <c r="N6" s="31" t="n">
        <v>1</v>
      </c>
    </row>
    <row r="7" customFormat="false" ht="19.5" hidden="false" customHeight="true" outlineLevel="0" collapsed="false">
      <c r="A7" s="18" t="s">
        <v>350</v>
      </c>
      <c r="B7" s="15" t="s">
        <v>351</v>
      </c>
      <c r="C7" s="17" t="s">
        <v>336</v>
      </c>
      <c r="D7" s="19" t="s">
        <v>82</v>
      </c>
      <c r="E7" s="17" t="s">
        <v>82</v>
      </c>
      <c r="F7" s="17" t="s">
        <v>82</v>
      </c>
      <c r="G7" s="17" t="s">
        <v>82</v>
      </c>
      <c r="H7" s="17" t="s">
        <v>82</v>
      </c>
      <c r="I7" s="17" t="s">
        <v>82</v>
      </c>
      <c r="J7" s="15" t="s">
        <v>352</v>
      </c>
      <c r="K7" s="15" t="s">
        <v>353</v>
      </c>
      <c r="L7" s="15" t="s">
        <v>340</v>
      </c>
      <c r="M7" s="15" t="s">
        <v>341</v>
      </c>
      <c r="N7" s="33" t="n">
        <v>1</v>
      </c>
    </row>
    <row r="8" customFormat="false" ht="19.5" hidden="false" customHeight="true" outlineLevel="0" collapsed="false">
      <c r="A8" s="40" t="s">
        <v>354</v>
      </c>
      <c r="B8" s="27" t="s">
        <v>355</v>
      </c>
      <c r="C8" s="30" t="s">
        <v>336</v>
      </c>
      <c r="D8" s="26" t="s">
        <v>82</v>
      </c>
      <c r="E8" s="30" t="s">
        <v>82</v>
      </c>
      <c r="F8" s="30" t="s">
        <v>82</v>
      </c>
      <c r="G8" s="30" t="s">
        <v>82</v>
      </c>
      <c r="H8" s="30" t="s">
        <v>82</v>
      </c>
      <c r="I8" s="30" t="s">
        <v>82</v>
      </c>
      <c r="J8" s="27" t="s">
        <v>343</v>
      </c>
      <c r="K8" s="27" t="s">
        <v>344</v>
      </c>
      <c r="L8" s="27" t="s">
        <v>345</v>
      </c>
      <c r="M8" s="27" t="s">
        <v>341</v>
      </c>
      <c r="N8" s="31" t="n">
        <v>1</v>
      </c>
    </row>
    <row r="9" customFormat="false" ht="19.5" hidden="false" customHeight="true" outlineLevel="0" collapsed="false">
      <c r="A9" s="18" t="s">
        <v>64</v>
      </c>
      <c r="B9" s="15" t="s">
        <v>356</v>
      </c>
      <c r="C9" s="17" t="s">
        <v>336</v>
      </c>
      <c r="D9" s="19" t="s">
        <v>65</v>
      </c>
      <c r="E9" s="17" t="s">
        <v>65</v>
      </c>
      <c r="F9" s="17" t="s">
        <v>65</v>
      </c>
      <c r="G9" s="17" t="s">
        <v>65</v>
      </c>
      <c r="H9" s="17" t="s">
        <v>65</v>
      </c>
      <c r="I9" s="17" t="s">
        <v>65</v>
      </c>
      <c r="J9" s="15" t="s">
        <v>343</v>
      </c>
      <c r="K9" s="15" t="s">
        <v>344</v>
      </c>
      <c r="L9" s="15" t="s">
        <v>345</v>
      </c>
      <c r="M9" s="15" t="s">
        <v>341</v>
      </c>
      <c r="N9" s="33" t="n">
        <v>7</v>
      </c>
    </row>
    <row r="10" customFormat="false" ht="19.5" hidden="false" customHeight="true" outlineLevel="0" collapsed="false">
      <c r="A10" s="40" t="s">
        <v>300</v>
      </c>
      <c r="B10" s="27" t="s">
        <v>356</v>
      </c>
      <c r="C10" s="30" t="s">
        <v>336</v>
      </c>
      <c r="D10" s="26" t="s">
        <v>65</v>
      </c>
      <c r="E10" s="30" t="s">
        <v>65</v>
      </c>
      <c r="F10" s="30" t="s">
        <v>65</v>
      </c>
      <c r="G10" s="30" t="s">
        <v>65</v>
      </c>
      <c r="H10" s="30" t="s">
        <v>65</v>
      </c>
      <c r="I10" s="30" t="s">
        <v>65</v>
      </c>
      <c r="J10" s="27" t="s">
        <v>343</v>
      </c>
      <c r="K10" s="27" t="s">
        <v>344</v>
      </c>
      <c r="L10" s="27" t="s">
        <v>345</v>
      </c>
      <c r="M10" s="27" t="s">
        <v>341</v>
      </c>
      <c r="N10" s="31" t="n">
        <v>1</v>
      </c>
    </row>
    <row r="11" customFormat="false" ht="19.5" hidden="false" customHeight="true" outlineLevel="0" collapsed="false">
      <c r="A11" s="18" t="s">
        <v>357</v>
      </c>
      <c r="B11" s="15" t="s">
        <v>356</v>
      </c>
      <c r="C11" s="17" t="s">
        <v>336</v>
      </c>
      <c r="D11" s="19" t="s">
        <v>65</v>
      </c>
      <c r="E11" s="17" t="s">
        <v>65</v>
      </c>
      <c r="F11" s="17" t="s">
        <v>65</v>
      </c>
      <c r="G11" s="17" t="s">
        <v>65</v>
      </c>
      <c r="H11" s="17" t="s">
        <v>65</v>
      </c>
      <c r="I11" s="17" t="s">
        <v>65</v>
      </c>
      <c r="J11" s="15" t="s">
        <v>343</v>
      </c>
      <c r="K11" s="15" t="s">
        <v>344</v>
      </c>
      <c r="L11" s="15" t="s">
        <v>345</v>
      </c>
      <c r="M11" s="15" t="s">
        <v>341</v>
      </c>
      <c r="N11" s="33" t="n">
        <v>2</v>
      </c>
    </row>
    <row r="12" customFormat="false" ht="19.5" hidden="false" customHeight="true" outlineLevel="0" collapsed="false">
      <c r="A12" s="40" t="s">
        <v>358</v>
      </c>
      <c r="B12" s="27" t="s">
        <v>356</v>
      </c>
      <c r="C12" s="30" t="s">
        <v>336</v>
      </c>
      <c r="D12" s="26" t="s">
        <v>65</v>
      </c>
      <c r="E12" s="30" t="s">
        <v>65</v>
      </c>
      <c r="F12" s="30" t="s">
        <v>65</v>
      </c>
      <c r="G12" s="30" t="s">
        <v>65</v>
      </c>
      <c r="H12" s="30" t="s">
        <v>65</v>
      </c>
      <c r="I12" s="30" t="s">
        <v>65</v>
      </c>
      <c r="J12" s="27" t="s">
        <v>343</v>
      </c>
      <c r="K12" s="27" t="s">
        <v>344</v>
      </c>
      <c r="L12" s="27" t="s">
        <v>345</v>
      </c>
      <c r="M12" s="27" t="s">
        <v>341</v>
      </c>
      <c r="N12" s="31" t="n">
        <v>8</v>
      </c>
    </row>
    <row r="13" customFormat="false" ht="19.5" hidden="false" customHeight="true" outlineLevel="0" collapsed="false">
      <c r="A13" s="18" t="s">
        <v>359</v>
      </c>
      <c r="B13" s="15" t="s">
        <v>356</v>
      </c>
      <c r="C13" s="17" t="s">
        <v>336</v>
      </c>
      <c r="D13" s="19" t="s">
        <v>82</v>
      </c>
      <c r="E13" s="17" t="s">
        <v>82</v>
      </c>
      <c r="F13" s="17" t="s">
        <v>82</v>
      </c>
      <c r="G13" s="17" t="s">
        <v>82</v>
      </c>
      <c r="H13" s="17" t="s">
        <v>82</v>
      </c>
      <c r="I13" s="17" t="s">
        <v>82</v>
      </c>
      <c r="J13" s="15" t="s">
        <v>343</v>
      </c>
      <c r="K13" s="15" t="s">
        <v>344</v>
      </c>
      <c r="L13" s="15" t="s">
        <v>345</v>
      </c>
      <c r="M13" s="15" t="s">
        <v>341</v>
      </c>
      <c r="N13" s="33" t="n">
        <v>11</v>
      </c>
    </row>
    <row r="14" customFormat="false" ht="19.5" hidden="false" customHeight="true" outlineLevel="0" collapsed="false">
      <c r="A14" s="40" t="s">
        <v>81</v>
      </c>
      <c r="B14" s="27" t="s">
        <v>356</v>
      </c>
      <c r="C14" s="30" t="s">
        <v>360</v>
      </c>
      <c r="D14" s="26" t="s">
        <v>51</v>
      </c>
      <c r="E14" s="30" t="s">
        <v>45</v>
      </c>
      <c r="F14" s="30" t="s">
        <v>48</v>
      </c>
      <c r="G14" s="30" t="s">
        <v>51</v>
      </c>
      <c r="H14" s="30" t="s">
        <v>51</v>
      </c>
      <c r="I14" s="30" t="s">
        <v>51</v>
      </c>
      <c r="J14" s="27" t="s">
        <v>361</v>
      </c>
      <c r="K14" s="27" t="s">
        <v>344</v>
      </c>
      <c r="L14" s="27" t="s">
        <v>345</v>
      </c>
      <c r="M14" s="27" t="s">
        <v>341</v>
      </c>
      <c r="N14" s="31" t="n">
        <v>1</v>
      </c>
    </row>
    <row r="15" customFormat="false" ht="19.5" hidden="false" customHeight="true" outlineLevel="0" collapsed="false">
      <c r="A15" s="18" t="s">
        <v>362</v>
      </c>
      <c r="B15" s="15" t="s">
        <v>363</v>
      </c>
      <c r="C15" s="17" t="s">
        <v>336</v>
      </c>
      <c r="D15" s="19" t="s">
        <v>82</v>
      </c>
      <c r="E15" s="17" t="s">
        <v>82</v>
      </c>
      <c r="F15" s="17" t="s">
        <v>82</v>
      </c>
      <c r="G15" s="17" t="s">
        <v>82</v>
      </c>
      <c r="H15" s="17" t="s">
        <v>82</v>
      </c>
      <c r="I15" s="17" t="s">
        <v>82</v>
      </c>
      <c r="J15" s="15" t="s">
        <v>352</v>
      </c>
      <c r="K15" s="15" t="s">
        <v>344</v>
      </c>
      <c r="L15" s="15" t="s">
        <v>340</v>
      </c>
      <c r="M15" s="15" t="s">
        <v>341</v>
      </c>
      <c r="N15" s="33" t="n">
        <v>1</v>
      </c>
    </row>
    <row r="16" customFormat="false" ht="19.5" hidden="false" customHeight="true" outlineLevel="0" collapsed="false">
      <c r="A16" s="40" t="s">
        <v>78</v>
      </c>
      <c r="B16" s="27" t="s">
        <v>356</v>
      </c>
      <c r="C16" s="30" t="s">
        <v>360</v>
      </c>
      <c r="D16" s="26" t="s">
        <v>51</v>
      </c>
      <c r="E16" s="30" t="s">
        <v>45</v>
      </c>
      <c r="F16" s="30" t="s">
        <v>48</v>
      </c>
      <c r="G16" s="30" t="s">
        <v>51</v>
      </c>
      <c r="H16" s="30" t="s">
        <v>51</v>
      </c>
      <c r="I16" s="30" t="s">
        <v>51</v>
      </c>
      <c r="J16" s="27" t="s">
        <v>361</v>
      </c>
      <c r="K16" s="27" t="s">
        <v>344</v>
      </c>
      <c r="L16" s="27" t="s">
        <v>345</v>
      </c>
      <c r="M16" s="27" t="s">
        <v>341</v>
      </c>
      <c r="N16" s="31" t="n">
        <v>9</v>
      </c>
    </row>
    <row r="17" customFormat="false" ht="19.5" hidden="false" customHeight="true" outlineLevel="0" collapsed="false">
      <c r="A17" s="18" t="s">
        <v>364</v>
      </c>
      <c r="B17" s="15" t="s">
        <v>356</v>
      </c>
      <c r="C17" s="17" t="s">
        <v>336</v>
      </c>
      <c r="D17" s="19" t="s">
        <v>82</v>
      </c>
      <c r="E17" s="17" t="s">
        <v>82</v>
      </c>
      <c r="F17" s="17" t="s">
        <v>82</v>
      </c>
      <c r="G17" s="17" t="s">
        <v>82</v>
      </c>
      <c r="H17" s="17" t="s">
        <v>82</v>
      </c>
      <c r="I17" s="17" t="s">
        <v>82</v>
      </c>
      <c r="J17" s="15" t="s">
        <v>343</v>
      </c>
      <c r="K17" s="15" t="s">
        <v>344</v>
      </c>
      <c r="L17" s="15" t="s">
        <v>345</v>
      </c>
      <c r="M17" s="15" t="s">
        <v>341</v>
      </c>
      <c r="N17" s="33" t="n">
        <v>1</v>
      </c>
    </row>
    <row r="18" customFormat="false" ht="19.5" hidden="false" customHeight="true" outlineLevel="0" collapsed="false">
      <c r="A18" s="40" t="s">
        <v>365</v>
      </c>
      <c r="B18" s="27" t="s">
        <v>356</v>
      </c>
      <c r="C18" s="30" t="s">
        <v>336</v>
      </c>
      <c r="D18" s="26" t="s">
        <v>82</v>
      </c>
      <c r="E18" s="30" t="s">
        <v>82</v>
      </c>
      <c r="F18" s="30" t="s">
        <v>82</v>
      </c>
      <c r="G18" s="30" t="s">
        <v>82</v>
      </c>
      <c r="H18" s="30" t="s">
        <v>82</v>
      </c>
      <c r="I18" s="30" t="s">
        <v>82</v>
      </c>
      <c r="J18" s="27" t="s">
        <v>343</v>
      </c>
      <c r="K18" s="27" t="s">
        <v>344</v>
      </c>
      <c r="L18" s="27" t="s">
        <v>345</v>
      </c>
      <c r="M18" s="27" t="s">
        <v>341</v>
      </c>
      <c r="N18" s="31" t="n">
        <v>5</v>
      </c>
    </row>
    <row r="19" customFormat="false" ht="19.5" hidden="false" customHeight="true" outlineLevel="0" collapsed="false">
      <c r="A19" s="18" t="s">
        <v>99</v>
      </c>
      <c r="B19" s="15" t="s">
        <v>355</v>
      </c>
      <c r="C19" s="17" t="s">
        <v>336</v>
      </c>
      <c r="D19" s="19" t="s">
        <v>82</v>
      </c>
      <c r="E19" s="17" t="s">
        <v>82</v>
      </c>
      <c r="F19" s="17" t="s">
        <v>82</v>
      </c>
      <c r="G19" s="17" t="s">
        <v>82</v>
      </c>
      <c r="H19" s="17" t="s">
        <v>82</v>
      </c>
      <c r="I19" s="17" t="s">
        <v>82</v>
      </c>
      <c r="J19" s="15" t="s">
        <v>343</v>
      </c>
      <c r="K19" s="15" t="s">
        <v>344</v>
      </c>
      <c r="L19" s="15" t="s">
        <v>345</v>
      </c>
      <c r="M19" s="15" t="s">
        <v>341</v>
      </c>
      <c r="N19" s="33" t="n">
        <v>2</v>
      </c>
    </row>
    <row r="20" customFormat="false" ht="19.5" hidden="false" customHeight="true" outlineLevel="0" collapsed="false">
      <c r="A20" s="40" t="s">
        <v>59</v>
      </c>
      <c r="B20" s="27" t="s">
        <v>366</v>
      </c>
      <c r="C20" s="30" t="s">
        <v>336</v>
      </c>
      <c r="D20" s="26" t="s">
        <v>367</v>
      </c>
      <c r="E20" s="30" t="s">
        <v>367</v>
      </c>
      <c r="F20" s="30" t="s">
        <v>367</v>
      </c>
      <c r="G20" s="30" t="s">
        <v>367</v>
      </c>
      <c r="H20" s="30" t="s">
        <v>367</v>
      </c>
      <c r="I20" s="30" t="s">
        <v>367</v>
      </c>
      <c r="J20" s="27" t="s">
        <v>368</v>
      </c>
      <c r="K20" s="27" t="s">
        <v>369</v>
      </c>
      <c r="L20" s="27" t="s">
        <v>370</v>
      </c>
      <c r="M20" s="27" t="s">
        <v>371</v>
      </c>
      <c r="N20" s="31" t="n">
        <v>8</v>
      </c>
    </row>
    <row r="21" customFormat="false" ht="19.5" hidden="false" customHeight="true" outlineLevel="0" collapsed="false">
      <c r="A21" s="18" t="s">
        <v>372</v>
      </c>
      <c r="B21" s="15" t="s">
        <v>366</v>
      </c>
      <c r="C21" s="17" t="s">
        <v>336</v>
      </c>
      <c r="D21" s="19" t="s">
        <v>367</v>
      </c>
      <c r="E21" s="17" t="s">
        <v>367</v>
      </c>
      <c r="F21" s="17" t="s">
        <v>367</v>
      </c>
      <c r="G21" s="17" t="s">
        <v>367</v>
      </c>
      <c r="H21" s="17" t="s">
        <v>367</v>
      </c>
      <c r="I21" s="17" t="s">
        <v>367</v>
      </c>
      <c r="J21" s="15" t="s">
        <v>368</v>
      </c>
      <c r="K21" s="15" t="s">
        <v>369</v>
      </c>
      <c r="L21" s="15" t="s">
        <v>370</v>
      </c>
      <c r="M21" s="15" t="s">
        <v>371</v>
      </c>
      <c r="N21" s="33" t="n">
        <v>5</v>
      </c>
    </row>
    <row r="22" customFormat="false" ht="19.5" hidden="false" customHeight="true" outlineLevel="0" collapsed="false">
      <c r="A22" s="40" t="s">
        <v>158</v>
      </c>
      <c r="B22" s="27" t="s">
        <v>366</v>
      </c>
      <c r="C22" s="30" t="s">
        <v>336</v>
      </c>
      <c r="D22" s="26" t="s">
        <v>367</v>
      </c>
      <c r="E22" s="30" t="s">
        <v>367</v>
      </c>
      <c r="F22" s="30" t="s">
        <v>367</v>
      </c>
      <c r="G22" s="30" t="s">
        <v>367</v>
      </c>
      <c r="H22" s="30" t="s">
        <v>367</v>
      </c>
      <c r="I22" s="30" t="s">
        <v>367</v>
      </c>
      <c r="J22" s="27" t="s">
        <v>368</v>
      </c>
      <c r="K22" s="27" t="s">
        <v>369</v>
      </c>
      <c r="L22" s="27" t="s">
        <v>370</v>
      </c>
      <c r="M22" s="27" t="s">
        <v>371</v>
      </c>
      <c r="N22" s="31" t="n">
        <v>1</v>
      </c>
    </row>
    <row r="23" customFormat="false" ht="19.5" hidden="false" customHeight="true" outlineLevel="0" collapsed="false">
      <c r="A23" s="18" t="s">
        <v>373</v>
      </c>
      <c r="B23" s="15" t="s">
        <v>342</v>
      </c>
      <c r="C23" s="17" t="s">
        <v>336</v>
      </c>
      <c r="D23" s="19" t="s">
        <v>374</v>
      </c>
      <c r="E23" s="17" t="s">
        <v>374</v>
      </c>
      <c r="F23" s="17" t="s">
        <v>374</v>
      </c>
      <c r="G23" s="17" t="s">
        <v>374</v>
      </c>
      <c r="H23" s="17" t="s">
        <v>374</v>
      </c>
      <c r="I23" s="17" t="s">
        <v>374</v>
      </c>
      <c r="J23" s="15" t="s">
        <v>343</v>
      </c>
      <c r="K23" s="15" t="s">
        <v>344</v>
      </c>
      <c r="L23" s="15" t="s">
        <v>345</v>
      </c>
      <c r="M23" s="15" t="s">
        <v>341</v>
      </c>
      <c r="N23" s="33" t="n">
        <v>1</v>
      </c>
    </row>
    <row r="24" customFormat="false" ht="19.5" hidden="false" customHeight="true" outlineLevel="0" collapsed="false">
      <c r="A24" s="40" t="s">
        <v>375</v>
      </c>
      <c r="B24" s="27" t="s">
        <v>342</v>
      </c>
      <c r="C24" s="30" t="s">
        <v>336</v>
      </c>
      <c r="D24" s="26" t="s">
        <v>146</v>
      </c>
      <c r="E24" s="30" t="s">
        <v>146</v>
      </c>
      <c r="F24" s="30" t="s">
        <v>146</v>
      </c>
      <c r="G24" s="30" t="s">
        <v>146</v>
      </c>
      <c r="H24" s="30" t="s">
        <v>146</v>
      </c>
      <c r="I24" s="30" t="s">
        <v>146</v>
      </c>
      <c r="J24" s="27" t="s">
        <v>343</v>
      </c>
      <c r="K24" s="27" t="s">
        <v>344</v>
      </c>
      <c r="L24" s="27" t="s">
        <v>345</v>
      </c>
      <c r="M24" s="27" t="s">
        <v>341</v>
      </c>
      <c r="N24" s="31" t="n">
        <v>7</v>
      </c>
    </row>
    <row r="25" customFormat="false" ht="19.5" hidden="false" customHeight="true" outlineLevel="0" collapsed="false">
      <c r="A25" s="18" t="s">
        <v>145</v>
      </c>
      <c r="B25" s="15" t="s">
        <v>342</v>
      </c>
      <c r="C25" s="17" t="s">
        <v>336</v>
      </c>
      <c r="D25" s="19" t="s">
        <v>146</v>
      </c>
      <c r="E25" s="17" t="s">
        <v>146</v>
      </c>
      <c r="F25" s="17" t="s">
        <v>146</v>
      </c>
      <c r="G25" s="17" t="s">
        <v>146</v>
      </c>
      <c r="H25" s="17" t="s">
        <v>146</v>
      </c>
      <c r="I25" s="17" t="s">
        <v>146</v>
      </c>
      <c r="J25" s="15" t="s">
        <v>343</v>
      </c>
      <c r="K25" s="15" t="s">
        <v>344</v>
      </c>
      <c r="L25" s="15" t="s">
        <v>345</v>
      </c>
      <c r="M25" s="15" t="s">
        <v>341</v>
      </c>
      <c r="N25" s="33" t="n">
        <v>11</v>
      </c>
    </row>
    <row r="26" customFormat="false" ht="19.5" hidden="false" customHeight="true" outlineLevel="0" collapsed="false">
      <c r="A26" s="40" t="s">
        <v>105</v>
      </c>
      <c r="B26" s="27" t="s">
        <v>376</v>
      </c>
      <c r="C26" s="30" t="s">
        <v>336</v>
      </c>
      <c r="D26" s="26" t="s">
        <v>106</v>
      </c>
      <c r="E26" s="30" t="s">
        <v>106</v>
      </c>
      <c r="F26" s="30" t="s">
        <v>106</v>
      </c>
      <c r="G26" s="30" t="s">
        <v>106</v>
      </c>
      <c r="H26" s="30" t="s">
        <v>106</v>
      </c>
      <c r="I26" s="30" t="s">
        <v>106</v>
      </c>
      <c r="J26" s="27" t="s">
        <v>377</v>
      </c>
      <c r="K26" s="27" t="s">
        <v>339</v>
      </c>
      <c r="L26" s="27" t="s">
        <v>345</v>
      </c>
      <c r="M26" s="27" t="s">
        <v>341</v>
      </c>
      <c r="N26" s="31" t="n">
        <v>11</v>
      </c>
    </row>
    <row r="27" customFormat="false" ht="19.5" hidden="false" customHeight="true" outlineLevel="0" collapsed="false">
      <c r="A27" s="18" t="s">
        <v>378</v>
      </c>
      <c r="B27" s="15" t="s">
        <v>379</v>
      </c>
      <c r="C27" s="17" t="s">
        <v>336</v>
      </c>
      <c r="D27" s="19" t="s">
        <v>140</v>
      </c>
      <c r="E27" s="17" t="s">
        <v>140</v>
      </c>
      <c r="F27" s="17" t="s">
        <v>140</v>
      </c>
      <c r="G27" s="17" t="s">
        <v>140</v>
      </c>
      <c r="H27" s="17" t="s">
        <v>140</v>
      </c>
      <c r="I27" s="17" t="s">
        <v>140</v>
      </c>
      <c r="J27" s="15" t="s">
        <v>343</v>
      </c>
      <c r="K27" s="15" t="s">
        <v>344</v>
      </c>
      <c r="L27" s="15" t="s">
        <v>345</v>
      </c>
      <c r="M27" s="15" t="s">
        <v>341</v>
      </c>
      <c r="N27" s="33" t="n">
        <v>4</v>
      </c>
    </row>
    <row r="28" customFormat="false" ht="19.5" hidden="false" customHeight="true" outlineLevel="0" collapsed="false">
      <c r="A28" s="40" t="s">
        <v>380</v>
      </c>
      <c r="B28" s="27" t="s">
        <v>379</v>
      </c>
      <c r="C28" s="30" t="s">
        <v>336</v>
      </c>
      <c r="D28" s="26" t="s">
        <v>140</v>
      </c>
      <c r="E28" s="30" t="s">
        <v>140</v>
      </c>
      <c r="F28" s="30" t="s">
        <v>140</v>
      </c>
      <c r="G28" s="30" t="s">
        <v>140</v>
      </c>
      <c r="H28" s="30" t="s">
        <v>140</v>
      </c>
      <c r="I28" s="30" t="s">
        <v>140</v>
      </c>
      <c r="J28" s="27" t="s">
        <v>343</v>
      </c>
      <c r="K28" s="27" t="s">
        <v>344</v>
      </c>
      <c r="L28" s="27" t="s">
        <v>345</v>
      </c>
      <c r="M28" s="27" t="s">
        <v>341</v>
      </c>
      <c r="N28" s="31" t="n">
        <v>1</v>
      </c>
    </row>
    <row r="29" customFormat="false" ht="19.5" hidden="false" customHeight="true" outlineLevel="0" collapsed="false">
      <c r="A29" s="18" t="s">
        <v>381</v>
      </c>
      <c r="B29" s="15" t="s">
        <v>379</v>
      </c>
      <c r="C29" s="17" t="s">
        <v>336</v>
      </c>
      <c r="D29" s="19" t="s">
        <v>140</v>
      </c>
      <c r="E29" s="17" t="s">
        <v>140</v>
      </c>
      <c r="F29" s="17" t="s">
        <v>140</v>
      </c>
      <c r="G29" s="17" t="s">
        <v>140</v>
      </c>
      <c r="H29" s="17" t="s">
        <v>140</v>
      </c>
      <c r="I29" s="17" t="s">
        <v>140</v>
      </c>
      <c r="J29" s="15" t="s">
        <v>343</v>
      </c>
      <c r="K29" s="15" t="s">
        <v>344</v>
      </c>
      <c r="L29" s="15" t="s">
        <v>345</v>
      </c>
      <c r="M29" s="15" t="s">
        <v>341</v>
      </c>
      <c r="N29" s="33" t="n">
        <v>1</v>
      </c>
    </row>
    <row r="30" customFormat="false" ht="19.5" hidden="false" customHeight="true" outlineLevel="0" collapsed="false">
      <c r="A30" s="40" t="s">
        <v>95</v>
      </c>
      <c r="B30" s="27" t="s">
        <v>382</v>
      </c>
      <c r="C30" s="30" t="s">
        <v>336</v>
      </c>
      <c r="D30" s="26" t="s">
        <v>159</v>
      </c>
      <c r="E30" s="30" t="s">
        <v>55</v>
      </c>
      <c r="F30" s="30" t="s">
        <v>159</v>
      </c>
      <c r="G30" s="30" t="s">
        <v>159</v>
      </c>
      <c r="H30" s="30" t="s">
        <v>159</v>
      </c>
      <c r="I30" s="30" t="s">
        <v>159</v>
      </c>
      <c r="J30" s="27" t="s">
        <v>349</v>
      </c>
      <c r="K30" s="27" t="s">
        <v>339</v>
      </c>
      <c r="L30" s="27" t="s">
        <v>345</v>
      </c>
      <c r="M30" s="27" t="s">
        <v>341</v>
      </c>
      <c r="N30" s="31" t="n">
        <v>2</v>
      </c>
    </row>
    <row r="31" customFormat="false" ht="19.5" hidden="false" customHeight="true" outlineLevel="0" collapsed="false">
      <c r="A31" s="18" t="s">
        <v>383</v>
      </c>
      <c r="B31" s="15" t="s">
        <v>384</v>
      </c>
      <c r="C31" s="17" t="s">
        <v>336</v>
      </c>
      <c r="D31" s="19" t="s">
        <v>385</v>
      </c>
      <c r="E31" s="17" t="s">
        <v>385</v>
      </c>
      <c r="F31" s="17" t="s">
        <v>385</v>
      </c>
      <c r="G31" s="17" t="s">
        <v>385</v>
      </c>
      <c r="H31" s="17" t="s">
        <v>385</v>
      </c>
      <c r="I31" s="17" t="s">
        <v>385</v>
      </c>
      <c r="J31" s="15" t="s">
        <v>343</v>
      </c>
      <c r="K31" s="15" t="s">
        <v>339</v>
      </c>
      <c r="L31" s="15" t="s">
        <v>386</v>
      </c>
      <c r="M31" s="15" t="s">
        <v>387</v>
      </c>
      <c r="N31" s="33" t="n">
        <v>2</v>
      </c>
    </row>
    <row r="32" customFormat="false" ht="19.5" hidden="false" customHeight="true" outlineLevel="0" collapsed="false">
      <c r="A32" s="40" t="s">
        <v>388</v>
      </c>
      <c r="B32" s="27" t="s">
        <v>389</v>
      </c>
      <c r="C32" s="30" t="s">
        <v>336</v>
      </c>
      <c r="D32" s="26" t="s">
        <v>140</v>
      </c>
      <c r="E32" s="30" t="s">
        <v>140</v>
      </c>
      <c r="F32" s="30" t="s">
        <v>140</v>
      </c>
      <c r="G32" s="30" t="s">
        <v>140</v>
      </c>
      <c r="H32" s="30" t="s">
        <v>140</v>
      </c>
      <c r="I32" s="30" t="s">
        <v>140</v>
      </c>
      <c r="J32" s="27" t="s">
        <v>343</v>
      </c>
      <c r="K32" s="27" t="s">
        <v>344</v>
      </c>
      <c r="L32" s="27" t="s">
        <v>345</v>
      </c>
      <c r="M32" s="27" t="s">
        <v>341</v>
      </c>
      <c r="N32" s="31" t="n">
        <v>1</v>
      </c>
    </row>
    <row r="33" customFormat="false" ht="19.5" hidden="false" customHeight="true" outlineLevel="0" collapsed="false">
      <c r="A33" s="18" t="s">
        <v>162</v>
      </c>
      <c r="B33" s="15" t="s">
        <v>390</v>
      </c>
      <c r="C33" s="17" t="s">
        <v>336</v>
      </c>
      <c r="D33" s="19" t="s">
        <v>106</v>
      </c>
      <c r="E33" s="17" t="s">
        <v>106</v>
      </c>
      <c r="F33" s="17" t="s">
        <v>106</v>
      </c>
      <c r="G33" s="17" t="s">
        <v>106</v>
      </c>
      <c r="H33" s="17" t="s">
        <v>106</v>
      </c>
      <c r="I33" s="17" t="s">
        <v>106</v>
      </c>
      <c r="J33" s="15" t="s">
        <v>377</v>
      </c>
      <c r="K33" s="15" t="s">
        <v>339</v>
      </c>
      <c r="L33" s="15" t="s">
        <v>370</v>
      </c>
      <c r="M33" s="15" t="s">
        <v>371</v>
      </c>
      <c r="N33" s="33" t="n">
        <v>2</v>
      </c>
    </row>
    <row r="34" customFormat="false" ht="19.5" hidden="false" customHeight="true" outlineLevel="0" collapsed="false">
      <c r="A34" s="40" t="s">
        <v>391</v>
      </c>
      <c r="B34" s="27" t="s">
        <v>392</v>
      </c>
      <c r="C34" s="30" t="s">
        <v>336</v>
      </c>
      <c r="D34" s="26" t="s">
        <v>82</v>
      </c>
      <c r="E34" s="30" t="s">
        <v>82</v>
      </c>
      <c r="F34" s="30" t="s">
        <v>82</v>
      </c>
      <c r="G34" s="30" t="s">
        <v>82</v>
      </c>
      <c r="H34" s="30" t="s">
        <v>82</v>
      </c>
      <c r="I34" s="30" t="s">
        <v>82</v>
      </c>
      <c r="J34" s="27" t="s">
        <v>343</v>
      </c>
      <c r="K34" s="27" t="s">
        <v>353</v>
      </c>
      <c r="L34" s="27" t="s">
        <v>345</v>
      </c>
      <c r="M34" s="27" t="s">
        <v>341</v>
      </c>
      <c r="N34" s="31" t="n">
        <v>4</v>
      </c>
    </row>
    <row r="35" customFormat="false" ht="19.5" hidden="false" customHeight="true" outlineLevel="0" collapsed="false">
      <c r="A35" s="18" t="s">
        <v>297</v>
      </c>
      <c r="B35" s="15" t="s">
        <v>356</v>
      </c>
      <c r="C35" s="17" t="s">
        <v>360</v>
      </c>
      <c r="D35" s="19" t="s">
        <v>51</v>
      </c>
      <c r="E35" s="17" t="s">
        <v>45</v>
      </c>
      <c r="F35" s="17" t="s">
        <v>48</v>
      </c>
      <c r="G35" s="17" t="s">
        <v>51</v>
      </c>
      <c r="H35" s="17" t="s">
        <v>51</v>
      </c>
      <c r="I35" s="17" t="s">
        <v>51</v>
      </c>
      <c r="J35" s="15" t="s">
        <v>361</v>
      </c>
      <c r="K35" s="15" t="s">
        <v>344</v>
      </c>
      <c r="L35" s="15" t="s">
        <v>345</v>
      </c>
      <c r="M35" s="15" t="s">
        <v>341</v>
      </c>
      <c r="N35" s="33" t="n">
        <v>1</v>
      </c>
    </row>
    <row r="36" customFormat="false" ht="19.5" hidden="false" customHeight="true" outlineLevel="0" collapsed="false">
      <c r="A36" s="40" t="s">
        <v>269</v>
      </c>
      <c r="B36" s="27" t="s">
        <v>356</v>
      </c>
      <c r="C36" s="30" t="s">
        <v>360</v>
      </c>
      <c r="D36" s="26" t="s">
        <v>51</v>
      </c>
      <c r="E36" s="30" t="s">
        <v>45</v>
      </c>
      <c r="F36" s="30" t="s">
        <v>48</v>
      </c>
      <c r="G36" s="30" t="s">
        <v>51</v>
      </c>
      <c r="H36" s="30" t="s">
        <v>51</v>
      </c>
      <c r="I36" s="30" t="s">
        <v>51</v>
      </c>
      <c r="J36" s="27" t="s">
        <v>361</v>
      </c>
      <c r="K36" s="27" t="s">
        <v>344</v>
      </c>
      <c r="L36" s="27" t="s">
        <v>345</v>
      </c>
      <c r="M36" s="27" t="s">
        <v>341</v>
      </c>
      <c r="N36" s="31" t="n">
        <v>6</v>
      </c>
    </row>
    <row r="37" customFormat="false" ht="19.5" hidden="false" customHeight="true" outlineLevel="0" collapsed="false">
      <c r="A37" s="18" t="s">
        <v>87</v>
      </c>
      <c r="B37" s="15" t="s">
        <v>355</v>
      </c>
      <c r="C37" s="17" t="s">
        <v>360</v>
      </c>
      <c r="D37" s="19" t="s">
        <v>51</v>
      </c>
      <c r="E37" s="17" t="s">
        <v>45</v>
      </c>
      <c r="F37" s="17" t="s">
        <v>48</v>
      </c>
      <c r="G37" s="17" t="s">
        <v>51</v>
      </c>
      <c r="H37" s="17" t="s">
        <v>51</v>
      </c>
      <c r="I37" s="17" t="s">
        <v>51</v>
      </c>
      <c r="J37" s="15" t="s">
        <v>361</v>
      </c>
      <c r="K37" s="15" t="s">
        <v>344</v>
      </c>
      <c r="L37" s="15" t="s">
        <v>345</v>
      </c>
      <c r="M37" s="15" t="s">
        <v>341</v>
      </c>
      <c r="N37" s="33" t="n">
        <v>2</v>
      </c>
    </row>
    <row r="38" customFormat="false" ht="19.5" hidden="false" customHeight="true" outlineLevel="0" collapsed="false">
      <c r="A38" s="40" t="s">
        <v>393</v>
      </c>
      <c r="B38" s="27" t="s">
        <v>356</v>
      </c>
      <c r="C38" s="30" t="s">
        <v>360</v>
      </c>
      <c r="D38" s="26" t="s">
        <v>51</v>
      </c>
      <c r="E38" s="30" t="s">
        <v>45</v>
      </c>
      <c r="F38" s="30" t="s">
        <v>48</v>
      </c>
      <c r="G38" s="30" t="s">
        <v>51</v>
      </c>
      <c r="H38" s="30" t="s">
        <v>51</v>
      </c>
      <c r="I38" s="30" t="s">
        <v>51</v>
      </c>
      <c r="J38" s="27" t="s">
        <v>361</v>
      </c>
      <c r="K38" s="27" t="s">
        <v>353</v>
      </c>
      <c r="L38" s="27" t="s">
        <v>345</v>
      </c>
      <c r="M38" s="27" t="s">
        <v>341</v>
      </c>
      <c r="N38" s="31" t="n">
        <v>1</v>
      </c>
    </row>
    <row r="39" customFormat="false" ht="19.5" hidden="false" customHeight="true" outlineLevel="0" collapsed="false">
      <c r="A39" s="18" t="s">
        <v>70</v>
      </c>
      <c r="B39" s="15" t="s">
        <v>355</v>
      </c>
      <c r="C39" s="17" t="s">
        <v>360</v>
      </c>
      <c r="D39" s="19" t="s">
        <v>51</v>
      </c>
      <c r="E39" s="17" t="s">
        <v>45</v>
      </c>
      <c r="F39" s="17" t="s">
        <v>48</v>
      </c>
      <c r="G39" s="17" t="s">
        <v>51</v>
      </c>
      <c r="H39" s="17" t="s">
        <v>51</v>
      </c>
      <c r="I39" s="17" t="s">
        <v>51</v>
      </c>
      <c r="J39" s="15" t="s">
        <v>361</v>
      </c>
      <c r="K39" s="15" t="s">
        <v>344</v>
      </c>
      <c r="L39" s="15" t="s">
        <v>345</v>
      </c>
      <c r="M39" s="15" t="s">
        <v>341</v>
      </c>
      <c r="N39" s="33" t="n">
        <v>11</v>
      </c>
    </row>
    <row r="40" customFormat="false" ht="19.5" hidden="false" customHeight="true" outlineLevel="0" collapsed="false">
      <c r="A40" s="40" t="s">
        <v>310</v>
      </c>
      <c r="B40" s="27" t="s">
        <v>356</v>
      </c>
      <c r="C40" s="30" t="s">
        <v>360</v>
      </c>
      <c r="D40" s="26" t="s">
        <v>51</v>
      </c>
      <c r="E40" s="30" t="s">
        <v>45</v>
      </c>
      <c r="F40" s="30" t="s">
        <v>48</v>
      </c>
      <c r="G40" s="30" t="s">
        <v>51</v>
      </c>
      <c r="H40" s="30" t="s">
        <v>51</v>
      </c>
      <c r="I40" s="30" t="s">
        <v>51</v>
      </c>
      <c r="J40" s="27" t="s">
        <v>361</v>
      </c>
      <c r="K40" s="27" t="s">
        <v>344</v>
      </c>
      <c r="L40" s="27" t="s">
        <v>345</v>
      </c>
      <c r="M40" s="27" t="s">
        <v>341</v>
      </c>
      <c r="N40" s="31" t="n">
        <v>1</v>
      </c>
    </row>
    <row r="41" customFormat="false" ht="19.5" hidden="false" customHeight="true" outlineLevel="0" collapsed="false">
      <c r="A41" s="18" t="s">
        <v>394</v>
      </c>
      <c r="B41" s="15" t="s">
        <v>376</v>
      </c>
      <c r="C41" s="17" t="s">
        <v>336</v>
      </c>
      <c r="D41" s="19" t="s">
        <v>106</v>
      </c>
      <c r="E41" s="17" t="s">
        <v>106</v>
      </c>
      <c r="F41" s="17" t="s">
        <v>106</v>
      </c>
      <c r="G41" s="17" t="s">
        <v>106</v>
      </c>
      <c r="H41" s="17" t="s">
        <v>106</v>
      </c>
      <c r="I41" s="17" t="s">
        <v>106</v>
      </c>
      <c r="J41" s="15" t="s">
        <v>377</v>
      </c>
      <c r="K41" s="15" t="s">
        <v>339</v>
      </c>
      <c r="L41" s="15" t="s">
        <v>345</v>
      </c>
      <c r="M41" s="15" t="s">
        <v>341</v>
      </c>
      <c r="N41" s="33" t="n">
        <v>2</v>
      </c>
    </row>
    <row r="42" customFormat="false" ht="19.5" hidden="false" customHeight="true" outlineLevel="0" collapsed="false">
      <c r="A42" s="40" t="s">
        <v>395</v>
      </c>
      <c r="B42" s="27" t="s">
        <v>379</v>
      </c>
      <c r="C42" s="30" t="s">
        <v>336</v>
      </c>
      <c r="D42" s="26" t="s">
        <v>140</v>
      </c>
      <c r="E42" s="30" t="s">
        <v>140</v>
      </c>
      <c r="F42" s="30" t="s">
        <v>140</v>
      </c>
      <c r="G42" s="30" t="s">
        <v>140</v>
      </c>
      <c r="H42" s="30" t="s">
        <v>140</v>
      </c>
      <c r="I42" s="30" t="s">
        <v>140</v>
      </c>
      <c r="J42" s="27" t="s">
        <v>343</v>
      </c>
      <c r="K42" s="27" t="s">
        <v>344</v>
      </c>
      <c r="L42" s="27" t="s">
        <v>345</v>
      </c>
      <c r="M42" s="27" t="s">
        <v>341</v>
      </c>
      <c r="N42" s="31" t="n">
        <v>1</v>
      </c>
    </row>
    <row r="43" customFormat="false" ht="19.5" hidden="false" customHeight="true" outlineLevel="0" collapsed="false">
      <c r="A43" s="18" t="s">
        <v>396</v>
      </c>
      <c r="B43" s="15" t="s">
        <v>397</v>
      </c>
      <c r="C43" s="17" t="s">
        <v>336</v>
      </c>
      <c r="D43" s="19" t="s">
        <v>398</v>
      </c>
      <c r="E43" s="17" t="s">
        <v>398</v>
      </c>
      <c r="F43" s="17" t="s">
        <v>398</v>
      </c>
      <c r="G43" s="17" t="s">
        <v>398</v>
      </c>
      <c r="H43" s="17" t="s">
        <v>398</v>
      </c>
      <c r="I43" s="17" t="s">
        <v>398</v>
      </c>
      <c r="J43" s="15" t="s">
        <v>368</v>
      </c>
      <c r="K43" s="15" t="s">
        <v>339</v>
      </c>
      <c r="L43" s="15" t="s">
        <v>340</v>
      </c>
      <c r="M43" s="15" t="s">
        <v>341</v>
      </c>
      <c r="N43" s="33" t="n">
        <v>1</v>
      </c>
    </row>
    <row r="44" customFormat="false" ht="19.5" hidden="false" customHeight="true" outlineLevel="0" collapsed="false">
      <c r="A44" s="40" t="s">
        <v>399</v>
      </c>
      <c r="B44" s="27" t="s">
        <v>382</v>
      </c>
      <c r="C44" s="30" t="s">
        <v>336</v>
      </c>
      <c r="D44" s="26" t="s">
        <v>159</v>
      </c>
      <c r="E44" s="30" t="s">
        <v>55</v>
      </c>
      <c r="F44" s="30" t="s">
        <v>159</v>
      </c>
      <c r="G44" s="30" t="s">
        <v>159</v>
      </c>
      <c r="H44" s="30" t="s">
        <v>159</v>
      </c>
      <c r="I44" s="30" t="s">
        <v>159</v>
      </c>
      <c r="J44" s="27" t="s">
        <v>349</v>
      </c>
      <c r="K44" s="27" t="s">
        <v>339</v>
      </c>
      <c r="L44" s="27" t="s">
        <v>345</v>
      </c>
      <c r="M44" s="27" t="s">
        <v>341</v>
      </c>
      <c r="N44" s="31" t="n">
        <v>2</v>
      </c>
    </row>
    <row r="45" customFormat="false" ht="19.5" hidden="false" customHeight="true" outlineLevel="0" collapsed="false">
      <c r="A45" s="18" t="s">
        <v>400</v>
      </c>
      <c r="B45" s="15" t="s">
        <v>335</v>
      </c>
      <c r="C45" s="17" t="s">
        <v>336</v>
      </c>
      <c r="D45" s="19" t="s">
        <v>337</v>
      </c>
      <c r="E45" s="17" t="s">
        <v>337</v>
      </c>
      <c r="F45" s="17" t="s">
        <v>337</v>
      </c>
      <c r="G45" s="17" t="s">
        <v>337</v>
      </c>
      <c r="H45" s="17" t="s">
        <v>337</v>
      </c>
      <c r="I45" s="17" t="s">
        <v>337</v>
      </c>
      <c r="J45" s="15" t="s">
        <v>338</v>
      </c>
      <c r="K45" s="15" t="s">
        <v>339</v>
      </c>
      <c r="L45" s="15" t="s">
        <v>340</v>
      </c>
      <c r="M45" s="15" t="s">
        <v>341</v>
      </c>
      <c r="N45" s="33" t="n">
        <v>5</v>
      </c>
    </row>
    <row r="46" customFormat="false" ht="19.5" hidden="false" customHeight="true" outlineLevel="0" collapsed="false">
      <c r="A46" s="40" t="s">
        <v>401</v>
      </c>
      <c r="B46" s="27" t="s">
        <v>402</v>
      </c>
      <c r="C46" s="30" t="s">
        <v>336</v>
      </c>
      <c r="D46" s="26" t="s">
        <v>140</v>
      </c>
      <c r="E46" s="30" t="s">
        <v>140</v>
      </c>
      <c r="F46" s="30" t="s">
        <v>140</v>
      </c>
      <c r="G46" s="30" t="s">
        <v>140</v>
      </c>
      <c r="H46" s="30" t="s">
        <v>140</v>
      </c>
      <c r="I46" s="30" t="s">
        <v>140</v>
      </c>
      <c r="J46" s="27" t="s">
        <v>352</v>
      </c>
      <c r="K46" s="27" t="s">
        <v>353</v>
      </c>
      <c r="L46" s="27" t="s">
        <v>340</v>
      </c>
      <c r="M46" s="27" t="s">
        <v>341</v>
      </c>
      <c r="N46" s="31" t="n">
        <v>2</v>
      </c>
    </row>
    <row r="47" customFormat="false" ht="19.5" hidden="false" customHeight="true" outlineLevel="0" collapsed="false">
      <c r="A47" s="18" t="s">
        <v>403</v>
      </c>
      <c r="B47" s="15" t="s">
        <v>376</v>
      </c>
      <c r="C47" s="17" t="s">
        <v>336</v>
      </c>
      <c r="D47" s="19" t="s">
        <v>106</v>
      </c>
      <c r="E47" s="17" t="s">
        <v>106</v>
      </c>
      <c r="F47" s="17" t="s">
        <v>106</v>
      </c>
      <c r="G47" s="17" t="s">
        <v>106</v>
      </c>
      <c r="H47" s="17" t="s">
        <v>106</v>
      </c>
      <c r="I47" s="17" t="s">
        <v>106</v>
      </c>
      <c r="J47" s="15" t="s">
        <v>377</v>
      </c>
      <c r="K47" s="15" t="s">
        <v>339</v>
      </c>
      <c r="L47" s="15" t="s">
        <v>345</v>
      </c>
      <c r="M47" s="15" t="s">
        <v>341</v>
      </c>
      <c r="N47" s="33" t="n">
        <v>1</v>
      </c>
    </row>
    <row r="48" customFormat="false" ht="19.5" hidden="false" customHeight="true" outlineLevel="0" collapsed="false">
      <c r="A48" s="40" t="s">
        <v>404</v>
      </c>
      <c r="B48" s="27" t="s">
        <v>356</v>
      </c>
      <c r="C48" s="30" t="s">
        <v>336</v>
      </c>
      <c r="D48" s="26" t="s">
        <v>82</v>
      </c>
      <c r="E48" s="30" t="s">
        <v>82</v>
      </c>
      <c r="F48" s="30" t="s">
        <v>82</v>
      </c>
      <c r="G48" s="30" t="s">
        <v>82</v>
      </c>
      <c r="H48" s="30" t="s">
        <v>82</v>
      </c>
      <c r="I48" s="30" t="s">
        <v>82</v>
      </c>
      <c r="J48" s="27" t="s">
        <v>343</v>
      </c>
      <c r="K48" s="27" t="s">
        <v>344</v>
      </c>
      <c r="L48" s="27" t="s">
        <v>345</v>
      </c>
      <c r="M48" s="27" t="s">
        <v>341</v>
      </c>
      <c r="N48" s="31" t="n">
        <v>2</v>
      </c>
    </row>
    <row r="49" customFormat="false" ht="19.5" hidden="false" customHeight="true" outlineLevel="0" collapsed="false">
      <c r="A49" s="18" t="s">
        <v>405</v>
      </c>
      <c r="B49" s="15" t="s">
        <v>384</v>
      </c>
      <c r="C49" s="17" t="s">
        <v>336</v>
      </c>
      <c r="D49" s="19" t="s">
        <v>385</v>
      </c>
      <c r="E49" s="17" t="s">
        <v>385</v>
      </c>
      <c r="F49" s="17" t="s">
        <v>385</v>
      </c>
      <c r="G49" s="17" t="s">
        <v>385</v>
      </c>
      <c r="H49" s="17" t="s">
        <v>385</v>
      </c>
      <c r="I49" s="17" t="s">
        <v>385</v>
      </c>
      <c r="J49" s="15" t="s">
        <v>343</v>
      </c>
      <c r="K49" s="15" t="s">
        <v>344</v>
      </c>
      <c r="L49" s="15" t="s">
        <v>345</v>
      </c>
      <c r="M49" s="15" t="s">
        <v>341</v>
      </c>
      <c r="N49" s="33" t="n">
        <v>1</v>
      </c>
    </row>
    <row r="50" customFormat="false" ht="19.5" hidden="false" customHeight="true" outlineLevel="0" collapsed="false">
      <c r="A50" s="40" t="s">
        <v>406</v>
      </c>
      <c r="B50" s="27" t="s">
        <v>384</v>
      </c>
      <c r="C50" s="30" t="s">
        <v>336</v>
      </c>
      <c r="D50" s="26" t="s">
        <v>385</v>
      </c>
      <c r="E50" s="30" t="s">
        <v>385</v>
      </c>
      <c r="F50" s="30" t="s">
        <v>385</v>
      </c>
      <c r="G50" s="30" t="s">
        <v>385</v>
      </c>
      <c r="H50" s="30" t="s">
        <v>385</v>
      </c>
      <c r="I50" s="30" t="s">
        <v>385</v>
      </c>
      <c r="J50" s="27" t="s">
        <v>343</v>
      </c>
      <c r="K50" s="27" t="s">
        <v>344</v>
      </c>
      <c r="L50" s="27" t="s">
        <v>345</v>
      </c>
      <c r="M50" s="27" t="s">
        <v>341</v>
      </c>
      <c r="N50" s="31" t="n">
        <v>1</v>
      </c>
    </row>
    <row r="51" customFormat="false" ht="19.5" hidden="false" customHeight="true" outlineLevel="0" collapsed="false">
      <c r="A51" s="18" t="s">
        <v>407</v>
      </c>
      <c r="B51" s="15" t="s">
        <v>382</v>
      </c>
      <c r="C51" s="17" t="s">
        <v>336</v>
      </c>
      <c r="D51" s="19" t="s">
        <v>159</v>
      </c>
      <c r="E51" s="17" t="s">
        <v>55</v>
      </c>
      <c r="F51" s="17" t="s">
        <v>159</v>
      </c>
      <c r="G51" s="17" t="s">
        <v>159</v>
      </c>
      <c r="H51" s="17" t="s">
        <v>159</v>
      </c>
      <c r="I51" s="17" t="s">
        <v>159</v>
      </c>
      <c r="J51" s="15" t="s">
        <v>349</v>
      </c>
      <c r="K51" s="15" t="s">
        <v>339</v>
      </c>
      <c r="L51" s="15" t="s">
        <v>345</v>
      </c>
      <c r="M51" s="15" t="s">
        <v>341</v>
      </c>
      <c r="N51" s="33" t="n">
        <v>2</v>
      </c>
    </row>
    <row r="52" customFormat="false" ht="19.5" hidden="false" customHeight="true" outlineLevel="0" collapsed="false">
      <c r="A52" s="40" t="s">
        <v>110</v>
      </c>
      <c r="B52" s="27" t="s">
        <v>342</v>
      </c>
      <c r="C52" s="30" t="s">
        <v>336</v>
      </c>
      <c r="D52" s="26" t="s">
        <v>111</v>
      </c>
      <c r="E52" s="30" t="s">
        <v>111</v>
      </c>
      <c r="F52" s="30" t="s">
        <v>111</v>
      </c>
      <c r="G52" s="30" t="s">
        <v>111</v>
      </c>
      <c r="H52" s="30" t="s">
        <v>111</v>
      </c>
      <c r="I52" s="30" t="s">
        <v>111</v>
      </c>
      <c r="J52" s="27" t="s">
        <v>343</v>
      </c>
      <c r="K52" s="27" t="s">
        <v>344</v>
      </c>
      <c r="L52" s="27" t="s">
        <v>345</v>
      </c>
      <c r="M52" s="27" t="s">
        <v>341</v>
      </c>
      <c r="N52" s="31" t="n">
        <v>11</v>
      </c>
    </row>
    <row r="53" customFormat="false" ht="19.5" hidden="false" customHeight="true" outlineLevel="0" collapsed="false">
      <c r="A53" s="18" t="s">
        <v>408</v>
      </c>
      <c r="B53" s="15" t="s">
        <v>356</v>
      </c>
      <c r="C53" s="17" t="s">
        <v>336</v>
      </c>
      <c r="D53" s="19" t="s">
        <v>409</v>
      </c>
      <c r="E53" s="17" t="s">
        <v>409</v>
      </c>
      <c r="F53" s="17" t="s">
        <v>409</v>
      </c>
      <c r="G53" s="17" t="s">
        <v>409</v>
      </c>
      <c r="H53" s="17" t="s">
        <v>409</v>
      </c>
      <c r="I53" s="17" t="s">
        <v>409</v>
      </c>
      <c r="J53" s="15" t="s">
        <v>343</v>
      </c>
      <c r="K53" s="15" t="s">
        <v>344</v>
      </c>
      <c r="L53" s="15" t="s">
        <v>345</v>
      </c>
      <c r="M53" s="15" t="s">
        <v>341</v>
      </c>
      <c r="N53" s="33" t="n">
        <v>6</v>
      </c>
    </row>
    <row r="54" customFormat="false" ht="19.5" hidden="false" customHeight="true" outlineLevel="0" collapsed="false">
      <c r="A54" s="40" t="s">
        <v>149</v>
      </c>
      <c r="B54" s="27" t="s">
        <v>379</v>
      </c>
      <c r="C54" s="30" t="s">
        <v>336</v>
      </c>
      <c r="D54" s="26" t="s">
        <v>140</v>
      </c>
      <c r="E54" s="30" t="s">
        <v>140</v>
      </c>
      <c r="F54" s="30" t="s">
        <v>140</v>
      </c>
      <c r="G54" s="30" t="s">
        <v>140</v>
      </c>
      <c r="H54" s="30" t="s">
        <v>140</v>
      </c>
      <c r="I54" s="30" t="s">
        <v>140</v>
      </c>
      <c r="J54" s="27" t="s">
        <v>343</v>
      </c>
      <c r="K54" s="27" t="s">
        <v>344</v>
      </c>
      <c r="L54" s="27" t="s">
        <v>345</v>
      </c>
      <c r="M54" s="27" t="s">
        <v>341</v>
      </c>
      <c r="N54" s="31" t="n">
        <v>3</v>
      </c>
    </row>
    <row r="55" customFormat="false" ht="19.5" hidden="false" customHeight="true" outlineLevel="0" collapsed="false">
      <c r="A55" s="18" t="s">
        <v>410</v>
      </c>
      <c r="B55" s="15" t="s">
        <v>342</v>
      </c>
      <c r="C55" s="17" t="s">
        <v>336</v>
      </c>
      <c r="D55" s="19" t="s">
        <v>111</v>
      </c>
      <c r="E55" s="17" t="s">
        <v>111</v>
      </c>
      <c r="F55" s="17" t="s">
        <v>111</v>
      </c>
      <c r="G55" s="17" t="s">
        <v>111</v>
      </c>
      <c r="H55" s="17" t="s">
        <v>111</v>
      </c>
      <c r="I55" s="17" t="s">
        <v>111</v>
      </c>
      <c r="J55" s="15" t="s">
        <v>343</v>
      </c>
      <c r="K55" s="15" t="s">
        <v>344</v>
      </c>
      <c r="L55" s="15" t="s">
        <v>345</v>
      </c>
      <c r="M55" s="15" t="s">
        <v>341</v>
      </c>
      <c r="N55" s="33" t="n">
        <v>1</v>
      </c>
    </row>
    <row r="56" customFormat="false" ht="19.5" hidden="false" customHeight="true" outlineLevel="0" collapsed="false">
      <c r="A56" s="40" t="s">
        <v>411</v>
      </c>
      <c r="B56" s="27" t="s">
        <v>342</v>
      </c>
      <c r="C56" s="30" t="s">
        <v>336</v>
      </c>
      <c r="D56" s="26" t="s">
        <v>111</v>
      </c>
      <c r="E56" s="30" t="s">
        <v>111</v>
      </c>
      <c r="F56" s="30" t="s">
        <v>111</v>
      </c>
      <c r="G56" s="30" t="s">
        <v>111</v>
      </c>
      <c r="H56" s="30" t="s">
        <v>111</v>
      </c>
      <c r="I56" s="30" t="s">
        <v>111</v>
      </c>
      <c r="J56" s="27" t="s">
        <v>343</v>
      </c>
      <c r="K56" s="27" t="s">
        <v>344</v>
      </c>
      <c r="L56" s="27" t="s">
        <v>345</v>
      </c>
      <c r="M56" s="27" t="s">
        <v>341</v>
      </c>
      <c r="N56" s="31" t="n">
        <v>16</v>
      </c>
    </row>
    <row r="57" customFormat="false" ht="19.5" hidden="false" customHeight="true" outlineLevel="0" collapsed="false">
      <c r="A57" s="18" t="s">
        <v>412</v>
      </c>
      <c r="B57" s="15" t="s">
        <v>413</v>
      </c>
      <c r="C57" s="17" t="s">
        <v>336</v>
      </c>
      <c r="D57" s="19" t="s">
        <v>111</v>
      </c>
      <c r="E57" s="17" t="s">
        <v>111</v>
      </c>
      <c r="F57" s="17" t="s">
        <v>111</v>
      </c>
      <c r="G57" s="17" t="s">
        <v>111</v>
      </c>
      <c r="H57" s="17" t="s">
        <v>111</v>
      </c>
      <c r="I57" s="17" t="s">
        <v>111</v>
      </c>
      <c r="J57" s="15" t="s">
        <v>352</v>
      </c>
      <c r="K57" s="15" t="s">
        <v>344</v>
      </c>
      <c r="L57" s="15" t="s">
        <v>340</v>
      </c>
      <c r="M57" s="15" t="s">
        <v>341</v>
      </c>
      <c r="N57" s="33" t="n">
        <v>5</v>
      </c>
    </row>
    <row r="58" customFormat="false" ht="19.5" hidden="false" customHeight="true" outlineLevel="0" collapsed="false">
      <c r="A58" s="40" t="s">
        <v>155</v>
      </c>
      <c r="B58" s="27" t="s">
        <v>413</v>
      </c>
      <c r="C58" s="30" t="s">
        <v>336</v>
      </c>
      <c r="D58" s="26" t="s">
        <v>111</v>
      </c>
      <c r="E58" s="30" t="s">
        <v>111</v>
      </c>
      <c r="F58" s="30" t="s">
        <v>111</v>
      </c>
      <c r="G58" s="30" t="s">
        <v>111</v>
      </c>
      <c r="H58" s="30" t="s">
        <v>111</v>
      </c>
      <c r="I58" s="30" t="s">
        <v>111</v>
      </c>
      <c r="J58" s="27" t="s">
        <v>352</v>
      </c>
      <c r="K58" s="27" t="s">
        <v>344</v>
      </c>
      <c r="L58" s="27" t="s">
        <v>340</v>
      </c>
      <c r="M58" s="27" t="s">
        <v>341</v>
      </c>
      <c r="N58" s="31" t="n">
        <v>9</v>
      </c>
    </row>
    <row r="59" customFormat="false" ht="19.5" hidden="false" customHeight="true" outlineLevel="0" collapsed="false">
      <c r="A59" s="18" t="s">
        <v>414</v>
      </c>
      <c r="B59" s="15" t="s">
        <v>342</v>
      </c>
      <c r="C59" s="17" t="s">
        <v>336</v>
      </c>
      <c r="D59" s="19" t="s">
        <v>111</v>
      </c>
      <c r="E59" s="17" t="s">
        <v>111</v>
      </c>
      <c r="F59" s="17" t="s">
        <v>111</v>
      </c>
      <c r="G59" s="17" t="s">
        <v>111</v>
      </c>
      <c r="H59" s="17" t="s">
        <v>111</v>
      </c>
      <c r="I59" s="17" t="s">
        <v>111</v>
      </c>
      <c r="J59" s="15" t="s">
        <v>343</v>
      </c>
      <c r="K59" s="15" t="s">
        <v>344</v>
      </c>
      <c r="L59" s="15" t="s">
        <v>345</v>
      </c>
      <c r="M59" s="15" t="s">
        <v>341</v>
      </c>
      <c r="N59" s="33" t="n">
        <v>1</v>
      </c>
    </row>
    <row r="60" customFormat="false" ht="19.5" hidden="false" customHeight="true" outlineLevel="0" collapsed="false">
      <c r="A60" s="40" t="s">
        <v>415</v>
      </c>
      <c r="B60" s="27" t="s">
        <v>356</v>
      </c>
      <c r="C60" s="30" t="s">
        <v>336</v>
      </c>
      <c r="D60" s="26" t="s">
        <v>82</v>
      </c>
      <c r="E60" s="30" t="s">
        <v>82</v>
      </c>
      <c r="F60" s="30" t="s">
        <v>82</v>
      </c>
      <c r="G60" s="30" t="s">
        <v>82</v>
      </c>
      <c r="H60" s="30" t="s">
        <v>82</v>
      </c>
      <c r="I60" s="30" t="s">
        <v>82</v>
      </c>
      <c r="J60" s="27" t="s">
        <v>343</v>
      </c>
      <c r="K60" s="27" t="s">
        <v>344</v>
      </c>
      <c r="L60" s="27" t="s">
        <v>345</v>
      </c>
      <c r="M60" s="27" t="s">
        <v>341</v>
      </c>
      <c r="N60" s="31" t="n">
        <v>1</v>
      </c>
    </row>
    <row r="61" customFormat="false" ht="19.5" hidden="false" customHeight="true" outlineLevel="0" collapsed="false">
      <c r="A61" s="18" t="s">
        <v>416</v>
      </c>
      <c r="B61" s="15" t="s">
        <v>356</v>
      </c>
      <c r="C61" s="17" t="s">
        <v>336</v>
      </c>
      <c r="D61" s="19" t="s">
        <v>82</v>
      </c>
      <c r="E61" s="17" t="s">
        <v>82</v>
      </c>
      <c r="F61" s="17" t="s">
        <v>82</v>
      </c>
      <c r="G61" s="17" t="s">
        <v>82</v>
      </c>
      <c r="H61" s="17" t="s">
        <v>82</v>
      </c>
      <c r="I61" s="17" t="s">
        <v>82</v>
      </c>
      <c r="J61" s="15" t="s">
        <v>343</v>
      </c>
      <c r="K61" s="15" t="s">
        <v>344</v>
      </c>
      <c r="L61" s="15" t="s">
        <v>345</v>
      </c>
      <c r="M61" s="15" t="s">
        <v>341</v>
      </c>
      <c r="N61" s="33" t="n">
        <v>1</v>
      </c>
    </row>
    <row r="62" customFormat="false" ht="19.5" hidden="false" customHeight="true" outlineLevel="0" collapsed="false">
      <c r="A62" s="40" t="s">
        <v>417</v>
      </c>
      <c r="B62" s="27" t="s">
        <v>418</v>
      </c>
      <c r="C62" s="30" t="s">
        <v>336</v>
      </c>
      <c r="D62" s="26" t="s">
        <v>419</v>
      </c>
      <c r="E62" s="30" t="s">
        <v>419</v>
      </c>
      <c r="F62" s="30" t="s">
        <v>419</v>
      </c>
      <c r="G62" s="30" t="s">
        <v>419</v>
      </c>
      <c r="H62" s="30" t="s">
        <v>419</v>
      </c>
      <c r="I62" s="30" t="s">
        <v>419</v>
      </c>
      <c r="J62" s="27" t="s">
        <v>352</v>
      </c>
      <c r="K62" s="27" t="s">
        <v>344</v>
      </c>
      <c r="L62" s="27" t="s">
        <v>340</v>
      </c>
      <c r="M62" s="27" t="s">
        <v>341</v>
      </c>
      <c r="N62" s="31" t="n">
        <v>4</v>
      </c>
    </row>
    <row r="63" customFormat="false" ht="19.5" hidden="false" customHeight="true" outlineLevel="0" collapsed="false">
      <c r="A63" s="18" t="s">
        <v>420</v>
      </c>
      <c r="B63" s="15" t="s">
        <v>421</v>
      </c>
      <c r="C63" s="17" t="s">
        <v>336</v>
      </c>
      <c r="D63" s="19" t="s">
        <v>422</v>
      </c>
      <c r="E63" s="17" t="s">
        <v>55</v>
      </c>
      <c r="F63" s="17" t="s">
        <v>422</v>
      </c>
      <c r="G63" s="17" t="s">
        <v>422</v>
      </c>
      <c r="H63" s="17" t="s">
        <v>422</v>
      </c>
      <c r="I63" s="17" t="s">
        <v>422</v>
      </c>
      <c r="J63" s="15" t="s">
        <v>349</v>
      </c>
      <c r="K63" s="15" t="s">
        <v>339</v>
      </c>
      <c r="L63" s="15" t="s">
        <v>345</v>
      </c>
      <c r="M63" s="15" t="s">
        <v>341</v>
      </c>
      <c r="N63" s="33" t="n">
        <v>4</v>
      </c>
    </row>
    <row r="64" customFormat="false" ht="19.5" hidden="false" customHeight="true" outlineLevel="0" collapsed="false">
      <c r="A64" s="40" t="s">
        <v>315</v>
      </c>
      <c r="B64" s="27" t="s">
        <v>351</v>
      </c>
      <c r="C64" s="30" t="s">
        <v>360</v>
      </c>
      <c r="D64" s="26" t="s">
        <v>51</v>
      </c>
      <c r="E64" s="30" t="s">
        <v>45</v>
      </c>
      <c r="F64" s="30" t="s">
        <v>48</v>
      </c>
      <c r="G64" s="30" t="s">
        <v>51</v>
      </c>
      <c r="H64" s="30" t="s">
        <v>51</v>
      </c>
      <c r="I64" s="30" t="s">
        <v>51</v>
      </c>
      <c r="J64" s="27" t="s">
        <v>361</v>
      </c>
      <c r="K64" s="27" t="s">
        <v>344</v>
      </c>
      <c r="L64" s="27" t="s">
        <v>340</v>
      </c>
      <c r="M64" s="27" t="s">
        <v>341</v>
      </c>
      <c r="N64" s="31" t="n">
        <v>14</v>
      </c>
    </row>
    <row r="65" customFormat="false" ht="19.5" hidden="false" customHeight="true" outlineLevel="0" collapsed="false">
      <c r="A65" s="18" t="s">
        <v>423</v>
      </c>
      <c r="B65" s="15" t="s">
        <v>342</v>
      </c>
      <c r="C65" s="17" t="s">
        <v>336</v>
      </c>
      <c r="D65" s="19" t="s">
        <v>111</v>
      </c>
      <c r="E65" s="17" t="s">
        <v>111</v>
      </c>
      <c r="F65" s="17" t="s">
        <v>111</v>
      </c>
      <c r="G65" s="17" t="s">
        <v>111</v>
      </c>
      <c r="H65" s="17" t="s">
        <v>111</v>
      </c>
      <c r="I65" s="17" t="s">
        <v>111</v>
      </c>
      <c r="J65" s="15" t="s">
        <v>343</v>
      </c>
      <c r="K65" s="15" t="s">
        <v>344</v>
      </c>
      <c r="L65" s="15" t="s">
        <v>345</v>
      </c>
      <c r="M65" s="15" t="s">
        <v>341</v>
      </c>
      <c r="N65" s="33" t="n">
        <v>5</v>
      </c>
    </row>
    <row r="66" customFormat="false" ht="19.5" hidden="false" customHeight="true" outlineLevel="0" collapsed="false">
      <c r="A66" s="40" t="s">
        <v>424</v>
      </c>
      <c r="B66" s="27" t="s">
        <v>413</v>
      </c>
      <c r="C66" s="30" t="s">
        <v>336</v>
      </c>
      <c r="D66" s="26" t="s">
        <v>111</v>
      </c>
      <c r="E66" s="30" t="s">
        <v>111</v>
      </c>
      <c r="F66" s="30" t="s">
        <v>111</v>
      </c>
      <c r="G66" s="30" t="s">
        <v>111</v>
      </c>
      <c r="H66" s="30" t="s">
        <v>111</v>
      </c>
      <c r="I66" s="30" t="s">
        <v>111</v>
      </c>
      <c r="J66" s="27" t="s">
        <v>352</v>
      </c>
      <c r="K66" s="27" t="s">
        <v>344</v>
      </c>
      <c r="L66" s="27" t="s">
        <v>340</v>
      </c>
      <c r="M66" s="27" t="s">
        <v>341</v>
      </c>
      <c r="N66" s="31" t="n">
        <v>1</v>
      </c>
    </row>
    <row r="67" customFormat="false" ht="19.5" hidden="false" customHeight="true" outlineLevel="0" collapsed="false">
      <c r="A67" s="18" t="s">
        <v>425</v>
      </c>
      <c r="B67" s="15" t="s">
        <v>379</v>
      </c>
      <c r="C67" s="17" t="s">
        <v>336</v>
      </c>
      <c r="D67" s="19" t="s">
        <v>140</v>
      </c>
      <c r="E67" s="17" t="s">
        <v>140</v>
      </c>
      <c r="F67" s="17" t="s">
        <v>140</v>
      </c>
      <c r="G67" s="17" t="s">
        <v>140</v>
      </c>
      <c r="H67" s="17" t="s">
        <v>140</v>
      </c>
      <c r="I67" s="17" t="s">
        <v>140</v>
      </c>
      <c r="J67" s="15" t="s">
        <v>343</v>
      </c>
      <c r="K67" s="15" t="s">
        <v>344</v>
      </c>
      <c r="L67" s="15" t="s">
        <v>345</v>
      </c>
      <c r="M67" s="15" t="s">
        <v>341</v>
      </c>
      <c r="N67" s="33" t="n">
        <v>2</v>
      </c>
    </row>
    <row r="68" customFormat="false" ht="19.5" hidden="false" customHeight="true" outlineLevel="0" collapsed="false">
      <c r="A68" s="40" t="s">
        <v>426</v>
      </c>
      <c r="B68" s="27" t="s">
        <v>402</v>
      </c>
      <c r="C68" s="30" t="s">
        <v>336</v>
      </c>
      <c r="D68" s="26" t="s">
        <v>140</v>
      </c>
      <c r="E68" s="30" t="s">
        <v>140</v>
      </c>
      <c r="F68" s="30" t="s">
        <v>140</v>
      </c>
      <c r="G68" s="30" t="s">
        <v>140</v>
      </c>
      <c r="H68" s="30" t="s">
        <v>140</v>
      </c>
      <c r="I68" s="30" t="s">
        <v>140</v>
      </c>
      <c r="J68" s="27" t="s">
        <v>352</v>
      </c>
      <c r="K68" s="27" t="s">
        <v>353</v>
      </c>
      <c r="L68" s="27" t="s">
        <v>340</v>
      </c>
      <c r="M68" s="27" t="s">
        <v>341</v>
      </c>
      <c r="N68" s="31" t="n">
        <v>1</v>
      </c>
    </row>
    <row r="69" customFormat="false" ht="19.5" hidden="false" customHeight="true" outlineLevel="0" collapsed="false">
      <c r="A69" s="18" t="s">
        <v>427</v>
      </c>
      <c r="B69" s="15" t="s">
        <v>402</v>
      </c>
      <c r="C69" s="17" t="s">
        <v>336</v>
      </c>
      <c r="D69" s="19" t="s">
        <v>140</v>
      </c>
      <c r="E69" s="17" t="s">
        <v>140</v>
      </c>
      <c r="F69" s="17" t="s">
        <v>140</v>
      </c>
      <c r="G69" s="17" t="s">
        <v>140</v>
      </c>
      <c r="H69" s="17" t="s">
        <v>140</v>
      </c>
      <c r="I69" s="17" t="s">
        <v>140</v>
      </c>
      <c r="J69" s="15" t="s">
        <v>352</v>
      </c>
      <c r="K69" s="15" t="s">
        <v>353</v>
      </c>
      <c r="L69" s="15" t="s">
        <v>340</v>
      </c>
      <c r="M69" s="15" t="s">
        <v>341</v>
      </c>
      <c r="N69" s="33" t="n">
        <v>5</v>
      </c>
    </row>
    <row r="70" customFormat="false" ht="19.5" hidden="false" customHeight="true" outlineLevel="0" collapsed="false">
      <c r="A70" s="40" t="s">
        <v>428</v>
      </c>
      <c r="B70" s="27" t="s">
        <v>379</v>
      </c>
      <c r="C70" s="30" t="s">
        <v>336</v>
      </c>
      <c r="D70" s="26" t="s">
        <v>140</v>
      </c>
      <c r="E70" s="30" t="s">
        <v>140</v>
      </c>
      <c r="F70" s="30" t="s">
        <v>140</v>
      </c>
      <c r="G70" s="30" t="s">
        <v>140</v>
      </c>
      <c r="H70" s="30" t="s">
        <v>140</v>
      </c>
      <c r="I70" s="30" t="s">
        <v>140</v>
      </c>
      <c r="J70" s="27" t="s">
        <v>343</v>
      </c>
      <c r="K70" s="27" t="s">
        <v>344</v>
      </c>
      <c r="L70" s="27" t="s">
        <v>345</v>
      </c>
      <c r="M70" s="27" t="s">
        <v>341</v>
      </c>
      <c r="N70" s="31" t="n">
        <v>1</v>
      </c>
    </row>
    <row r="71" customFormat="false" ht="19.5" hidden="false" customHeight="true" outlineLevel="0" collapsed="false">
      <c r="A71" s="18" t="s">
        <v>135</v>
      </c>
      <c r="B71" s="15" t="s">
        <v>379</v>
      </c>
      <c r="C71" s="17" t="s">
        <v>336</v>
      </c>
      <c r="D71" s="19" t="s">
        <v>140</v>
      </c>
      <c r="E71" s="17" t="s">
        <v>140</v>
      </c>
      <c r="F71" s="17" t="s">
        <v>140</v>
      </c>
      <c r="G71" s="17" t="s">
        <v>140</v>
      </c>
      <c r="H71" s="17" t="s">
        <v>140</v>
      </c>
      <c r="I71" s="17" t="s">
        <v>140</v>
      </c>
      <c r="J71" s="15" t="s">
        <v>343</v>
      </c>
      <c r="K71" s="15" t="s">
        <v>344</v>
      </c>
      <c r="L71" s="15" t="s">
        <v>345</v>
      </c>
      <c r="M71" s="15" t="s">
        <v>341</v>
      </c>
      <c r="N71" s="33" t="n">
        <v>10</v>
      </c>
    </row>
    <row r="72" customFormat="false" ht="19.5" hidden="false" customHeight="true" outlineLevel="0" collapsed="false">
      <c r="A72" s="40" t="s">
        <v>429</v>
      </c>
      <c r="B72" s="27" t="s">
        <v>356</v>
      </c>
      <c r="C72" s="30" t="s">
        <v>336</v>
      </c>
      <c r="D72" s="26" t="s">
        <v>82</v>
      </c>
      <c r="E72" s="30" t="s">
        <v>82</v>
      </c>
      <c r="F72" s="30" t="s">
        <v>82</v>
      </c>
      <c r="G72" s="30" t="s">
        <v>82</v>
      </c>
      <c r="H72" s="30" t="s">
        <v>82</v>
      </c>
      <c r="I72" s="30" t="s">
        <v>82</v>
      </c>
      <c r="J72" s="27" t="s">
        <v>343</v>
      </c>
      <c r="K72" s="27" t="s">
        <v>344</v>
      </c>
      <c r="L72" s="27" t="s">
        <v>345</v>
      </c>
      <c r="M72" s="27" t="s">
        <v>341</v>
      </c>
      <c r="N72" s="31" t="n">
        <v>23</v>
      </c>
    </row>
    <row r="73" customFormat="false" ht="19.5" hidden="false" customHeight="true" outlineLevel="0" collapsed="false">
      <c r="A73" s="18" t="s">
        <v>430</v>
      </c>
      <c r="B73" s="15" t="s">
        <v>356</v>
      </c>
      <c r="C73" s="17" t="s">
        <v>336</v>
      </c>
      <c r="D73" s="19" t="s">
        <v>82</v>
      </c>
      <c r="E73" s="17" t="s">
        <v>82</v>
      </c>
      <c r="F73" s="17" t="s">
        <v>82</v>
      </c>
      <c r="G73" s="17" t="s">
        <v>82</v>
      </c>
      <c r="H73" s="17" t="s">
        <v>82</v>
      </c>
      <c r="I73" s="17" t="s">
        <v>82</v>
      </c>
      <c r="J73" s="15" t="s">
        <v>343</v>
      </c>
      <c r="K73" s="15" t="s">
        <v>344</v>
      </c>
      <c r="L73" s="15" t="s">
        <v>345</v>
      </c>
      <c r="M73" s="15" t="s">
        <v>341</v>
      </c>
      <c r="N73" s="33" t="n">
        <v>1</v>
      </c>
    </row>
    <row r="74" customFormat="false" ht="19.5" hidden="false" customHeight="true" outlineLevel="0" collapsed="false">
      <c r="A74" s="40" t="s">
        <v>431</v>
      </c>
      <c r="B74" s="27" t="s">
        <v>382</v>
      </c>
      <c r="C74" s="30" t="s">
        <v>336</v>
      </c>
      <c r="D74" s="26" t="s">
        <v>159</v>
      </c>
      <c r="E74" s="30" t="s">
        <v>55</v>
      </c>
      <c r="F74" s="30" t="s">
        <v>159</v>
      </c>
      <c r="G74" s="30" t="s">
        <v>159</v>
      </c>
      <c r="H74" s="30" t="s">
        <v>159</v>
      </c>
      <c r="I74" s="30" t="s">
        <v>159</v>
      </c>
      <c r="J74" s="27" t="s">
        <v>349</v>
      </c>
      <c r="K74" s="27" t="s">
        <v>339</v>
      </c>
      <c r="L74" s="27" t="s">
        <v>345</v>
      </c>
      <c r="M74" s="27" t="s">
        <v>341</v>
      </c>
      <c r="N74" s="31" t="n">
        <v>1</v>
      </c>
    </row>
    <row r="75" customFormat="false" ht="19.5" hidden="false" customHeight="true" outlineLevel="0" collapsed="false">
      <c r="A75" s="18" t="s">
        <v>432</v>
      </c>
      <c r="B75" s="15" t="s">
        <v>382</v>
      </c>
      <c r="C75" s="17" t="s">
        <v>336</v>
      </c>
      <c r="D75" s="19" t="s">
        <v>159</v>
      </c>
      <c r="E75" s="17" t="s">
        <v>55</v>
      </c>
      <c r="F75" s="17" t="s">
        <v>159</v>
      </c>
      <c r="G75" s="17" t="s">
        <v>159</v>
      </c>
      <c r="H75" s="17" t="s">
        <v>159</v>
      </c>
      <c r="I75" s="17" t="s">
        <v>159</v>
      </c>
      <c r="J75" s="15" t="s">
        <v>349</v>
      </c>
      <c r="K75" s="15" t="s">
        <v>339</v>
      </c>
      <c r="L75" s="15" t="s">
        <v>345</v>
      </c>
      <c r="M75" s="15" t="s">
        <v>341</v>
      </c>
      <c r="N75" s="33" t="n">
        <v>2</v>
      </c>
    </row>
    <row r="76" customFormat="false" ht="19.5" hidden="false" customHeight="true" outlineLevel="0" collapsed="false">
      <c r="A76" s="40" t="s">
        <v>433</v>
      </c>
      <c r="B76" s="27" t="s">
        <v>421</v>
      </c>
      <c r="C76" s="30" t="s">
        <v>336</v>
      </c>
      <c r="D76" s="26" t="s">
        <v>123</v>
      </c>
      <c r="E76" s="30" t="s">
        <v>55</v>
      </c>
      <c r="F76" s="30" t="s">
        <v>123</v>
      </c>
      <c r="G76" s="30" t="s">
        <v>123</v>
      </c>
      <c r="H76" s="30" t="s">
        <v>123</v>
      </c>
      <c r="I76" s="30" t="s">
        <v>123</v>
      </c>
      <c r="J76" s="27" t="s">
        <v>349</v>
      </c>
      <c r="K76" s="27" t="s">
        <v>339</v>
      </c>
      <c r="L76" s="27" t="s">
        <v>345</v>
      </c>
      <c r="M76" s="27" t="s">
        <v>341</v>
      </c>
      <c r="N76" s="31" t="n">
        <v>1</v>
      </c>
    </row>
    <row r="77" customFormat="false" ht="19.5" hidden="false" customHeight="true" outlineLevel="0" collapsed="false">
      <c r="A77" s="18" t="s">
        <v>434</v>
      </c>
      <c r="B77" s="15" t="s">
        <v>382</v>
      </c>
      <c r="C77" s="17" t="s">
        <v>336</v>
      </c>
      <c r="D77" s="19" t="s">
        <v>159</v>
      </c>
      <c r="E77" s="17" t="s">
        <v>55</v>
      </c>
      <c r="F77" s="17" t="s">
        <v>159</v>
      </c>
      <c r="G77" s="17" t="s">
        <v>159</v>
      </c>
      <c r="H77" s="17" t="s">
        <v>159</v>
      </c>
      <c r="I77" s="17" t="s">
        <v>159</v>
      </c>
      <c r="J77" s="15" t="s">
        <v>349</v>
      </c>
      <c r="K77" s="15" t="s">
        <v>339</v>
      </c>
      <c r="L77" s="15" t="s">
        <v>345</v>
      </c>
      <c r="M77" s="15" t="s">
        <v>341</v>
      </c>
      <c r="N77" s="33" t="n">
        <v>4</v>
      </c>
    </row>
    <row r="78" customFormat="false" ht="19.5" hidden="false" customHeight="true" outlineLevel="0" collapsed="false">
      <c r="A78" s="40" t="s">
        <v>435</v>
      </c>
      <c r="B78" s="27" t="s">
        <v>402</v>
      </c>
      <c r="C78" s="30" t="s">
        <v>336</v>
      </c>
      <c r="D78" s="26" t="s">
        <v>140</v>
      </c>
      <c r="E78" s="30" t="s">
        <v>140</v>
      </c>
      <c r="F78" s="30" t="s">
        <v>140</v>
      </c>
      <c r="G78" s="30" t="s">
        <v>140</v>
      </c>
      <c r="H78" s="30" t="s">
        <v>140</v>
      </c>
      <c r="I78" s="30" t="s">
        <v>140</v>
      </c>
      <c r="J78" s="27" t="s">
        <v>352</v>
      </c>
      <c r="K78" s="27" t="s">
        <v>344</v>
      </c>
      <c r="L78" s="27" t="s">
        <v>340</v>
      </c>
      <c r="M78" s="27" t="s">
        <v>341</v>
      </c>
      <c r="N78" s="31" t="n">
        <v>1</v>
      </c>
    </row>
    <row r="79" customFormat="false" ht="19.5" hidden="false" customHeight="true" outlineLevel="0" collapsed="false">
      <c r="A79" s="18" t="s">
        <v>436</v>
      </c>
      <c r="B79" s="15" t="s">
        <v>389</v>
      </c>
      <c r="C79" s="17" t="s">
        <v>336</v>
      </c>
      <c r="D79" s="19" t="s">
        <v>140</v>
      </c>
      <c r="E79" s="17" t="s">
        <v>140</v>
      </c>
      <c r="F79" s="17" t="s">
        <v>140</v>
      </c>
      <c r="G79" s="17" t="s">
        <v>140</v>
      </c>
      <c r="H79" s="17" t="s">
        <v>140</v>
      </c>
      <c r="I79" s="17" t="s">
        <v>140</v>
      </c>
      <c r="J79" s="15" t="s">
        <v>343</v>
      </c>
      <c r="K79" s="15" t="s">
        <v>344</v>
      </c>
      <c r="L79" s="15" t="s">
        <v>345</v>
      </c>
      <c r="M79" s="15" t="s">
        <v>341</v>
      </c>
      <c r="N79" s="33" t="n">
        <v>1</v>
      </c>
    </row>
    <row r="80" customFormat="false" ht="19.5" hidden="false" customHeight="true" outlineLevel="0" collapsed="false">
      <c r="A80" s="40" t="s">
        <v>437</v>
      </c>
      <c r="B80" s="27" t="s">
        <v>356</v>
      </c>
      <c r="C80" s="30" t="s">
        <v>336</v>
      </c>
      <c r="D80" s="26" t="s">
        <v>82</v>
      </c>
      <c r="E80" s="30" t="s">
        <v>82</v>
      </c>
      <c r="F80" s="30" t="s">
        <v>82</v>
      </c>
      <c r="G80" s="30" t="s">
        <v>82</v>
      </c>
      <c r="H80" s="30" t="s">
        <v>82</v>
      </c>
      <c r="I80" s="30" t="s">
        <v>82</v>
      </c>
      <c r="J80" s="27" t="s">
        <v>343</v>
      </c>
      <c r="K80" s="27" t="s">
        <v>344</v>
      </c>
      <c r="L80" s="27" t="s">
        <v>345</v>
      </c>
      <c r="M80" s="27" t="s">
        <v>341</v>
      </c>
      <c r="N80" s="31" t="n">
        <v>1</v>
      </c>
    </row>
    <row r="81" customFormat="false" ht="19.5" hidden="false" customHeight="true" outlineLevel="0" collapsed="false">
      <c r="A81" s="18" t="s">
        <v>438</v>
      </c>
      <c r="B81" s="15" t="s">
        <v>342</v>
      </c>
      <c r="C81" s="17" t="s">
        <v>336</v>
      </c>
      <c r="D81" s="19" t="s">
        <v>111</v>
      </c>
      <c r="E81" s="17" t="s">
        <v>111</v>
      </c>
      <c r="F81" s="17" t="s">
        <v>111</v>
      </c>
      <c r="G81" s="17" t="s">
        <v>111</v>
      </c>
      <c r="H81" s="17" t="s">
        <v>111</v>
      </c>
      <c r="I81" s="17" t="s">
        <v>111</v>
      </c>
      <c r="J81" s="15" t="s">
        <v>343</v>
      </c>
      <c r="K81" s="15" t="s">
        <v>344</v>
      </c>
      <c r="L81" s="15" t="s">
        <v>345</v>
      </c>
      <c r="M81" s="15" t="s">
        <v>341</v>
      </c>
      <c r="N81" s="33" t="n">
        <v>1</v>
      </c>
    </row>
    <row r="82" customFormat="false" ht="19.5" hidden="false" customHeight="true" outlineLevel="0" collapsed="false">
      <c r="A82" s="40" t="s">
        <v>439</v>
      </c>
      <c r="B82" s="27" t="s">
        <v>379</v>
      </c>
      <c r="C82" s="30" t="s">
        <v>336</v>
      </c>
      <c r="D82" s="26" t="s">
        <v>140</v>
      </c>
      <c r="E82" s="30" t="s">
        <v>140</v>
      </c>
      <c r="F82" s="30" t="s">
        <v>140</v>
      </c>
      <c r="G82" s="30" t="s">
        <v>140</v>
      </c>
      <c r="H82" s="30" t="s">
        <v>140</v>
      </c>
      <c r="I82" s="30" t="s">
        <v>140</v>
      </c>
      <c r="J82" s="27" t="s">
        <v>343</v>
      </c>
      <c r="K82" s="27" t="s">
        <v>344</v>
      </c>
      <c r="L82" s="27" t="s">
        <v>345</v>
      </c>
      <c r="M82" s="27" t="s">
        <v>341</v>
      </c>
      <c r="N82" s="31" t="n">
        <v>1</v>
      </c>
    </row>
    <row r="83" customFormat="false" ht="19.5" hidden="false" customHeight="true" outlineLevel="0" collapsed="false">
      <c r="A83" s="18" t="s">
        <v>440</v>
      </c>
      <c r="B83" s="15" t="s">
        <v>441</v>
      </c>
      <c r="C83" s="17" t="s">
        <v>336</v>
      </c>
      <c r="D83" s="19" t="s">
        <v>442</v>
      </c>
      <c r="E83" s="17" t="s">
        <v>442</v>
      </c>
      <c r="F83" s="17" t="s">
        <v>442</v>
      </c>
      <c r="G83" s="17" t="s">
        <v>442</v>
      </c>
      <c r="H83" s="17" t="s">
        <v>442</v>
      </c>
      <c r="I83" s="17" t="s">
        <v>442</v>
      </c>
      <c r="J83" s="15" t="s">
        <v>343</v>
      </c>
      <c r="K83" s="15" t="s">
        <v>369</v>
      </c>
      <c r="L83" s="15" t="s">
        <v>370</v>
      </c>
      <c r="M83" s="15" t="s">
        <v>371</v>
      </c>
      <c r="N83" s="33" t="n">
        <v>1</v>
      </c>
    </row>
    <row r="84" customFormat="false" ht="19.5" hidden="false" customHeight="true" outlineLevel="0" collapsed="false">
      <c r="A84" s="40" t="s">
        <v>443</v>
      </c>
      <c r="B84" s="27" t="s">
        <v>355</v>
      </c>
      <c r="C84" s="30" t="s">
        <v>336</v>
      </c>
      <c r="D84" s="26" t="s">
        <v>82</v>
      </c>
      <c r="E84" s="30" t="s">
        <v>82</v>
      </c>
      <c r="F84" s="30" t="s">
        <v>82</v>
      </c>
      <c r="G84" s="30" t="s">
        <v>82</v>
      </c>
      <c r="H84" s="30" t="s">
        <v>82</v>
      </c>
      <c r="I84" s="30" t="s">
        <v>82</v>
      </c>
      <c r="J84" s="27" t="s">
        <v>343</v>
      </c>
      <c r="K84" s="27" t="s">
        <v>344</v>
      </c>
      <c r="L84" s="27" t="s">
        <v>345</v>
      </c>
      <c r="M84" s="27" t="s">
        <v>341</v>
      </c>
      <c r="N84" s="31" t="n">
        <v>4</v>
      </c>
    </row>
    <row r="85" customFormat="false" ht="19.5" hidden="false" customHeight="true" outlineLevel="0" collapsed="false">
      <c r="A85" s="18" t="s">
        <v>444</v>
      </c>
      <c r="B85" s="15" t="s">
        <v>342</v>
      </c>
      <c r="C85" s="17" t="s">
        <v>336</v>
      </c>
      <c r="D85" s="19" t="s">
        <v>111</v>
      </c>
      <c r="E85" s="17" t="s">
        <v>111</v>
      </c>
      <c r="F85" s="17" t="s">
        <v>111</v>
      </c>
      <c r="G85" s="17" t="s">
        <v>111</v>
      </c>
      <c r="H85" s="17" t="s">
        <v>111</v>
      </c>
      <c r="I85" s="17" t="s">
        <v>111</v>
      </c>
      <c r="J85" s="15" t="s">
        <v>343</v>
      </c>
      <c r="K85" s="15" t="s">
        <v>344</v>
      </c>
      <c r="L85" s="15" t="s">
        <v>345</v>
      </c>
      <c r="M85" s="15" t="s">
        <v>341</v>
      </c>
      <c r="N85" s="33" t="n">
        <v>1</v>
      </c>
    </row>
    <row r="86" customFormat="false" ht="19.5" hidden="false" customHeight="true" outlineLevel="0" collapsed="false">
      <c r="A86" s="40" t="s">
        <v>445</v>
      </c>
      <c r="B86" s="27" t="s">
        <v>379</v>
      </c>
      <c r="C86" s="30" t="s">
        <v>336</v>
      </c>
      <c r="D86" s="26" t="s">
        <v>140</v>
      </c>
      <c r="E86" s="30" t="s">
        <v>140</v>
      </c>
      <c r="F86" s="30" t="s">
        <v>140</v>
      </c>
      <c r="G86" s="30" t="s">
        <v>140</v>
      </c>
      <c r="H86" s="30" t="s">
        <v>140</v>
      </c>
      <c r="I86" s="30" t="s">
        <v>140</v>
      </c>
      <c r="J86" s="27" t="s">
        <v>343</v>
      </c>
      <c r="K86" s="27" t="s">
        <v>344</v>
      </c>
      <c r="L86" s="27" t="s">
        <v>345</v>
      </c>
      <c r="M86" s="27" t="s">
        <v>341</v>
      </c>
      <c r="N86" s="31" t="n">
        <v>11</v>
      </c>
    </row>
    <row r="87" customFormat="false" ht="19.5" hidden="false" customHeight="true" outlineLevel="0" collapsed="false">
      <c r="A87" s="18" t="s">
        <v>446</v>
      </c>
      <c r="B87" s="15" t="s">
        <v>447</v>
      </c>
      <c r="C87" s="17" t="s">
        <v>336</v>
      </c>
      <c r="D87" s="19" t="s">
        <v>111</v>
      </c>
      <c r="E87" s="17" t="s">
        <v>111</v>
      </c>
      <c r="F87" s="17" t="s">
        <v>111</v>
      </c>
      <c r="G87" s="17" t="s">
        <v>111</v>
      </c>
      <c r="H87" s="17" t="s">
        <v>111</v>
      </c>
      <c r="I87" s="17" t="s">
        <v>111</v>
      </c>
      <c r="J87" s="15" t="s">
        <v>343</v>
      </c>
      <c r="K87" s="15" t="s">
        <v>344</v>
      </c>
      <c r="L87" s="15" t="s">
        <v>345</v>
      </c>
      <c r="M87" s="15" t="s">
        <v>341</v>
      </c>
      <c r="N87" s="33" t="n">
        <v>13</v>
      </c>
    </row>
    <row r="88" customFormat="false" ht="19.5" hidden="false" customHeight="true" outlineLevel="0" collapsed="false">
      <c r="A88" s="40" t="s">
        <v>448</v>
      </c>
      <c r="B88" s="27" t="s">
        <v>342</v>
      </c>
      <c r="C88" s="30" t="s">
        <v>336</v>
      </c>
      <c r="D88" s="26" t="s">
        <v>146</v>
      </c>
      <c r="E88" s="30" t="s">
        <v>146</v>
      </c>
      <c r="F88" s="30" t="s">
        <v>146</v>
      </c>
      <c r="G88" s="30" t="s">
        <v>146</v>
      </c>
      <c r="H88" s="30" t="s">
        <v>146</v>
      </c>
      <c r="I88" s="30" t="s">
        <v>146</v>
      </c>
      <c r="J88" s="27" t="s">
        <v>343</v>
      </c>
      <c r="K88" s="27" t="s">
        <v>344</v>
      </c>
      <c r="L88" s="27" t="s">
        <v>345</v>
      </c>
      <c r="M88" s="27" t="s">
        <v>341</v>
      </c>
      <c r="N88" s="31" t="n">
        <v>1</v>
      </c>
    </row>
    <row r="89" customFormat="false" ht="19.5" hidden="false" customHeight="true" outlineLevel="0" collapsed="false">
      <c r="A89" s="18" t="s">
        <v>449</v>
      </c>
      <c r="B89" s="15" t="s">
        <v>342</v>
      </c>
      <c r="C89" s="17" t="s">
        <v>336</v>
      </c>
      <c r="D89" s="19" t="s">
        <v>146</v>
      </c>
      <c r="E89" s="17" t="s">
        <v>146</v>
      </c>
      <c r="F89" s="17" t="s">
        <v>146</v>
      </c>
      <c r="G89" s="17" t="s">
        <v>146</v>
      </c>
      <c r="H89" s="17" t="s">
        <v>146</v>
      </c>
      <c r="I89" s="17" t="s">
        <v>146</v>
      </c>
      <c r="J89" s="15" t="s">
        <v>343</v>
      </c>
      <c r="K89" s="15" t="s">
        <v>344</v>
      </c>
      <c r="L89" s="15" t="s">
        <v>345</v>
      </c>
      <c r="M89" s="15" t="s">
        <v>341</v>
      </c>
      <c r="N89" s="33" t="n">
        <v>3</v>
      </c>
    </row>
    <row r="90" customFormat="false" ht="19.5" hidden="false" customHeight="true" outlineLevel="0" collapsed="false">
      <c r="A90" s="40" t="s">
        <v>450</v>
      </c>
      <c r="B90" s="27" t="s">
        <v>356</v>
      </c>
      <c r="C90" s="30" t="s">
        <v>336</v>
      </c>
      <c r="D90" s="26" t="s">
        <v>82</v>
      </c>
      <c r="E90" s="30" t="s">
        <v>82</v>
      </c>
      <c r="F90" s="30" t="s">
        <v>82</v>
      </c>
      <c r="G90" s="30" t="s">
        <v>82</v>
      </c>
      <c r="H90" s="30" t="s">
        <v>82</v>
      </c>
      <c r="I90" s="30" t="s">
        <v>82</v>
      </c>
      <c r="J90" s="27" t="s">
        <v>343</v>
      </c>
      <c r="K90" s="27" t="s">
        <v>344</v>
      </c>
      <c r="L90" s="27" t="s">
        <v>345</v>
      </c>
      <c r="M90" s="27" t="s">
        <v>341</v>
      </c>
      <c r="N90" s="31" t="n">
        <v>1</v>
      </c>
    </row>
    <row r="91" customFormat="false" ht="19.5" hidden="false" customHeight="true" outlineLevel="0" collapsed="false">
      <c r="A91" s="18" t="s">
        <v>451</v>
      </c>
      <c r="B91" s="15" t="s">
        <v>452</v>
      </c>
      <c r="C91" s="17" t="s">
        <v>336</v>
      </c>
      <c r="D91" s="19" t="s">
        <v>453</v>
      </c>
      <c r="E91" s="17" t="s">
        <v>453</v>
      </c>
      <c r="F91" s="17" t="s">
        <v>453</v>
      </c>
      <c r="G91" s="17" t="s">
        <v>453</v>
      </c>
      <c r="H91" s="17" t="s">
        <v>453</v>
      </c>
      <c r="I91" s="17" t="s">
        <v>453</v>
      </c>
      <c r="J91" s="15" t="s">
        <v>338</v>
      </c>
      <c r="K91" s="15" t="s">
        <v>339</v>
      </c>
      <c r="L91" s="15" t="s">
        <v>340</v>
      </c>
      <c r="M91" s="15" t="s">
        <v>341</v>
      </c>
      <c r="N91" s="33" t="n">
        <v>3</v>
      </c>
    </row>
    <row r="92" customFormat="false" ht="19.5" hidden="false" customHeight="true" outlineLevel="0" collapsed="false">
      <c r="A92" s="40" t="s">
        <v>454</v>
      </c>
      <c r="B92" s="27" t="s">
        <v>452</v>
      </c>
      <c r="C92" s="30" t="s">
        <v>336</v>
      </c>
      <c r="D92" s="26" t="s">
        <v>453</v>
      </c>
      <c r="E92" s="30" t="s">
        <v>453</v>
      </c>
      <c r="F92" s="30" t="s">
        <v>453</v>
      </c>
      <c r="G92" s="30" t="s">
        <v>453</v>
      </c>
      <c r="H92" s="30" t="s">
        <v>453</v>
      </c>
      <c r="I92" s="30" t="s">
        <v>453</v>
      </c>
      <c r="J92" s="27" t="s">
        <v>338</v>
      </c>
      <c r="K92" s="27" t="s">
        <v>339</v>
      </c>
      <c r="L92" s="27" t="s">
        <v>340</v>
      </c>
      <c r="M92" s="27" t="s">
        <v>341</v>
      </c>
      <c r="N92" s="31" t="n">
        <v>2</v>
      </c>
    </row>
    <row r="93" customFormat="false" ht="19.5" hidden="false" customHeight="true" outlineLevel="0" collapsed="false">
      <c r="A93" s="18" t="s">
        <v>455</v>
      </c>
      <c r="B93" s="15" t="s">
        <v>356</v>
      </c>
      <c r="C93" s="17" t="s">
        <v>336</v>
      </c>
      <c r="D93" s="19" t="s">
        <v>82</v>
      </c>
      <c r="E93" s="17" t="s">
        <v>82</v>
      </c>
      <c r="F93" s="17" t="s">
        <v>82</v>
      </c>
      <c r="G93" s="17" t="s">
        <v>82</v>
      </c>
      <c r="H93" s="17" t="s">
        <v>82</v>
      </c>
      <c r="I93" s="17" t="s">
        <v>82</v>
      </c>
      <c r="J93" s="15" t="s">
        <v>343</v>
      </c>
      <c r="K93" s="15" t="s">
        <v>344</v>
      </c>
      <c r="L93" s="15" t="s">
        <v>345</v>
      </c>
      <c r="M93" s="15" t="s">
        <v>341</v>
      </c>
      <c r="N93" s="33" t="n">
        <v>1</v>
      </c>
    </row>
    <row r="94" customFormat="false" ht="19.5" hidden="false" customHeight="true" outlineLevel="0" collapsed="false">
      <c r="A94" s="40" t="s">
        <v>456</v>
      </c>
      <c r="B94" s="27" t="s">
        <v>457</v>
      </c>
      <c r="C94" s="30" t="s">
        <v>336</v>
      </c>
      <c r="D94" s="26" t="s">
        <v>367</v>
      </c>
      <c r="E94" s="30" t="s">
        <v>367</v>
      </c>
      <c r="F94" s="30" t="s">
        <v>367</v>
      </c>
      <c r="G94" s="30" t="s">
        <v>367</v>
      </c>
      <c r="H94" s="30" t="s">
        <v>367</v>
      </c>
      <c r="I94" s="30" t="s">
        <v>367</v>
      </c>
      <c r="J94" s="27" t="s">
        <v>368</v>
      </c>
      <c r="K94" s="27" t="s">
        <v>369</v>
      </c>
      <c r="L94" s="27" t="s">
        <v>370</v>
      </c>
      <c r="M94" s="27" t="s">
        <v>371</v>
      </c>
      <c r="N94" s="31" t="n">
        <v>1</v>
      </c>
    </row>
    <row r="95" customFormat="false" ht="19.5" hidden="false" customHeight="true" outlineLevel="0" collapsed="false">
      <c r="A95" s="18" t="s">
        <v>458</v>
      </c>
      <c r="B95" s="15" t="s">
        <v>459</v>
      </c>
      <c r="C95" s="17" t="s">
        <v>336</v>
      </c>
      <c r="D95" s="19" t="s">
        <v>419</v>
      </c>
      <c r="E95" s="17" t="s">
        <v>419</v>
      </c>
      <c r="F95" s="17" t="s">
        <v>419</v>
      </c>
      <c r="G95" s="17" t="s">
        <v>419</v>
      </c>
      <c r="H95" s="17" t="s">
        <v>419</v>
      </c>
      <c r="I95" s="17" t="s">
        <v>419</v>
      </c>
      <c r="J95" s="15" t="s">
        <v>343</v>
      </c>
      <c r="K95" s="15" t="s">
        <v>344</v>
      </c>
      <c r="L95" s="15" t="s">
        <v>345</v>
      </c>
      <c r="M95" s="15" t="s">
        <v>341</v>
      </c>
      <c r="N95" s="33" t="n">
        <v>3</v>
      </c>
    </row>
    <row r="96" customFormat="false" ht="19.5" hidden="false" customHeight="true" outlineLevel="0" collapsed="false">
      <c r="A96" s="40" t="s">
        <v>460</v>
      </c>
      <c r="B96" s="27" t="s">
        <v>363</v>
      </c>
      <c r="C96" s="30" t="s">
        <v>336</v>
      </c>
      <c r="D96" s="26" t="s">
        <v>82</v>
      </c>
      <c r="E96" s="30" t="s">
        <v>82</v>
      </c>
      <c r="F96" s="30" t="s">
        <v>82</v>
      </c>
      <c r="G96" s="30" t="s">
        <v>82</v>
      </c>
      <c r="H96" s="30" t="s">
        <v>82</v>
      </c>
      <c r="I96" s="30" t="s">
        <v>82</v>
      </c>
      <c r="J96" s="27" t="s">
        <v>352</v>
      </c>
      <c r="K96" s="27" t="s">
        <v>353</v>
      </c>
      <c r="L96" s="27" t="s">
        <v>340</v>
      </c>
      <c r="M96" s="27" t="s">
        <v>341</v>
      </c>
      <c r="N96" s="31" t="n">
        <v>6</v>
      </c>
    </row>
    <row r="97" customFormat="false" ht="19.5" hidden="false" customHeight="true" outlineLevel="0" collapsed="false">
      <c r="A97" s="18" t="s">
        <v>461</v>
      </c>
      <c r="B97" s="15" t="s">
        <v>462</v>
      </c>
      <c r="C97" s="17" t="s">
        <v>336</v>
      </c>
      <c r="D97" s="19" t="s">
        <v>463</v>
      </c>
      <c r="E97" s="17" t="s">
        <v>463</v>
      </c>
      <c r="F97" s="17" t="s">
        <v>463</v>
      </c>
      <c r="G97" s="17" t="s">
        <v>463</v>
      </c>
      <c r="H97" s="17" t="s">
        <v>463</v>
      </c>
      <c r="I97" s="17" t="s">
        <v>463</v>
      </c>
      <c r="J97" s="15" t="s">
        <v>343</v>
      </c>
      <c r="K97" s="15" t="s">
        <v>344</v>
      </c>
      <c r="L97" s="15" t="s">
        <v>345</v>
      </c>
      <c r="M97" s="15" t="s">
        <v>341</v>
      </c>
      <c r="N97" s="33" t="n">
        <v>1</v>
      </c>
    </row>
    <row r="98" customFormat="false" ht="19.5" hidden="false" customHeight="true" outlineLevel="0" collapsed="false">
      <c r="A98" s="40" t="s">
        <v>464</v>
      </c>
      <c r="B98" s="27" t="s">
        <v>356</v>
      </c>
      <c r="C98" s="30" t="s">
        <v>360</v>
      </c>
      <c r="D98" s="26" t="s">
        <v>51</v>
      </c>
      <c r="E98" s="30" t="s">
        <v>45</v>
      </c>
      <c r="F98" s="30" t="s">
        <v>48</v>
      </c>
      <c r="G98" s="30" t="s">
        <v>51</v>
      </c>
      <c r="H98" s="30" t="s">
        <v>51</v>
      </c>
      <c r="I98" s="30" t="s">
        <v>51</v>
      </c>
      <c r="J98" s="27" t="s">
        <v>361</v>
      </c>
      <c r="K98" s="27" t="s">
        <v>344</v>
      </c>
      <c r="L98" s="27" t="s">
        <v>345</v>
      </c>
      <c r="M98" s="27" t="s">
        <v>341</v>
      </c>
      <c r="N98" s="31" t="n">
        <v>1</v>
      </c>
    </row>
    <row r="99" customFormat="false" ht="19.5" hidden="false" customHeight="true" outlineLevel="0" collapsed="false">
      <c r="A99" s="18" t="s">
        <v>465</v>
      </c>
      <c r="B99" s="15" t="s">
        <v>379</v>
      </c>
      <c r="C99" s="17" t="s">
        <v>336</v>
      </c>
      <c r="D99" s="19" t="s">
        <v>140</v>
      </c>
      <c r="E99" s="17" t="s">
        <v>140</v>
      </c>
      <c r="F99" s="17" t="s">
        <v>140</v>
      </c>
      <c r="G99" s="17" t="s">
        <v>140</v>
      </c>
      <c r="H99" s="17" t="s">
        <v>140</v>
      </c>
      <c r="I99" s="17" t="s">
        <v>140</v>
      </c>
      <c r="J99" s="15" t="s">
        <v>343</v>
      </c>
      <c r="K99" s="15" t="s">
        <v>344</v>
      </c>
      <c r="L99" s="15" t="s">
        <v>345</v>
      </c>
      <c r="M99" s="15" t="s">
        <v>341</v>
      </c>
      <c r="N99" s="33" t="n">
        <v>1</v>
      </c>
    </row>
    <row r="100" customFormat="false" ht="19.5" hidden="false" customHeight="true" outlineLevel="0" collapsed="false">
      <c r="A100" s="40" t="s">
        <v>466</v>
      </c>
      <c r="B100" s="27" t="s">
        <v>467</v>
      </c>
      <c r="C100" s="30" t="s">
        <v>336</v>
      </c>
      <c r="D100" s="26" t="s">
        <v>118</v>
      </c>
      <c r="E100" s="30" t="s">
        <v>55</v>
      </c>
      <c r="F100" s="30" t="s">
        <v>118</v>
      </c>
      <c r="G100" s="30" t="s">
        <v>118</v>
      </c>
      <c r="H100" s="30" t="s">
        <v>118</v>
      </c>
      <c r="I100" s="30" t="s">
        <v>118</v>
      </c>
      <c r="J100" s="27" t="s">
        <v>349</v>
      </c>
      <c r="K100" s="27" t="s">
        <v>339</v>
      </c>
      <c r="L100" s="27" t="s">
        <v>345</v>
      </c>
      <c r="M100" s="27" t="s">
        <v>341</v>
      </c>
      <c r="N100" s="31" t="n">
        <v>57</v>
      </c>
    </row>
    <row r="101" customFormat="false" ht="19.5" hidden="false" customHeight="true" outlineLevel="0" collapsed="false">
      <c r="A101" s="18" t="s">
        <v>468</v>
      </c>
      <c r="B101" s="15" t="s">
        <v>469</v>
      </c>
      <c r="C101" s="17" t="s">
        <v>336</v>
      </c>
      <c r="D101" s="19" t="s">
        <v>82</v>
      </c>
      <c r="E101" s="17" t="s">
        <v>82</v>
      </c>
      <c r="F101" s="17" t="s">
        <v>82</v>
      </c>
      <c r="G101" s="17" t="s">
        <v>82</v>
      </c>
      <c r="H101" s="17" t="s">
        <v>82</v>
      </c>
      <c r="I101" s="17" t="s">
        <v>82</v>
      </c>
      <c r="J101" s="15" t="s">
        <v>343</v>
      </c>
      <c r="K101" s="15" t="s">
        <v>344</v>
      </c>
      <c r="L101" s="15" t="s">
        <v>345</v>
      </c>
      <c r="M101" s="15" t="s">
        <v>341</v>
      </c>
      <c r="N101" s="33" t="n">
        <v>15</v>
      </c>
    </row>
    <row r="102" customFormat="false" ht="19.5" hidden="false" customHeight="true" outlineLevel="0" collapsed="false">
      <c r="A102" s="40" t="s">
        <v>470</v>
      </c>
      <c r="B102" s="27" t="s">
        <v>469</v>
      </c>
      <c r="C102" s="30" t="s">
        <v>336</v>
      </c>
      <c r="D102" s="26" t="s">
        <v>82</v>
      </c>
      <c r="E102" s="30" t="s">
        <v>82</v>
      </c>
      <c r="F102" s="30" t="s">
        <v>82</v>
      </c>
      <c r="G102" s="30" t="s">
        <v>82</v>
      </c>
      <c r="H102" s="30" t="s">
        <v>82</v>
      </c>
      <c r="I102" s="30" t="s">
        <v>82</v>
      </c>
      <c r="J102" s="27" t="s">
        <v>343</v>
      </c>
      <c r="K102" s="27" t="s">
        <v>344</v>
      </c>
      <c r="L102" s="27" t="s">
        <v>345</v>
      </c>
      <c r="M102" s="27" t="s">
        <v>341</v>
      </c>
      <c r="N102" s="31" t="n">
        <v>16</v>
      </c>
    </row>
    <row r="103" customFormat="false" ht="19.5" hidden="false" customHeight="true" outlineLevel="0" collapsed="false">
      <c r="A103" s="18" t="s">
        <v>471</v>
      </c>
      <c r="B103" s="15" t="s">
        <v>402</v>
      </c>
      <c r="C103" s="17" t="s">
        <v>336</v>
      </c>
      <c r="D103" s="19" t="s">
        <v>472</v>
      </c>
      <c r="E103" s="17" t="s">
        <v>472</v>
      </c>
      <c r="F103" s="17" t="s">
        <v>472</v>
      </c>
      <c r="G103" s="17" t="s">
        <v>472</v>
      </c>
      <c r="H103" s="17" t="s">
        <v>472</v>
      </c>
      <c r="I103" s="17" t="s">
        <v>472</v>
      </c>
      <c r="J103" s="15" t="s">
        <v>352</v>
      </c>
      <c r="K103" s="15" t="s">
        <v>353</v>
      </c>
      <c r="L103" s="15" t="s">
        <v>340</v>
      </c>
      <c r="M103" s="15" t="s">
        <v>341</v>
      </c>
      <c r="N103" s="33" t="n">
        <v>1</v>
      </c>
    </row>
    <row r="104" customFormat="false" ht="19.5" hidden="false" customHeight="true" outlineLevel="0" collapsed="false">
      <c r="A104" s="40" t="s">
        <v>473</v>
      </c>
      <c r="B104" s="27" t="s">
        <v>379</v>
      </c>
      <c r="C104" s="30" t="s">
        <v>336</v>
      </c>
      <c r="D104" s="26" t="s">
        <v>140</v>
      </c>
      <c r="E104" s="30" t="s">
        <v>140</v>
      </c>
      <c r="F104" s="30" t="s">
        <v>140</v>
      </c>
      <c r="G104" s="30" t="s">
        <v>140</v>
      </c>
      <c r="H104" s="30" t="s">
        <v>140</v>
      </c>
      <c r="I104" s="30" t="s">
        <v>140</v>
      </c>
      <c r="J104" s="27" t="s">
        <v>343</v>
      </c>
      <c r="K104" s="27" t="s">
        <v>344</v>
      </c>
      <c r="L104" s="27" t="s">
        <v>345</v>
      </c>
      <c r="M104" s="27" t="s">
        <v>341</v>
      </c>
      <c r="N104" s="31" t="n">
        <v>7</v>
      </c>
    </row>
    <row r="105" customFormat="false" ht="19.5" hidden="false" customHeight="true" outlineLevel="0" collapsed="false">
      <c r="A105" s="18" t="s">
        <v>474</v>
      </c>
      <c r="B105" s="15" t="s">
        <v>356</v>
      </c>
      <c r="C105" s="17" t="s">
        <v>336</v>
      </c>
      <c r="D105" s="19" t="s">
        <v>82</v>
      </c>
      <c r="E105" s="17" t="s">
        <v>82</v>
      </c>
      <c r="F105" s="17" t="s">
        <v>82</v>
      </c>
      <c r="G105" s="17" t="s">
        <v>82</v>
      </c>
      <c r="H105" s="17" t="s">
        <v>82</v>
      </c>
      <c r="I105" s="17" t="s">
        <v>82</v>
      </c>
      <c r="J105" s="15" t="s">
        <v>343</v>
      </c>
      <c r="K105" s="15" t="s">
        <v>344</v>
      </c>
      <c r="L105" s="15" t="s">
        <v>345</v>
      </c>
      <c r="M105" s="15" t="s">
        <v>341</v>
      </c>
      <c r="N105" s="33" t="n">
        <v>1</v>
      </c>
    </row>
    <row r="106" customFormat="false" ht="19.5" hidden="false" customHeight="true" outlineLevel="0" collapsed="false">
      <c r="A106" s="40" t="s">
        <v>475</v>
      </c>
      <c r="B106" s="27" t="s">
        <v>356</v>
      </c>
      <c r="C106" s="30" t="s">
        <v>336</v>
      </c>
      <c r="D106" s="26" t="s">
        <v>82</v>
      </c>
      <c r="E106" s="30" t="s">
        <v>82</v>
      </c>
      <c r="F106" s="30" t="s">
        <v>82</v>
      </c>
      <c r="G106" s="30" t="s">
        <v>82</v>
      </c>
      <c r="H106" s="30" t="s">
        <v>82</v>
      </c>
      <c r="I106" s="30" t="s">
        <v>82</v>
      </c>
      <c r="J106" s="27" t="s">
        <v>343</v>
      </c>
      <c r="K106" s="27" t="s">
        <v>344</v>
      </c>
      <c r="L106" s="27" t="s">
        <v>345</v>
      </c>
      <c r="M106" s="27" t="s">
        <v>341</v>
      </c>
      <c r="N106" s="31" t="n">
        <v>2</v>
      </c>
    </row>
    <row r="107" customFormat="false" ht="19.5" hidden="false" customHeight="true" outlineLevel="0" collapsed="false">
      <c r="A107" s="18" t="s">
        <v>476</v>
      </c>
      <c r="B107" s="15" t="s">
        <v>379</v>
      </c>
      <c r="C107" s="17" t="s">
        <v>336</v>
      </c>
      <c r="D107" s="19" t="s">
        <v>140</v>
      </c>
      <c r="E107" s="17" t="s">
        <v>140</v>
      </c>
      <c r="F107" s="17" t="s">
        <v>140</v>
      </c>
      <c r="G107" s="17" t="s">
        <v>140</v>
      </c>
      <c r="H107" s="17" t="s">
        <v>140</v>
      </c>
      <c r="I107" s="17" t="s">
        <v>140</v>
      </c>
      <c r="J107" s="15" t="s">
        <v>343</v>
      </c>
      <c r="K107" s="15" t="s">
        <v>344</v>
      </c>
      <c r="L107" s="15" t="s">
        <v>345</v>
      </c>
      <c r="M107" s="15" t="s">
        <v>341</v>
      </c>
      <c r="N107" s="33" t="n">
        <v>1</v>
      </c>
    </row>
    <row r="108" customFormat="false" ht="19.5" hidden="false" customHeight="true" outlineLevel="0" collapsed="false">
      <c r="A108" s="40" t="s">
        <v>477</v>
      </c>
      <c r="B108" s="27" t="s">
        <v>342</v>
      </c>
      <c r="C108" s="30" t="s">
        <v>336</v>
      </c>
      <c r="D108" s="26" t="s">
        <v>111</v>
      </c>
      <c r="E108" s="30" t="s">
        <v>111</v>
      </c>
      <c r="F108" s="30" t="s">
        <v>111</v>
      </c>
      <c r="G108" s="30" t="s">
        <v>111</v>
      </c>
      <c r="H108" s="30" t="s">
        <v>111</v>
      </c>
      <c r="I108" s="30" t="s">
        <v>111</v>
      </c>
      <c r="J108" s="27" t="s">
        <v>343</v>
      </c>
      <c r="K108" s="27" t="s">
        <v>344</v>
      </c>
      <c r="L108" s="27" t="s">
        <v>345</v>
      </c>
      <c r="M108" s="27" t="s">
        <v>341</v>
      </c>
      <c r="N108" s="31" t="n">
        <v>1</v>
      </c>
    </row>
    <row r="109" customFormat="false" ht="19.5" hidden="false" customHeight="true" outlineLevel="0" collapsed="false">
      <c r="A109" s="18" t="s">
        <v>478</v>
      </c>
      <c r="B109" s="15" t="s">
        <v>413</v>
      </c>
      <c r="C109" s="17" t="s">
        <v>336</v>
      </c>
      <c r="D109" s="19" t="s">
        <v>479</v>
      </c>
      <c r="E109" s="17" t="s">
        <v>479</v>
      </c>
      <c r="F109" s="17" t="s">
        <v>479</v>
      </c>
      <c r="G109" s="17" t="s">
        <v>479</v>
      </c>
      <c r="H109" s="17" t="s">
        <v>479</v>
      </c>
      <c r="I109" s="17" t="s">
        <v>479</v>
      </c>
      <c r="J109" s="15" t="s">
        <v>352</v>
      </c>
      <c r="K109" s="15" t="s">
        <v>344</v>
      </c>
      <c r="L109" s="15" t="s">
        <v>340</v>
      </c>
      <c r="M109" s="15" t="s">
        <v>341</v>
      </c>
      <c r="N109" s="33" t="n">
        <v>3</v>
      </c>
    </row>
    <row r="110" customFormat="false" ht="19.5" hidden="false" customHeight="true" outlineLevel="0" collapsed="false">
      <c r="A110" s="40" t="s">
        <v>480</v>
      </c>
      <c r="B110" s="27" t="s">
        <v>342</v>
      </c>
      <c r="C110" s="30" t="s">
        <v>336</v>
      </c>
      <c r="D110" s="26" t="s">
        <v>479</v>
      </c>
      <c r="E110" s="30" t="s">
        <v>479</v>
      </c>
      <c r="F110" s="30" t="s">
        <v>479</v>
      </c>
      <c r="G110" s="30" t="s">
        <v>479</v>
      </c>
      <c r="H110" s="30" t="s">
        <v>479</v>
      </c>
      <c r="I110" s="30" t="s">
        <v>479</v>
      </c>
      <c r="J110" s="27" t="s">
        <v>343</v>
      </c>
      <c r="K110" s="27" t="s">
        <v>344</v>
      </c>
      <c r="L110" s="27" t="s">
        <v>345</v>
      </c>
      <c r="M110" s="27" t="s">
        <v>341</v>
      </c>
      <c r="N110" s="31" t="n">
        <v>1</v>
      </c>
    </row>
    <row r="111" customFormat="false" ht="19.5" hidden="false" customHeight="true" outlineLevel="0" collapsed="false">
      <c r="A111" s="18" t="s">
        <v>481</v>
      </c>
      <c r="B111" s="15" t="s">
        <v>413</v>
      </c>
      <c r="C111" s="17" t="s">
        <v>336</v>
      </c>
      <c r="D111" s="19" t="s">
        <v>479</v>
      </c>
      <c r="E111" s="17" t="s">
        <v>479</v>
      </c>
      <c r="F111" s="17" t="s">
        <v>479</v>
      </c>
      <c r="G111" s="17" t="s">
        <v>479</v>
      </c>
      <c r="H111" s="17" t="s">
        <v>479</v>
      </c>
      <c r="I111" s="17" t="s">
        <v>479</v>
      </c>
      <c r="J111" s="15" t="s">
        <v>352</v>
      </c>
      <c r="K111" s="15" t="s">
        <v>344</v>
      </c>
      <c r="L111" s="15" t="s">
        <v>340</v>
      </c>
      <c r="M111" s="15" t="s">
        <v>341</v>
      </c>
      <c r="N111" s="33" t="n">
        <v>2</v>
      </c>
    </row>
    <row r="112" customFormat="false" ht="19.5" hidden="false" customHeight="true" outlineLevel="0" collapsed="false">
      <c r="A112" s="40" t="s">
        <v>482</v>
      </c>
      <c r="B112" s="27" t="s">
        <v>342</v>
      </c>
      <c r="C112" s="30" t="s">
        <v>336</v>
      </c>
      <c r="D112" s="26" t="s">
        <v>111</v>
      </c>
      <c r="E112" s="30" t="s">
        <v>111</v>
      </c>
      <c r="F112" s="30" t="s">
        <v>111</v>
      </c>
      <c r="G112" s="30" t="s">
        <v>111</v>
      </c>
      <c r="H112" s="30" t="s">
        <v>111</v>
      </c>
      <c r="I112" s="30" t="s">
        <v>111</v>
      </c>
      <c r="J112" s="27" t="s">
        <v>343</v>
      </c>
      <c r="K112" s="27" t="s">
        <v>344</v>
      </c>
      <c r="L112" s="27" t="s">
        <v>345</v>
      </c>
      <c r="M112" s="27" t="s">
        <v>341</v>
      </c>
      <c r="N112" s="31" t="n">
        <v>4</v>
      </c>
    </row>
    <row r="113" customFormat="false" ht="19.5" hidden="false" customHeight="true" outlineLevel="0" collapsed="false">
      <c r="A113" s="18" t="s">
        <v>483</v>
      </c>
      <c r="B113" s="15" t="s">
        <v>342</v>
      </c>
      <c r="C113" s="17" t="s">
        <v>336</v>
      </c>
      <c r="D113" s="19" t="s">
        <v>111</v>
      </c>
      <c r="E113" s="17" t="s">
        <v>111</v>
      </c>
      <c r="F113" s="17" t="s">
        <v>111</v>
      </c>
      <c r="G113" s="17" t="s">
        <v>111</v>
      </c>
      <c r="H113" s="17" t="s">
        <v>111</v>
      </c>
      <c r="I113" s="17" t="s">
        <v>111</v>
      </c>
      <c r="J113" s="15" t="s">
        <v>343</v>
      </c>
      <c r="K113" s="15" t="s">
        <v>344</v>
      </c>
      <c r="L113" s="15" t="s">
        <v>345</v>
      </c>
      <c r="M113" s="15" t="s">
        <v>341</v>
      </c>
      <c r="N113" s="33" t="n">
        <v>5</v>
      </c>
    </row>
    <row r="114" customFormat="false" ht="19.5" hidden="false" customHeight="true" outlineLevel="0" collapsed="false">
      <c r="A114" s="40" t="s">
        <v>484</v>
      </c>
      <c r="B114" s="27" t="s">
        <v>342</v>
      </c>
      <c r="C114" s="30" t="s">
        <v>336</v>
      </c>
      <c r="D114" s="26" t="s">
        <v>111</v>
      </c>
      <c r="E114" s="30" t="s">
        <v>111</v>
      </c>
      <c r="F114" s="30" t="s">
        <v>111</v>
      </c>
      <c r="G114" s="30" t="s">
        <v>111</v>
      </c>
      <c r="H114" s="30" t="s">
        <v>111</v>
      </c>
      <c r="I114" s="30" t="s">
        <v>111</v>
      </c>
      <c r="J114" s="27" t="s">
        <v>343</v>
      </c>
      <c r="K114" s="27" t="s">
        <v>344</v>
      </c>
      <c r="L114" s="27" t="s">
        <v>345</v>
      </c>
      <c r="M114" s="27" t="s">
        <v>341</v>
      </c>
      <c r="N114" s="31" t="n">
        <v>1</v>
      </c>
    </row>
    <row r="115" customFormat="false" ht="19.5" hidden="false" customHeight="true" outlineLevel="0" collapsed="false">
      <c r="A115" s="18" t="s">
        <v>485</v>
      </c>
      <c r="B115" s="15" t="s">
        <v>413</v>
      </c>
      <c r="C115" s="17" t="s">
        <v>336</v>
      </c>
      <c r="D115" s="19" t="s">
        <v>111</v>
      </c>
      <c r="E115" s="17" t="s">
        <v>111</v>
      </c>
      <c r="F115" s="17" t="s">
        <v>111</v>
      </c>
      <c r="G115" s="17" t="s">
        <v>111</v>
      </c>
      <c r="H115" s="17" t="s">
        <v>111</v>
      </c>
      <c r="I115" s="17" t="s">
        <v>111</v>
      </c>
      <c r="J115" s="15" t="s">
        <v>352</v>
      </c>
      <c r="K115" s="15" t="s">
        <v>344</v>
      </c>
      <c r="L115" s="15" t="s">
        <v>340</v>
      </c>
      <c r="M115" s="15" t="s">
        <v>341</v>
      </c>
      <c r="N115" s="33" t="n">
        <v>3</v>
      </c>
    </row>
    <row r="116" customFormat="false" ht="19.5" hidden="false" customHeight="true" outlineLevel="0" collapsed="false">
      <c r="A116" s="40" t="s">
        <v>486</v>
      </c>
      <c r="B116" s="27" t="s">
        <v>379</v>
      </c>
      <c r="C116" s="30" t="s">
        <v>336</v>
      </c>
      <c r="D116" s="26" t="s">
        <v>140</v>
      </c>
      <c r="E116" s="30" t="s">
        <v>140</v>
      </c>
      <c r="F116" s="30" t="s">
        <v>140</v>
      </c>
      <c r="G116" s="30" t="s">
        <v>140</v>
      </c>
      <c r="H116" s="30" t="s">
        <v>140</v>
      </c>
      <c r="I116" s="30" t="s">
        <v>140</v>
      </c>
      <c r="J116" s="27" t="s">
        <v>343</v>
      </c>
      <c r="K116" s="27" t="s">
        <v>344</v>
      </c>
      <c r="L116" s="27" t="s">
        <v>345</v>
      </c>
      <c r="M116" s="27" t="s">
        <v>341</v>
      </c>
      <c r="N116" s="31" t="n">
        <v>1</v>
      </c>
    </row>
    <row r="117" customFormat="false" ht="19.5" hidden="false" customHeight="true" outlineLevel="0" collapsed="false">
      <c r="A117" s="18" t="s">
        <v>487</v>
      </c>
      <c r="B117" s="15" t="s">
        <v>379</v>
      </c>
      <c r="C117" s="17" t="s">
        <v>336</v>
      </c>
      <c r="D117" s="19" t="s">
        <v>140</v>
      </c>
      <c r="E117" s="17" t="s">
        <v>140</v>
      </c>
      <c r="F117" s="17" t="s">
        <v>140</v>
      </c>
      <c r="G117" s="17" t="s">
        <v>140</v>
      </c>
      <c r="H117" s="17" t="s">
        <v>140</v>
      </c>
      <c r="I117" s="17" t="s">
        <v>140</v>
      </c>
      <c r="J117" s="15" t="s">
        <v>343</v>
      </c>
      <c r="K117" s="15" t="s">
        <v>344</v>
      </c>
      <c r="L117" s="15" t="s">
        <v>345</v>
      </c>
      <c r="M117" s="15" t="s">
        <v>341</v>
      </c>
      <c r="N117" s="33" t="n">
        <v>2</v>
      </c>
    </row>
    <row r="118" customFormat="false" ht="19.5" hidden="false" customHeight="true" outlineLevel="0" collapsed="false">
      <c r="A118" s="40" t="s">
        <v>488</v>
      </c>
      <c r="B118" s="27" t="s">
        <v>379</v>
      </c>
      <c r="C118" s="30" t="s">
        <v>336</v>
      </c>
      <c r="D118" s="26" t="s">
        <v>140</v>
      </c>
      <c r="E118" s="30" t="s">
        <v>140</v>
      </c>
      <c r="F118" s="30" t="s">
        <v>140</v>
      </c>
      <c r="G118" s="30" t="s">
        <v>140</v>
      </c>
      <c r="H118" s="30" t="s">
        <v>140</v>
      </c>
      <c r="I118" s="30" t="s">
        <v>140</v>
      </c>
      <c r="J118" s="27" t="s">
        <v>343</v>
      </c>
      <c r="K118" s="27" t="s">
        <v>344</v>
      </c>
      <c r="L118" s="27" t="s">
        <v>345</v>
      </c>
      <c r="M118" s="27" t="s">
        <v>341</v>
      </c>
      <c r="N118" s="31" t="n">
        <v>1</v>
      </c>
    </row>
    <row r="119" customFormat="false" ht="19.5" hidden="false" customHeight="true" outlineLevel="0" collapsed="false">
      <c r="A119" s="18" t="s">
        <v>489</v>
      </c>
      <c r="B119" s="15" t="s">
        <v>490</v>
      </c>
      <c r="C119" s="17" t="s">
        <v>336</v>
      </c>
      <c r="D119" s="19" t="s">
        <v>491</v>
      </c>
      <c r="E119" s="17" t="s">
        <v>491</v>
      </c>
      <c r="F119" s="17" t="s">
        <v>491</v>
      </c>
      <c r="G119" s="17" t="s">
        <v>491</v>
      </c>
      <c r="H119" s="17" t="s">
        <v>491</v>
      </c>
      <c r="I119" s="17" t="s">
        <v>491</v>
      </c>
      <c r="J119" s="15" t="s">
        <v>368</v>
      </c>
      <c r="K119" s="15" t="s">
        <v>369</v>
      </c>
      <c r="L119" s="15" t="s">
        <v>340</v>
      </c>
      <c r="M119" s="15" t="s">
        <v>341</v>
      </c>
      <c r="N119" s="33" t="n">
        <v>1</v>
      </c>
    </row>
    <row r="120" customFormat="false" ht="19.5" hidden="false" customHeight="true" outlineLevel="0" collapsed="false">
      <c r="A120" s="40" t="s">
        <v>492</v>
      </c>
      <c r="B120" s="27" t="s">
        <v>490</v>
      </c>
      <c r="C120" s="30" t="s">
        <v>336</v>
      </c>
      <c r="D120" s="26" t="s">
        <v>491</v>
      </c>
      <c r="E120" s="30" t="s">
        <v>491</v>
      </c>
      <c r="F120" s="30" t="s">
        <v>491</v>
      </c>
      <c r="G120" s="30" t="s">
        <v>491</v>
      </c>
      <c r="H120" s="30" t="s">
        <v>491</v>
      </c>
      <c r="I120" s="30" t="s">
        <v>491</v>
      </c>
      <c r="J120" s="27" t="s">
        <v>368</v>
      </c>
      <c r="K120" s="27" t="s">
        <v>369</v>
      </c>
      <c r="L120" s="27" t="s">
        <v>340</v>
      </c>
      <c r="M120" s="27" t="s">
        <v>341</v>
      </c>
      <c r="N120" s="31" t="n">
        <v>1</v>
      </c>
    </row>
    <row r="121" customFormat="false" ht="19.5" hidden="false" customHeight="true" outlineLevel="0" collapsed="false">
      <c r="A121" s="18" t="s">
        <v>493</v>
      </c>
      <c r="B121" s="15" t="s">
        <v>494</v>
      </c>
      <c r="C121" s="17" t="s">
        <v>336</v>
      </c>
      <c r="D121" s="19" t="s">
        <v>128</v>
      </c>
      <c r="E121" s="17" t="s">
        <v>55</v>
      </c>
      <c r="F121" s="17" t="s">
        <v>128</v>
      </c>
      <c r="G121" s="17" t="s">
        <v>128</v>
      </c>
      <c r="H121" s="17" t="s">
        <v>128</v>
      </c>
      <c r="I121" s="17" t="s">
        <v>128</v>
      </c>
      <c r="J121" s="15" t="s">
        <v>349</v>
      </c>
      <c r="K121" s="15" t="s">
        <v>339</v>
      </c>
      <c r="L121" s="15" t="s">
        <v>345</v>
      </c>
      <c r="M121" s="15" t="s">
        <v>341</v>
      </c>
      <c r="N121" s="33" t="n">
        <v>2</v>
      </c>
    </row>
    <row r="122" customFormat="false" ht="19.5" hidden="false" customHeight="true" outlineLevel="0" collapsed="false">
      <c r="A122" s="40" t="s">
        <v>495</v>
      </c>
      <c r="B122" s="27" t="s">
        <v>347</v>
      </c>
      <c r="C122" s="30" t="s">
        <v>336</v>
      </c>
      <c r="D122" s="26" t="s">
        <v>496</v>
      </c>
      <c r="E122" s="30" t="s">
        <v>55</v>
      </c>
      <c r="F122" s="30" t="s">
        <v>496</v>
      </c>
      <c r="G122" s="30" t="s">
        <v>496</v>
      </c>
      <c r="H122" s="30" t="s">
        <v>496</v>
      </c>
      <c r="I122" s="30" t="s">
        <v>496</v>
      </c>
      <c r="J122" s="27" t="s">
        <v>349</v>
      </c>
      <c r="K122" s="27" t="s">
        <v>339</v>
      </c>
      <c r="L122" s="27" t="s">
        <v>345</v>
      </c>
      <c r="M122" s="27" t="s">
        <v>341</v>
      </c>
      <c r="N122" s="31" t="n">
        <v>1</v>
      </c>
    </row>
    <row r="123" customFormat="false" ht="19.5" hidden="false" customHeight="true" outlineLevel="0" collapsed="false">
      <c r="A123" s="18" t="s">
        <v>497</v>
      </c>
      <c r="B123" s="15" t="s">
        <v>382</v>
      </c>
      <c r="C123" s="17" t="s">
        <v>336</v>
      </c>
      <c r="D123" s="19" t="s">
        <v>55</v>
      </c>
      <c r="E123" s="17" t="s">
        <v>55</v>
      </c>
      <c r="F123" s="17" t="s">
        <v>55</v>
      </c>
      <c r="G123" s="17" t="s">
        <v>55</v>
      </c>
      <c r="H123" s="17" t="s">
        <v>159</v>
      </c>
      <c r="I123" s="17" t="s">
        <v>55</v>
      </c>
      <c r="J123" s="15" t="s">
        <v>498</v>
      </c>
      <c r="K123" s="15" t="s">
        <v>339</v>
      </c>
      <c r="L123" s="15" t="s">
        <v>345</v>
      </c>
      <c r="M123" s="15" t="s">
        <v>341</v>
      </c>
      <c r="N123" s="33" t="n">
        <v>2</v>
      </c>
    </row>
    <row r="124" customFormat="false" ht="19.5" hidden="false" customHeight="true" outlineLevel="0" collapsed="false">
      <c r="A124" s="40" t="s">
        <v>499</v>
      </c>
      <c r="B124" s="27" t="s">
        <v>342</v>
      </c>
      <c r="C124" s="30" t="s">
        <v>336</v>
      </c>
      <c r="D124" s="26" t="s">
        <v>136</v>
      </c>
      <c r="E124" s="30" t="s">
        <v>136</v>
      </c>
      <c r="F124" s="30" t="s">
        <v>136</v>
      </c>
      <c r="G124" s="30" t="s">
        <v>136</v>
      </c>
      <c r="H124" s="30" t="s">
        <v>136</v>
      </c>
      <c r="I124" s="30" t="s">
        <v>136</v>
      </c>
      <c r="J124" s="27" t="s">
        <v>343</v>
      </c>
      <c r="K124" s="27" t="s">
        <v>344</v>
      </c>
      <c r="L124" s="27" t="s">
        <v>345</v>
      </c>
      <c r="M124" s="27" t="s">
        <v>341</v>
      </c>
      <c r="N124" s="31" t="n">
        <v>1</v>
      </c>
    </row>
    <row r="125" customFormat="false" ht="19.5" hidden="false" customHeight="true" outlineLevel="0" collapsed="false">
      <c r="A125" s="18" t="s">
        <v>500</v>
      </c>
      <c r="B125" s="15" t="s">
        <v>342</v>
      </c>
      <c r="C125" s="17" t="s">
        <v>336</v>
      </c>
      <c r="D125" s="19" t="s">
        <v>136</v>
      </c>
      <c r="E125" s="17" t="s">
        <v>136</v>
      </c>
      <c r="F125" s="17" t="s">
        <v>136</v>
      </c>
      <c r="G125" s="17" t="s">
        <v>136</v>
      </c>
      <c r="H125" s="17" t="s">
        <v>136</v>
      </c>
      <c r="I125" s="17" t="s">
        <v>136</v>
      </c>
      <c r="J125" s="15" t="s">
        <v>343</v>
      </c>
      <c r="K125" s="15" t="s">
        <v>344</v>
      </c>
      <c r="L125" s="15" t="s">
        <v>345</v>
      </c>
      <c r="M125" s="15" t="s">
        <v>341</v>
      </c>
      <c r="N125" s="33" t="n">
        <v>2</v>
      </c>
    </row>
    <row r="126" customFormat="false" ht="19.5" hidden="false" customHeight="true" outlineLevel="0" collapsed="false">
      <c r="A126" s="40" t="s">
        <v>501</v>
      </c>
      <c r="B126" s="27" t="s">
        <v>413</v>
      </c>
      <c r="C126" s="30" t="s">
        <v>336</v>
      </c>
      <c r="D126" s="26" t="s">
        <v>136</v>
      </c>
      <c r="E126" s="30" t="s">
        <v>136</v>
      </c>
      <c r="F126" s="30" t="s">
        <v>136</v>
      </c>
      <c r="G126" s="30" t="s">
        <v>136</v>
      </c>
      <c r="H126" s="30" t="s">
        <v>136</v>
      </c>
      <c r="I126" s="30" t="s">
        <v>136</v>
      </c>
      <c r="J126" s="27" t="s">
        <v>352</v>
      </c>
      <c r="K126" s="27" t="s">
        <v>344</v>
      </c>
      <c r="L126" s="27" t="s">
        <v>340</v>
      </c>
      <c r="M126" s="27" t="s">
        <v>341</v>
      </c>
      <c r="N126" s="31" t="n">
        <v>3</v>
      </c>
    </row>
    <row r="127" customFormat="false" ht="19.5" hidden="false" customHeight="true" outlineLevel="0" collapsed="false">
      <c r="A127" s="18" t="s">
        <v>502</v>
      </c>
      <c r="B127" s="15" t="s">
        <v>342</v>
      </c>
      <c r="C127" s="17" t="s">
        <v>336</v>
      </c>
      <c r="D127" s="19" t="s">
        <v>136</v>
      </c>
      <c r="E127" s="17" t="s">
        <v>136</v>
      </c>
      <c r="F127" s="17" t="s">
        <v>136</v>
      </c>
      <c r="G127" s="17" t="s">
        <v>136</v>
      </c>
      <c r="H127" s="17" t="s">
        <v>136</v>
      </c>
      <c r="I127" s="17" t="s">
        <v>136</v>
      </c>
      <c r="J127" s="15" t="s">
        <v>343</v>
      </c>
      <c r="K127" s="15" t="s">
        <v>344</v>
      </c>
      <c r="L127" s="15" t="s">
        <v>345</v>
      </c>
      <c r="M127" s="15" t="s">
        <v>341</v>
      </c>
      <c r="N127" s="33" t="n">
        <v>5</v>
      </c>
    </row>
    <row r="128" customFormat="false" ht="19.5" hidden="false" customHeight="true" outlineLevel="0" collapsed="false">
      <c r="A128" s="40" t="s">
        <v>503</v>
      </c>
      <c r="B128" s="27" t="s">
        <v>342</v>
      </c>
      <c r="C128" s="30" t="s">
        <v>336</v>
      </c>
      <c r="D128" s="26" t="s">
        <v>136</v>
      </c>
      <c r="E128" s="30" t="s">
        <v>136</v>
      </c>
      <c r="F128" s="30" t="s">
        <v>136</v>
      </c>
      <c r="G128" s="30" t="s">
        <v>136</v>
      </c>
      <c r="H128" s="30" t="s">
        <v>136</v>
      </c>
      <c r="I128" s="30" t="s">
        <v>136</v>
      </c>
      <c r="J128" s="27" t="s">
        <v>343</v>
      </c>
      <c r="K128" s="27" t="s">
        <v>344</v>
      </c>
      <c r="L128" s="27" t="s">
        <v>345</v>
      </c>
      <c r="M128" s="27" t="s">
        <v>341</v>
      </c>
      <c r="N128" s="31" t="n">
        <v>1</v>
      </c>
    </row>
    <row r="129" customFormat="false" ht="19.5" hidden="false" customHeight="true" outlineLevel="0" collapsed="false">
      <c r="A129" s="18" t="s">
        <v>504</v>
      </c>
      <c r="B129" s="15" t="s">
        <v>342</v>
      </c>
      <c r="C129" s="17" t="s">
        <v>336</v>
      </c>
      <c r="D129" s="19" t="s">
        <v>136</v>
      </c>
      <c r="E129" s="17" t="s">
        <v>136</v>
      </c>
      <c r="F129" s="17" t="s">
        <v>136</v>
      </c>
      <c r="G129" s="17" t="s">
        <v>136</v>
      </c>
      <c r="H129" s="17" t="s">
        <v>136</v>
      </c>
      <c r="I129" s="17" t="s">
        <v>136</v>
      </c>
      <c r="J129" s="15" t="s">
        <v>343</v>
      </c>
      <c r="K129" s="15" t="s">
        <v>344</v>
      </c>
      <c r="L129" s="15" t="s">
        <v>345</v>
      </c>
      <c r="M129" s="15" t="s">
        <v>341</v>
      </c>
      <c r="N129" s="33" t="n">
        <v>1</v>
      </c>
    </row>
    <row r="130" customFormat="false" ht="19.5" hidden="false" customHeight="true" outlineLevel="0" collapsed="false">
      <c r="A130" s="40" t="s">
        <v>505</v>
      </c>
      <c r="B130" s="27" t="s">
        <v>342</v>
      </c>
      <c r="C130" s="30" t="s">
        <v>336</v>
      </c>
      <c r="D130" s="26" t="s">
        <v>136</v>
      </c>
      <c r="E130" s="30" t="s">
        <v>136</v>
      </c>
      <c r="F130" s="30" t="s">
        <v>136</v>
      </c>
      <c r="G130" s="30" t="s">
        <v>136</v>
      </c>
      <c r="H130" s="30" t="s">
        <v>136</v>
      </c>
      <c r="I130" s="30" t="s">
        <v>136</v>
      </c>
      <c r="J130" s="27" t="s">
        <v>343</v>
      </c>
      <c r="K130" s="27" t="s">
        <v>344</v>
      </c>
      <c r="L130" s="27" t="s">
        <v>345</v>
      </c>
      <c r="M130" s="27" t="s">
        <v>341</v>
      </c>
      <c r="N130" s="31" t="n">
        <v>18</v>
      </c>
    </row>
    <row r="131" customFormat="false" ht="19.5" hidden="false" customHeight="true" outlineLevel="0" collapsed="false">
      <c r="A131" s="18" t="s">
        <v>506</v>
      </c>
      <c r="B131" s="15" t="s">
        <v>342</v>
      </c>
      <c r="C131" s="17" t="s">
        <v>336</v>
      </c>
      <c r="D131" s="19" t="s">
        <v>111</v>
      </c>
      <c r="E131" s="17" t="s">
        <v>111</v>
      </c>
      <c r="F131" s="17" t="s">
        <v>111</v>
      </c>
      <c r="G131" s="17" t="s">
        <v>111</v>
      </c>
      <c r="H131" s="17" t="s">
        <v>111</v>
      </c>
      <c r="I131" s="17" t="s">
        <v>111</v>
      </c>
      <c r="J131" s="15" t="s">
        <v>343</v>
      </c>
      <c r="K131" s="15" t="s">
        <v>344</v>
      </c>
      <c r="L131" s="15" t="s">
        <v>345</v>
      </c>
      <c r="M131" s="15" t="s">
        <v>341</v>
      </c>
      <c r="N131" s="33" t="n">
        <v>12</v>
      </c>
    </row>
    <row r="132" customFormat="false" ht="19.5" hidden="false" customHeight="true" outlineLevel="0" collapsed="false">
      <c r="A132" s="40" t="s">
        <v>507</v>
      </c>
      <c r="B132" s="27" t="s">
        <v>413</v>
      </c>
      <c r="C132" s="30" t="s">
        <v>336</v>
      </c>
      <c r="D132" s="26" t="s">
        <v>111</v>
      </c>
      <c r="E132" s="30" t="s">
        <v>111</v>
      </c>
      <c r="F132" s="30" t="s">
        <v>111</v>
      </c>
      <c r="G132" s="30" t="s">
        <v>111</v>
      </c>
      <c r="H132" s="30" t="s">
        <v>111</v>
      </c>
      <c r="I132" s="30" t="s">
        <v>111</v>
      </c>
      <c r="J132" s="27" t="s">
        <v>352</v>
      </c>
      <c r="K132" s="27" t="s">
        <v>353</v>
      </c>
      <c r="L132" s="27" t="s">
        <v>340</v>
      </c>
      <c r="M132" s="27" t="s">
        <v>341</v>
      </c>
      <c r="N132" s="31" t="n">
        <v>1</v>
      </c>
    </row>
    <row r="133" customFormat="false" ht="19.5" hidden="false" customHeight="true" outlineLevel="0" collapsed="false">
      <c r="A133" s="18" t="s">
        <v>508</v>
      </c>
      <c r="B133" s="15" t="s">
        <v>342</v>
      </c>
      <c r="C133" s="17" t="s">
        <v>336</v>
      </c>
      <c r="D133" s="19" t="s">
        <v>111</v>
      </c>
      <c r="E133" s="17" t="s">
        <v>111</v>
      </c>
      <c r="F133" s="17" t="s">
        <v>111</v>
      </c>
      <c r="G133" s="17" t="s">
        <v>111</v>
      </c>
      <c r="H133" s="17" t="s">
        <v>111</v>
      </c>
      <c r="I133" s="17" t="s">
        <v>111</v>
      </c>
      <c r="J133" s="15" t="s">
        <v>343</v>
      </c>
      <c r="K133" s="15" t="s">
        <v>344</v>
      </c>
      <c r="L133" s="15" t="s">
        <v>345</v>
      </c>
      <c r="M133" s="15" t="s">
        <v>341</v>
      </c>
      <c r="N133" s="33" t="n">
        <v>3</v>
      </c>
    </row>
    <row r="134" customFormat="false" ht="19.5" hidden="false" customHeight="true" outlineLevel="0" collapsed="false">
      <c r="A134" s="40" t="s">
        <v>509</v>
      </c>
      <c r="B134" s="27" t="s">
        <v>342</v>
      </c>
      <c r="C134" s="30" t="s">
        <v>336</v>
      </c>
      <c r="D134" s="26" t="s">
        <v>111</v>
      </c>
      <c r="E134" s="30" t="s">
        <v>111</v>
      </c>
      <c r="F134" s="30" t="s">
        <v>111</v>
      </c>
      <c r="G134" s="30" t="s">
        <v>111</v>
      </c>
      <c r="H134" s="30" t="s">
        <v>111</v>
      </c>
      <c r="I134" s="30" t="s">
        <v>111</v>
      </c>
      <c r="J134" s="27" t="s">
        <v>343</v>
      </c>
      <c r="K134" s="27" t="s">
        <v>344</v>
      </c>
      <c r="L134" s="27" t="s">
        <v>345</v>
      </c>
      <c r="M134" s="27" t="s">
        <v>341</v>
      </c>
      <c r="N134" s="31" t="n">
        <v>4</v>
      </c>
    </row>
    <row r="135" customFormat="false" ht="19.5" hidden="false" customHeight="true" outlineLevel="0" collapsed="false">
      <c r="A135" s="18" t="s">
        <v>510</v>
      </c>
      <c r="B135" s="15" t="s">
        <v>342</v>
      </c>
      <c r="C135" s="17" t="s">
        <v>336</v>
      </c>
      <c r="D135" s="19" t="s">
        <v>111</v>
      </c>
      <c r="E135" s="17" t="s">
        <v>111</v>
      </c>
      <c r="F135" s="17" t="s">
        <v>111</v>
      </c>
      <c r="G135" s="17" t="s">
        <v>111</v>
      </c>
      <c r="H135" s="17" t="s">
        <v>111</v>
      </c>
      <c r="I135" s="17" t="s">
        <v>111</v>
      </c>
      <c r="J135" s="15" t="s">
        <v>343</v>
      </c>
      <c r="K135" s="15" t="s">
        <v>344</v>
      </c>
      <c r="L135" s="15" t="s">
        <v>345</v>
      </c>
      <c r="M135" s="15" t="s">
        <v>341</v>
      </c>
      <c r="N135" s="33" t="n">
        <v>1</v>
      </c>
    </row>
    <row r="136" customFormat="false" ht="19.5" hidden="false" customHeight="true" outlineLevel="0" collapsed="false">
      <c r="A136" s="40" t="s">
        <v>511</v>
      </c>
      <c r="B136" s="27" t="s">
        <v>342</v>
      </c>
      <c r="C136" s="30" t="s">
        <v>336</v>
      </c>
      <c r="D136" s="26" t="s">
        <v>111</v>
      </c>
      <c r="E136" s="30" t="s">
        <v>111</v>
      </c>
      <c r="F136" s="30" t="s">
        <v>111</v>
      </c>
      <c r="G136" s="30" t="s">
        <v>111</v>
      </c>
      <c r="H136" s="30" t="s">
        <v>111</v>
      </c>
      <c r="I136" s="30" t="s">
        <v>111</v>
      </c>
      <c r="J136" s="27" t="s">
        <v>343</v>
      </c>
      <c r="K136" s="27" t="s">
        <v>344</v>
      </c>
      <c r="L136" s="27" t="s">
        <v>345</v>
      </c>
      <c r="M136" s="27" t="s">
        <v>341</v>
      </c>
      <c r="N136" s="31" t="n">
        <v>3</v>
      </c>
    </row>
    <row r="137" customFormat="false" ht="19.5" hidden="false" customHeight="true" outlineLevel="0" collapsed="false">
      <c r="A137" s="18" t="s">
        <v>512</v>
      </c>
      <c r="B137" s="15" t="s">
        <v>342</v>
      </c>
      <c r="C137" s="17" t="s">
        <v>336</v>
      </c>
      <c r="D137" s="19" t="s">
        <v>479</v>
      </c>
      <c r="E137" s="17" t="s">
        <v>479</v>
      </c>
      <c r="F137" s="17" t="s">
        <v>479</v>
      </c>
      <c r="G137" s="17" t="s">
        <v>479</v>
      </c>
      <c r="H137" s="17" t="s">
        <v>479</v>
      </c>
      <c r="I137" s="17" t="s">
        <v>479</v>
      </c>
      <c r="J137" s="15" t="s">
        <v>343</v>
      </c>
      <c r="K137" s="15" t="s">
        <v>344</v>
      </c>
      <c r="L137" s="15" t="s">
        <v>345</v>
      </c>
      <c r="M137" s="15" t="s">
        <v>341</v>
      </c>
      <c r="N137" s="33" t="n">
        <v>1</v>
      </c>
    </row>
    <row r="138" customFormat="false" ht="19.5" hidden="false" customHeight="true" outlineLevel="0" collapsed="false">
      <c r="A138" s="40" t="s">
        <v>513</v>
      </c>
      <c r="B138" s="27" t="s">
        <v>342</v>
      </c>
      <c r="C138" s="30" t="s">
        <v>336</v>
      </c>
      <c r="D138" s="26" t="s">
        <v>479</v>
      </c>
      <c r="E138" s="30" t="s">
        <v>479</v>
      </c>
      <c r="F138" s="30" t="s">
        <v>479</v>
      </c>
      <c r="G138" s="30" t="s">
        <v>479</v>
      </c>
      <c r="H138" s="30" t="s">
        <v>479</v>
      </c>
      <c r="I138" s="30" t="s">
        <v>479</v>
      </c>
      <c r="J138" s="27" t="s">
        <v>343</v>
      </c>
      <c r="K138" s="27" t="s">
        <v>344</v>
      </c>
      <c r="L138" s="27" t="s">
        <v>345</v>
      </c>
      <c r="M138" s="27" t="s">
        <v>341</v>
      </c>
      <c r="N138" s="31" t="n">
        <v>3</v>
      </c>
    </row>
    <row r="139" customFormat="false" ht="19.5" hidden="false" customHeight="true" outlineLevel="0" collapsed="false">
      <c r="A139" s="18" t="s">
        <v>514</v>
      </c>
      <c r="B139" s="15" t="s">
        <v>356</v>
      </c>
      <c r="C139" s="17" t="s">
        <v>336</v>
      </c>
      <c r="D139" s="19" t="s">
        <v>82</v>
      </c>
      <c r="E139" s="17" t="s">
        <v>82</v>
      </c>
      <c r="F139" s="17" t="s">
        <v>82</v>
      </c>
      <c r="G139" s="17" t="s">
        <v>82</v>
      </c>
      <c r="H139" s="17" t="s">
        <v>82</v>
      </c>
      <c r="I139" s="17" t="s">
        <v>82</v>
      </c>
      <c r="J139" s="15" t="s">
        <v>343</v>
      </c>
      <c r="K139" s="15" t="s">
        <v>344</v>
      </c>
      <c r="L139" s="15" t="s">
        <v>345</v>
      </c>
      <c r="M139" s="15" t="s">
        <v>341</v>
      </c>
      <c r="N139" s="33" t="n">
        <v>1</v>
      </c>
    </row>
    <row r="140" customFormat="false" ht="19.5" hidden="false" customHeight="true" outlineLevel="0" collapsed="false">
      <c r="A140" s="40" t="s">
        <v>515</v>
      </c>
      <c r="B140" s="27" t="s">
        <v>363</v>
      </c>
      <c r="C140" s="30" t="s">
        <v>336</v>
      </c>
      <c r="D140" s="26" t="s">
        <v>82</v>
      </c>
      <c r="E140" s="30" t="s">
        <v>82</v>
      </c>
      <c r="F140" s="30" t="s">
        <v>82</v>
      </c>
      <c r="G140" s="30" t="s">
        <v>82</v>
      </c>
      <c r="H140" s="30" t="s">
        <v>82</v>
      </c>
      <c r="I140" s="30" t="s">
        <v>82</v>
      </c>
      <c r="J140" s="27" t="s">
        <v>352</v>
      </c>
      <c r="K140" s="27" t="s">
        <v>344</v>
      </c>
      <c r="L140" s="27" t="s">
        <v>340</v>
      </c>
      <c r="M140" s="27" t="s">
        <v>341</v>
      </c>
      <c r="N140" s="31" t="n">
        <v>1</v>
      </c>
    </row>
    <row r="141" customFormat="false" ht="19.5" hidden="false" customHeight="true" outlineLevel="0" collapsed="false">
      <c r="A141" s="18" t="s">
        <v>516</v>
      </c>
      <c r="B141" s="15" t="s">
        <v>379</v>
      </c>
      <c r="C141" s="17" t="s">
        <v>336</v>
      </c>
      <c r="D141" s="19" t="s">
        <v>140</v>
      </c>
      <c r="E141" s="17" t="s">
        <v>140</v>
      </c>
      <c r="F141" s="17" t="s">
        <v>140</v>
      </c>
      <c r="G141" s="17" t="s">
        <v>140</v>
      </c>
      <c r="H141" s="17" t="s">
        <v>140</v>
      </c>
      <c r="I141" s="17" t="s">
        <v>140</v>
      </c>
      <c r="J141" s="15" t="s">
        <v>343</v>
      </c>
      <c r="K141" s="15" t="s">
        <v>344</v>
      </c>
      <c r="L141" s="15" t="s">
        <v>345</v>
      </c>
      <c r="M141" s="15" t="s">
        <v>341</v>
      </c>
      <c r="N141" s="33" t="n">
        <v>1</v>
      </c>
    </row>
    <row r="142" customFormat="false" ht="19.5" hidden="false" customHeight="true" outlineLevel="0" collapsed="false">
      <c r="A142" s="40" t="s">
        <v>517</v>
      </c>
      <c r="B142" s="27" t="s">
        <v>379</v>
      </c>
      <c r="C142" s="30" t="s">
        <v>336</v>
      </c>
      <c r="D142" s="26" t="s">
        <v>140</v>
      </c>
      <c r="E142" s="30" t="s">
        <v>140</v>
      </c>
      <c r="F142" s="30" t="s">
        <v>140</v>
      </c>
      <c r="G142" s="30" t="s">
        <v>140</v>
      </c>
      <c r="H142" s="30" t="s">
        <v>140</v>
      </c>
      <c r="I142" s="30" t="s">
        <v>140</v>
      </c>
      <c r="J142" s="27" t="s">
        <v>343</v>
      </c>
      <c r="K142" s="27" t="s">
        <v>344</v>
      </c>
      <c r="L142" s="27" t="s">
        <v>345</v>
      </c>
      <c r="M142" s="27" t="s">
        <v>341</v>
      </c>
      <c r="N142" s="31" t="n">
        <v>1</v>
      </c>
    </row>
    <row r="143" customFormat="false" ht="19.5" hidden="false" customHeight="true" outlineLevel="0" collapsed="false">
      <c r="A143" s="18" t="s">
        <v>132</v>
      </c>
      <c r="B143" s="15" t="s">
        <v>413</v>
      </c>
      <c r="C143" s="17" t="s">
        <v>336</v>
      </c>
      <c r="D143" s="19" t="s">
        <v>111</v>
      </c>
      <c r="E143" s="17" t="s">
        <v>111</v>
      </c>
      <c r="F143" s="17" t="s">
        <v>111</v>
      </c>
      <c r="G143" s="17" t="s">
        <v>111</v>
      </c>
      <c r="H143" s="17" t="s">
        <v>111</v>
      </c>
      <c r="I143" s="17" t="s">
        <v>111</v>
      </c>
      <c r="J143" s="15" t="s">
        <v>352</v>
      </c>
      <c r="K143" s="15" t="s">
        <v>353</v>
      </c>
      <c r="L143" s="15" t="s">
        <v>340</v>
      </c>
      <c r="M143" s="15" t="s">
        <v>341</v>
      </c>
      <c r="N143" s="33" t="n">
        <v>2</v>
      </c>
    </row>
    <row r="144" customFormat="false" ht="19.5" hidden="false" customHeight="true" outlineLevel="0" collapsed="false">
      <c r="A144" s="40" t="s">
        <v>518</v>
      </c>
      <c r="B144" s="27" t="s">
        <v>519</v>
      </c>
      <c r="C144" s="30" t="s">
        <v>336</v>
      </c>
      <c r="D144" s="26" t="s">
        <v>82</v>
      </c>
      <c r="E144" s="30" t="s">
        <v>82</v>
      </c>
      <c r="F144" s="30" t="s">
        <v>82</v>
      </c>
      <c r="G144" s="30" t="s">
        <v>82</v>
      </c>
      <c r="H144" s="30" t="s">
        <v>82</v>
      </c>
      <c r="I144" s="30" t="s">
        <v>82</v>
      </c>
      <c r="J144" s="27" t="s">
        <v>343</v>
      </c>
      <c r="K144" s="27" t="s">
        <v>353</v>
      </c>
      <c r="L144" s="27" t="s">
        <v>345</v>
      </c>
      <c r="M144" s="27" t="s">
        <v>341</v>
      </c>
      <c r="N144" s="31" t="n">
        <v>3</v>
      </c>
    </row>
    <row r="145" customFormat="false" ht="19.5" hidden="false" customHeight="true" outlineLevel="0" collapsed="false">
      <c r="A145" s="18" t="s">
        <v>520</v>
      </c>
      <c r="B145" s="15" t="s">
        <v>392</v>
      </c>
      <c r="C145" s="17" t="s">
        <v>336</v>
      </c>
      <c r="D145" s="19" t="s">
        <v>82</v>
      </c>
      <c r="E145" s="17" t="s">
        <v>82</v>
      </c>
      <c r="F145" s="17" t="s">
        <v>82</v>
      </c>
      <c r="G145" s="17" t="s">
        <v>82</v>
      </c>
      <c r="H145" s="17" t="s">
        <v>82</v>
      </c>
      <c r="I145" s="17" t="s">
        <v>82</v>
      </c>
      <c r="J145" s="15" t="s">
        <v>343</v>
      </c>
      <c r="K145" s="15" t="s">
        <v>353</v>
      </c>
      <c r="L145" s="15" t="s">
        <v>386</v>
      </c>
      <c r="M145" s="15" t="s">
        <v>387</v>
      </c>
      <c r="N145" s="33" t="n">
        <v>1</v>
      </c>
    </row>
    <row r="146" customFormat="false" ht="19.5" hidden="false" customHeight="true" outlineLevel="0" collapsed="false">
      <c r="A146" s="40" t="s">
        <v>521</v>
      </c>
      <c r="B146" s="27" t="s">
        <v>382</v>
      </c>
      <c r="C146" s="30" t="s">
        <v>336</v>
      </c>
      <c r="D146" s="26" t="s">
        <v>140</v>
      </c>
      <c r="E146" s="30" t="s">
        <v>140</v>
      </c>
      <c r="F146" s="30" t="s">
        <v>140</v>
      </c>
      <c r="G146" s="30" t="s">
        <v>140</v>
      </c>
      <c r="H146" s="30" t="s">
        <v>140</v>
      </c>
      <c r="I146" s="30" t="s">
        <v>140</v>
      </c>
      <c r="J146" s="27" t="s">
        <v>343</v>
      </c>
      <c r="K146" s="27" t="s">
        <v>339</v>
      </c>
      <c r="L146" s="27" t="s">
        <v>345</v>
      </c>
      <c r="M146" s="27" t="s">
        <v>341</v>
      </c>
      <c r="N146" s="31" t="n">
        <v>3</v>
      </c>
    </row>
    <row r="147" customFormat="false" ht="19.5" hidden="false" customHeight="true" outlineLevel="0" collapsed="false">
      <c r="A147" s="18" t="s">
        <v>522</v>
      </c>
      <c r="B147" s="15" t="s">
        <v>421</v>
      </c>
      <c r="C147" s="17" t="s">
        <v>336</v>
      </c>
      <c r="D147" s="19" t="s">
        <v>123</v>
      </c>
      <c r="E147" s="17" t="s">
        <v>55</v>
      </c>
      <c r="F147" s="17" t="s">
        <v>123</v>
      </c>
      <c r="G147" s="17" t="s">
        <v>123</v>
      </c>
      <c r="H147" s="17" t="s">
        <v>123</v>
      </c>
      <c r="I147" s="17" t="s">
        <v>123</v>
      </c>
      <c r="J147" s="15" t="s">
        <v>349</v>
      </c>
      <c r="K147" s="15" t="s">
        <v>339</v>
      </c>
      <c r="L147" s="15" t="s">
        <v>345</v>
      </c>
      <c r="M147" s="15" t="s">
        <v>341</v>
      </c>
      <c r="N147" s="33" t="n">
        <v>1</v>
      </c>
    </row>
    <row r="148" customFormat="false" ht="19.5" hidden="false" customHeight="true" outlineLevel="0" collapsed="false">
      <c r="A148" s="40" t="s">
        <v>523</v>
      </c>
      <c r="B148" s="27" t="s">
        <v>382</v>
      </c>
      <c r="C148" s="30" t="s">
        <v>336</v>
      </c>
      <c r="D148" s="26" t="s">
        <v>159</v>
      </c>
      <c r="E148" s="30" t="s">
        <v>55</v>
      </c>
      <c r="F148" s="30" t="s">
        <v>159</v>
      </c>
      <c r="G148" s="30" t="s">
        <v>159</v>
      </c>
      <c r="H148" s="30" t="s">
        <v>159</v>
      </c>
      <c r="I148" s="30" t="s">
        <v>159</v>
      </c>
      <c r="J148" s="27" t="s">
        <v>349</v>
      </c>
      <c r="K148" s="27" t="s">
        <v>339</v>
      </c>
      <c r="L148" s="27" t="s">
        <v>345</v>
      </c>
      <c r="M148" s="27" t="s">
        <v>341</v>
      </c>
      <c r="N148" s="31" t="n">
        <v>1</v>
      </c>
    </row>
    <row r="149" customFormat="false" ht="19.5" hidden="false" customHeight="true" outlineLevel="0" collapsed="false">
      <c r="A149" s="18" t="s">
        <v>524</v>
      </c>
      <c r="B149" s="15" t="s">
        <v>467</v>
      </c>
      <c r="C149" s="17" t="s">
        <v>336</v>
      </c>
      <c r="D149" s="19" t="s">
        <v>118</v>
      </c>
      <c r="E149" s="17" t="s">
        <v>55</v>
      </c>
      <c r="F149" s="17" t="s">
        <v>118</v>
      </c>
      <c r="G149" s="17" t="s">
        <v>118</v>
      </c>
      <c r="H149" s="17" t="s">
        <v>118</v>
      </c>
      <c r="I149" s="17" t="s">
        <v>118</v>
      </c>
      <c r="J149" s="15" t="s">
        <v>349</v>
      </c>
      <c r="K149" s="15" t="s">
        <v>339</v>
      </c>
      <c r="L149" s="15" t="s">
        <v>345</v>
      </c>
      <c r="M149" s="15" t="s">
        <v>341</v>
      </c>
      <c r="N149" s="33" t="n">
        <v>1</v>
      </c>
    </row>
    <row r="150" customFormat="false" ht="19.5" hidden="false" customHeight="true" outlineLevel="0" collapsed="false">
      <c r="A150" s="40" t="s">
        <v>44</v>
      </c>
      <c r="B150" s="27" t="s">
        <v>356</v>
      </c>
      <c r="C150" s="30" t="s">
        <v>360</v>
      </c>
      <c r="D150" s="26" t="s">
        <v>51</v>
      </c>
      <c r="E150" s="30" t="s">
        <v>45</v>
      </c>
      <c r="F150" s="30" t="s">
        <v>48</v>
      </c>
      <c r="G150" s="30" t="s">
        <v>51</v>
      </c>
      <c r="H150" s="30" t="s">
        <v>51</v>
      </c>
      <c r="I150" s="30" t="s">
        <v>51</v>
      </c>
      <c r="J150" s="27" t="s">
        <v>361</v>
      </c>
      <c r="K150" s="27" t="s">
        <v>344</v>
      </c>
      <c r="L150" s="27" t="s">
        <v>345</v>
      </c>
      <c r="M150" s="27" t="s">
        <v>341</v>
      </c>
      <c r="N150" s="31" t="n">
        <v>10</v>
      </c>
    </row>
    <row r="151" customFormat="false" ht="19.5" hidden="false" customHeight="true" outlineLevel="0" collapsed="false">
      <c r="A151" s="18" t="s">
        <v>525</v>
      </c>
      <c r="B151" s="15" t="s">
        <v>356</v>
      </c>
      <c r="C151" s="17" t="s">
        <v>336</v>
      </c>
      <c r="D151" s="19" t="s">
        <v>82</v>
      </c>
      <c r="E151" s="17" t="s">
        <v>82</v>
      </c>
      <c r="F151" s="17" t="s">
        <v>82</v>
      </c>
      <c r="G151" s="17" t="s">
        <v>82</v>
      </c>
      <c r="H151" s="17" t="s">
        <v>82</v>
      </c>
      <c r="I151" s="17" t="s">
        <v>82</v>
      </c>
      <c r="J151" s="15" t="s">
        <v>343</v>
      </c>
      <c r="K151" s="15" t="s">
        <v>344</v>
      </c>
      <c r="L151" s="15" t="s">
        <v>345</v>
      </c>
      <c r="M151" s="15" t="s">
        <v>341</v>
      </c>
      <c r="N151" s="33" t="n">
        <v>1</v>
      </c>
    </row>
    <row r="152" customFormat="false" ht="19.5" hidden="false" customHeight="true" outlineLevel="0" collapsed="false">
      <c r="A152" s="40" t="s">
        <v>526</v>
      </c>
      <c r="B152" s="27" t="s">
        <v>356</v>
      </c>
      <c r="C152" s="30" t="s">
        <v>336</v>
      </c>
      <c r="D152" s="26" t="s">
        <v>82</v>
      </c>
      <c r="E152" s="30" t="s">
        <v>82</v>
      </c>
      <c r="F152" s="30" t="s">
        <v>82</v>
      </c>
      <c r="G152" s="30" t="s">
        <v>82</v>
      </c>
      <c r="H152" s="30" t="s">
        <v>82</v>
      </c>
      <c r="I152" s="30" t="s">
        <v>82</v>
      </c>
      <c r="J152" s="27" t="s">
        <v>343</v>
      </c>
      <c r="K152" s="27" t="s">
        <v>344</v>
      </c>
      <c r="L152" s="27" t="s">
        <v>345</v>
      </c>
      <c r="M152" s="27" t="s">
        <v>341</v>
      </c>
      <c r="N152" s="31" t="n">
        <v>1</v>
      </c>
    </row>
    <row r="153" customFormat="false" ht="19.5" hidden="false" customHeight="true" outlineLevel="0" collapsed="false">
      <c r="A153" s="18" t="s">
        <v>527</v>
      </c>
      <c r="B153" s="15" t="s">
        <v>467</v>
      </c>
      <c r="C153" s="17" t="s">
        <v>336</v>
      </c>
      <c r="D153" s="19" t="s">
        <v>528</v>
      </c>
      <c r="E153" s="17" t="s">
        <v>55</v>
      </c>
      <c r="F153" s="17" t="s">
        <v>528</v>
      </c>
      <c r="G153" s="17" t="s">
        <v>528</v>
      </c>
      <c r="H153" s="17" t="s">
        <v>528</v>
      </c>
      <c r="I153" s="17" t="s">
        <v>528</v>
      </c>
      <c r="J153" s="15" t="s">
        <v>349</v>
      </c>
      <c r="K153" s="15" t="s">
        <v>339</v>
      </c>
      <c r="L153" s="15" t="s">
        <v>345</v>
      </c>
      <c r="M153" s="15" t="s">
        <v>341</v>
      </c>
      <c r="N153" s="33" t="n">
        <v>6</v>
      </c>
    </row>
    <row r="154" customFormat="false" ht="19.5" hidden="false" customHeight="true" outlineLevel="0" collapsed="false">
      <c r="A154" s="40" t="s">
        <v>75</v>
      </c>
      <c r="B154" s="27" t="s">
        <v>356</v>
      </c>
      <c r="C154" s="30" t="s">
        <v>360</v>
      </c>
      <c r="D154" s="26" t="s">
        <v>51</v>
      </c>
      <c r="E154" s="30" t="s">
        <v>45</v>
      </c>
      <c r="F154" s="30" t="s">
        <v>48</v>
      </c>
      <c r="G154" s="30" t="s">
        <v>51</v>
      </c>
      <c r="H154" s="30" t="s">
        <v>51</v>
      </c>
      <c r="I154" s="30" t="s">
        <v>51</v>
      </c>
      <c r="J154" s="27" t="s">
        <v>361</v>
      </c>
      <c r="K154" s="27" t="s">
        <v>344</v>
      </c>
      <c r="L154" s="27" t="s">
        <v>345</v>
      </c>
      <c r="M154" s="27" t="s">
        <v>341</v>
      </c>
      <c r="N154" s="31" t="n">
        <v>3</v>
      </c>
    </row>
    <row r="155" customFormat="false" ht="19.5" hidden="false" customHeight="true" outlineLevel="0" collapsed="false">
      <c r="A155" s="18" t="s">
        <v>529</v>
      </c>
      <c r="B155" s="15" t="s">
        <v>379</v>
      </c>
      <c r="C155" s="17" t="s">
        <v>336</v>
      </c>
      <c r="D155" s="19" t="s">
        <v>530</v>
      </c>
      <c r="E155" s="17" t="s">
        <v>530</v>
      </c>
      <c r="F155" s="17" t="s">
        <v>530</v>
      </c>
      <c r="G155" s="17" t="s">
        <v>530</v>
      </c>
      <c r="H155" s="17" t="s">
        <v>530</v>
      </c>
      <c r="I155" s="17" t="s">
        <v>530</v>
      </c>
      <c r="J155" s="15" t="s">
        <v>343</v>
      </c>
      <c r="K155" s="15" t="s">
        <v>344</v>
      </c>
      <c r="L155" s="15" t="s">
        <v>345</v>
      </c>
      <c r="M155" s="15" t="s">
        <v>341</v>
      </c>
      <c r="N155" s="33" t="n">
        <v>1</v>
      </c>
    </row>
    <row r="156" customFormat="false" ht="19.5" hidden="false" customHeight="true" outlineLevel="0" collapsed="false">
      <c r="A156" s="40" t="s">
        <v>531</v>
      </c>
      <c r="B156" s="27" t="s">
        <v>379</v>
      </c>
      <c r="C156" s="30" t="s">
        <v>336</v>
      </c>
      <c r="D156" s="26" t="s">
        <v>530</v>
      </c>
      <c r="E156" s="30" t="s">
        <v>530</v>
      </c>
      <c r="F156" s="30" t="s">
        <v>530</v>
      </c>
      <c r="G156" s="30" t="s">
        <v>530</v>
      </c>
      <c r="H156" s="30" t="s">
        <v>530</v>
      </c>
      <c r="I156" s="30" t="s">
        <v>530</v>
      </c>
      <c r="J156" s="27" t="s">
        <v>343</v>
      </c>
      <c r="K156" s="27" t="s">
        <v>344</v>
      </c>
      <c r="L156" s="27" t="s">
        <v>345</v>
      </c>
      <c r="M156" s="27" t="s">
        <v>341</v>
      </c>
      <c r="N156" s="31" t="n">
        <v>7</v>
      </c>
    </row>
    <row r="157" customFormat="false" ht="19.5" hidden="false" customHeight="true" outlineLevel="0" collapsed="false">
      <c r="A157" s="18" t="s">
        <v>532</v>
      </c>
      <c r="B157" s="15" t="s">
        <v>379</v>
      </c>
      <c r="C157" s="17" t="s">
        <v>336</v>
      </c>
      <c r="D157" s="19" t="s">
        <v>530</v>
      </c>
      <c r="E157" s="17" t="s">
        <v>530</v>
      </c>
      <c r="F157" s="17" t="s">
        <v>530</v>
      </c>
      <c r="G157" s="17" t="s">
        <v>530</v>
      </c>
      <c r="H157" s="17" t="s">
        <v>530</v>
      </c>
      <c r="I157" s="17" t="s">
        <v>530</v>
      </c>
      <c r="J157" s="15" t="s">
        <v>343</v>
      </c>
      <c r="K157" s="15" t="s">
        <v>344</v>
      </c>
      <c r="L157" s="15" t="s">
        <v>345</v>
      </c>
      <c r="M157" s="15" t="s">
        <v>341</v>
      </c>
      <c r="N157" s="33" t="n">
        <v>10</v>
      </c>
    </row>
    <row r="158" customFormat="false" ht="19.5" hidden="false" customHeight="true" outlineLevel="0" collapsed="false">
      <c r="A158" s="40" t="s">
        <v>533</v>
      </c>
      <c r="B158" s="27" t="s">
        <v>379</v>
      </c>
      <c r="C158" s="30" t="s">
        <v>336</v>
      </c>
      <c r="D158" s="26" t="s">
        <v>530</v>
      </c>
      <c r="E158" s="30" t="s">
        <v>530</v>
      </c>
      <c r="F158" s="30" t="s">
        <v>530</v>
      </c>
      <c r="G158" s="30" t="s">
        <v>530</v>
      </c>
      <c r="H158" s="30" t="s">
        <v>530</v>
      </c>
      <c r="I158" s="30" t="s">
        <v>530</v>
      </c>
      <c r="J158" s="27" t="s">
        <v>343</v>
      </c>
      <c r="K158" s="27" t="s">
        <v>344</v>
      </c>
      <c r="L158" s="27" t="s">
        <v>345</v>
      </c>
      <c r="M158" s="27" t="s">
        <v>341</v>
      </c>
      <c r="N158" s="31" t="n">
        <v>2</v>
      </c>
    </row>
    <row r="159" customFormat="false" ht="19.5" hidden="false" customHeight="true" outlineLevel="0" collapsed="false">
      <c r="A159" s="18" t="s">
        <v>127</v>
      </c>
      <c r="B159" s="15" t="s">
        <v>494</v>
      </c>
      <c r="C159" s="17" t="s">
        <v>336</v>
      </c>
      <c r="D159" s="19" t="s">
        <v>128</v>
      </c>
      <c r="E159" s="17" t="s">
        <v>55</v>
      </c>
      <c r="F159" s="17" t="s">
        <v>128</v>
      </c>
      <c r="G159" s="17" t="s">
        <v>128</v>
      </c>
      <c r="H159" s="17" t="s">
        <v>128</v>
      </c>
      <c r="I159" s="17" t="s">
        <v>128</v>
      </c>
      <c r="J159" s="15" t="s">
        <v>349</v>
      </c>
      <c r="K159" s="15" t="s">
        <v>339</v>
      </c>
      <c r="L159" s="15" t="s">
        <v>345</v>
      </c>
      <c r="M159" s="15" t="s">
        <v>341</v>
      </c>
      <c r="N159" s="33" t="n">
        <v>7</v>
      </c>
    </row>
    <row r="160" customFormat="false" ht="19.5" hidden="false" customHeight="true" outlineLevel="0" collapsed="false">
      <c r="A160" s="40" t="s">
        <v>306</v>
      </c>
      <c r="B160" s="27" t="s">
        <v>356</v>
      </c>
      <c r="C160" s="30" t="s">
        <v>360</v>
      </c>
      <c r="D160" s="26" t="s">
        <v>51</v>
      </c>
      <c r="E160" s="30" t="s">
        <v>45</v>
      </c>
      <c r="F160" s="30" t="s">
        <v>48</v>
      </c>
      <c r="G160" s="30" t="s">
        <v>51</v>
      </c>
      <c r="H160" s="30" t="s">
        <v>51</v>
      </c>
      <c r="I160" s="30" t="s">
        <v>51</v>
      </c>
      <c r="J160" s="27" t="s">
        <v>361</v>
      </c>
      <c r="K160" s="27" t="s">
        <v>344</v>
      </c>
      <c r="L160" s="27" t="s">
        <v>345</v>
      </c>
      <c r="M160" s="27" t="s">
        <v>341</v>
      </c>
      <c r="N160" s="31" t="n">
        <v>1</v>
      </c>
    </row>
    <row r="161" customFormat="false" ht="19.5" hidden="false" customHeight="true" outlineLevel="0" collapsed="false">
      <c r="A161" s="18" t="s">
        <v>534</v>
      </c>
      <c r="B161" s="15" t="s">
        <v>342</v>
      </c>
      <c r="C161" s="17" t="s">
        <v>336</v>
      </c>
      <c r="D161" s="19" t="s">
        <v>111</v>
      </c>
      <c r="E161" s="17" t="s">
        <v>111</v>
      </c>
      <c r="F161" s="17" t="s">
        <v>111</v>
      </c>
      <c r="G161" s="17" t="s">
        <v>111</v>
      </c>
      <c r="H161" s="17" t="s">
        <v>111</v>
      </c>
      <c r="I161" s="17" t="s">
        <v>111</v>
      </c>
      <c r="J161" s="15" t="s">
        <v>343</v>
      </c>
      <c r="K161" s="15" t="s">
        <v>344</v>
      </c>
      <c r="L161" s="15" t="s">
        <v>345</v>
      </c>
      <c r="M161" s="15" t="s">
        <v>341</v>
      </c>
      <c r="N161" s="33" t="n">
        <v>10</v>
      </c>
    </row>
    <row r="162" customFormat="false" ht="19.5" hidden="false" customHeight="true" outlineLevel="0" collapsed="false">
      <c r="A162" s="40" t="s">
        <v>535</v>
      </c>
      <c r="B162" s="27" t="s">
        <v>356</v>
      </c>
      <c r="C162" s="30" t="s">
        <v>336</v>
      </c>
      <c r="D162" s="26" t="s">
        <v>82</v>
      </c>
      <c r="E162" s="30" t="s">
        <v>82</v>
      </c>
      <c r="F162" s="30" t="s">
        <v>82</v>
      </c>
      <c r="G162" s="30" t="s">
        <v>82</v>
      </c>
      <c r="H162" s="30" t="s">
        <v>82</v>
      </c>
      <c r="I162" s="30" t="s">
        <v>82</v>
      </c>
      <c r="J162" s="27" t="s">
        <v>343</v>
      </c>
      <c r="K162" s="27" t="s">
        <v>344</v>
      </c>
      <c r="L162" s="27" t="s">
        <v>345</v>
      </c>
      <c r="M162" s="27" t="s">
        <v>341</v>
      </c>
      <c r="N162" s="31" t="n">
        <v>1</v>
      </c>
    </row>
    <row r="163" customFormat="false" ht="19.5" hidden="false" customHeight="true" outlineLevel="0" collapsed="false">
      <c r="A163" s="18" t="s">
        <v>536</v>
      </c>
      <c r="B163" s="15" t="s">
        <v>356</v>
      </c>
      <c r="C163" s="17" t="s">
        <v>336</v>
      </c>
      <c r="D163" s="19" t="s">
        <v>82</v>
      </c>
      <c r="E163" s="17" t="s">
        <v>82</v>
      </c>
      <c r="F163" s="17" t="s">
        <v>82</v>
      </c>
      <c r="G163" s="17" t="s">
        <v>82</v>
      </c>
      <c r="H163" s="17" t="s">
        <v>82</v>
      </c>
      <c r="I163" s="17" t="s">
        <v>82</v>
      </c>
      <c r="J163" s="15" t="s">
        <v>343</v>
      </c>
      <c r="K163" s="15" t="s">
        <v>344</v>
      </c>
      <c r="L163" s="15" t="s">
        <v>345</v>
      </c>
      <c r="M163" s="15" t="s">
        <v>341</v>
      </c>
      <c r="N163" s="33" t="n">
        <v>9</v>
      </c>
    </row>
    <row r="164" customFormat="false" ht="19.5" hidden="false" customHeight="true" outlineLevel="0" collapsed="false">
      <c r="A164" s="40" t="s">
        <v>102</v>
      </c>
      <c r="B164" s="27" t="s">
        <v>356</v>
      </c>
      <c r="C164" s="30" t="s">
        <v>336</v>
      </c>
      <c r="D164" s="26" t="s">
        <v>82</v>
      </c>
      <c r="E164" s="30" t="s">
        <v>82</v>
      </c>
      <c r="F164" s="30" t="s">
        <v>82</v>
      </c>
      <c r="G164" s="30" t="s">
        <v>82</v>
      </c>
      <c r="H164" s="30" t="s">
        <v>82</v>
      </c>
      <c r="I164" s="30" t="s">
        <v>82</v>
      </c>
      <c r="J164" s="27" t="s">
        <v>343</v>
      </c>
      <c r="K164" s="27" t="s">
        <v>344</v>
      </c>
      <c r="L164" s="27" t="s">
        <v>345</v>
      </c>
      <c r="M164" s="27" t="s">
        <v>341</v>
      </c>
      <c r="N164" s="31" t="n">
        <v>7</v>
      </c>
    </row>
    <row r="165" customFormat="false" ht="19.5" hidden="false" customHeight="true" outlineLevel="0" collapsed="false">
      <c r="A165" s="18" t="s">
        <v>537</v>
      </c>
      <c r="B165" s="15" t="s">
        <v>379</v>
      </c>
      <c r="C165" s="17" t="s">
        <v>336</v>
      </c>
      <c r="D165" s="19" t="s">
        <v>140</v>
      </c>
      <c r="E165" s="17" t="s">
        <v>140</v>
      </c>
      <c r="F165" s="17" t="s">
        <v>140</v>
      </c>
      <c r="G165" s="17" t="s">
        <v>140</v>
      </c>
      <c r="H165" s="17" t="s">
        <v>140</v>
      </c>
      <c r="I165" s="17" t="s">
        <v>140</v>
      </c>
      <c r="J165" s="15" t="s">
        <v>343</v>
      </c>
      <c r="K165" s="15" t="s">
        <v>344</v>
      </c>
      <c r="L165" s="15" t="s">
        <v>345</v>
      </c>
      <c r="M165" s="15" t="s">
        <v>341</v>
      </c>
      <c r="N165" s="33" t="n">
        <v>1</v>
      </c>
    </row>
    <row r="166" customFormat="false" ht="19.5" hidden="false" customHeight="true" outlineLevel="0" collapsed="false">
      <c r="A166" s="40" t="s">
        <v>538</v>
      </c>
      <c r="B166" s="27" t="s">
        <v>413</v>
      </c>
      <c r="C166" s="30" t="s">
        <v>336</v>
      </c>
      <c r="D166" s="26" t="s">
        <v>111</v>
      </c>
      <c r="E166" s="30" t="s">
        <v>111</v>
      </c>
      <c r="F166" s="30" t="s">
        <v>111</v>
      </c>
      <c r="G166" s="30" t="s">
        <v>111</v>
      </c>
      <c r="H166" s="30" t="s">
        <v>111</v>
      </c>
      <c r="I166" s="30" t="s">
        <v>111</v>
      </c>
      <c r="J166" s="27" t="s">
        <v>352</v>
      </c>
      <c r="K166" s="27" t="s">
        <v>344</v>
      </c>
      <c r="L166" s="27" t="s">
        <v>340</v>
      </c>
      <c r="M166" s="27" t="s">
        <v>341</v>
      </c>
      <c r="N166" s="31" t="n">
        <v>3</v>
      </c>
    </row>
    <row r="167" customFormat="false" ht="19.5" hidden="false" customHeight="true" outlineLevel="0" collapsed="false">
      <c r="A167" s="18" t="s">
        <v>539</v>
      </c>
      <c r="B167" s="15" t="s">
        <v>382</v>
      </c>
      <c r="C167" s="17" t="s">
        <v>336</v>
      </c>
      <c r="D167" s="19" t="s">
        <v>159</v>
      </c>
      <c r="E167" s="17" t="s">
        <v>55</v>
      </c>
      <c r="F167" s="17" t="s">
        <v>159</v>
      </c>
      <c r="G167" s="17" t="s">
        <v>159</v>
      </c>
      <c r="H167" s="17" t="s">
        <v>159</v>
      </c>
      <c r="I167" s="17" t="s">
        <v>159</v>
      </c>
      <c r="J167" s="15" t="s">
        <v>349</v>
      </c>
      <c r="K167" s="15" t="s">
        <v>339</v>
      </c>
      <c r="L167" s="15" t="s">
        <v>345</v>
      </c>
      <c r="M167" s="15" t="s">
        <v>341</v>
      </c>
      <c r="N167" s="33" t="n">
        <v>2</v>
      </c>
    </row>
    <row r="168" customFormat="false" ht="19.5" hidden="false" customHeight="true" outlineLevel="0" collapsed="false">
      <c r="A168" s="40" t="s">
        <v>540</v>
      </c>
      <c r="B168" s="27" t="s">
        <v>467</v>
      </c>
      <c r="C168" s="30" t="s">
        <v>336</v>
      </c>
      <c r="D168" s="26" t="s">
        <v>159</v>
      </c>
      <c r="E168" s="30" t="s">
        <v>55</v>
      </c>
      <c r="F168" s="30" t="s">
        <v>159</v>
      </c>
      <c r="G168" s="30" t="s">
        <v>159</v>
      </c>
      <c r="H168" s="30" t="s">
        <v>159</v>
      </c>
      <c r="I168" s="30" t="s">
        <v>159</v>
      </c>
      <c r="J168" s="27" t="s">
        <v>349</v>
      </c>
      <c r="K168" s="27" t="s">
        <v>339</v>
      </c>
      <c r="L168" s="27" t="s">
        <v>345</v>
      </c>
      <c r="M168" s="27" t="s">
        <v>341</v>
      </c>
      <c r="N168" s="31" t="n">
        <v>2</v>
      </c>
    </row>
    <row r="169" customFormat="false" ht="19.5" hidden="false" customHeight="true" outlineLevel="0" collapsed="false">
      <c r="A169" s="18" t="s">
        <v>541</v>
      </c>
      <c r="B169" s="15" t="s">
        <v>542</v>
      </c>
      <c r="C169" s="17" t="s">
        <v>336</v>
      </c>
      <c r="D169" s="19" t="s">
        <v>543</v>
      </c>
      <c r="E169" s="17" t="s">
        <v>55</v>
      </c>
      <c r="F169" s="17" t="s">
        <v>543</v>
      </c>
      <c r="G169" s="17" t="s">
        <v>543</v>
      </c>
      <c r="H169" s="17" t="s">
        <v>543</v>
      </c>
      <c r="I169" s="17" t="s">
        <v>543</v>
      </c>
      <c r="J169" s="15" t="s">
        <v>349</v>
      </c>
      <c r="K169" s="15" t="s">
        <v>339</v>
      </c>
      <c r="L169" s="15" t="s">
        <v>345</v>
      </c>
      <c r="M169" s="15" t="s">
        <v>341</v>
      </c>
      <c r="N169" s="33" t="n">
        <v>4</v>
      </c>
    </row>
    <row r="170" customFormat="false" ht="19.5" hidden="false" customHeight="true" outlineLevel="0" collapsed="false">
      <c r="A170" s="40" t="s">
        <v>544</v>
      </c>
      <c r="B170" s="27" t="s">
        <v>382</v>
      </c>
      <c r="C170" s="30" t="s">
        <v>336</v>
      </c>
      <c r="D170" s="26" t="s">
        <v>159</v>
      </c>
      <c r="E170" s="30" t="s">
        <v>55</v>
      </c>
      <c r="F170" s="30" t="s">
        <v>159</v>
      </c>
      <c r="G170" s="30" t="s">
        <v>159</v>
      </c>
      <c r="H170" s="30" t="s">
        <v>159</v>
      </c>
      <c r="I170" s="30" t="s">
        <v>159</v>
      </c>
      <c r="J170" s="27" t="s">
        <v>349</v>
      </c>
      <c r="K170" s="27" t="s">
        <v>339</v>
      </c>
      <c r="L170" s="27" t="s">
        <v>345</v>
      </c>
      <c r="M170" s="27" t="s">
        <v>341</v>
      </c>
      <c r="N170" s="31" t="n">
        <v>4</v>
      </c>
    </row>
    <row r="171" customFormat="false" ht="19.5" hidden="false" customHeight="true" outlineLevel="0" collapsed="false">
      <c r="A171" s="18" t="s">
        <v>545</v>
      </c>
      <c r="B171" s="15" t="s">
        <v>382</v>
      </c>
      <c r="C171" s="17" t="s">
        <v>336</v>
      </c>
      <c r="D171" s="19" t="s">
        <v>159</v>
      </c>
      <c r="E171" s="17" t="s">
        <v>55</v>
      </c>
      <c r="F171" s="17" t="s">
        <v>159</v>
      </c>
      <c r="G171" s="17" t="s">
        <v>159</v>
      </c>
      <c r="H171" s="17" t="s">
        <v>159</v>
      </c>
      <c r="I171" s="17" t="s">
        <v>159</v>
      </c>
      <c r="J171" s="15" t="s">
        <v>349</v>
      </c>
      <c r="K171" s="15" t="s">
        <v>339</v>
      </c>
      <c r="L171" s="15" t="s">
        <v>345</v>
      </c>
      <c r="M171" s="15" t="s">
        <v>341</v>
      </c>
      <c r="N171" s="33" t="n">
        <v>5</v>
      </c>
    </row>
    <row r="172" customFormat="false" ht="19.5" hidden="false" customHeight="true" outlineLevel="0" collapsed="false">
      <c r="A172" s="40" t="s">
        <v>546</v>
      </c>
      <c r="B172" s="27" t="s">
        <v>467</v>
      </c>
      <c r="C172" s="30" t="s">
        <v>336</v>
      </c>
      <c r="D172" s="26" t="s">
        <v>118</v>
      </c>
      <c r="E172" s="30" t="s">
        <v>55</v>
      </c>
      <c r="F172" s="30" t="s">
        <v>118</v>
      </c>
      <c r="G172" s="30" t="s">
        <v>118</v>
      </c>
      <c r="H172" s="30" t="s">
        <v>118</v>
      </c>
      <c r="I172" s="30" t="s">
        <v>118</v>
      </c>
      <c r="J172" s="27" t="s">
        <v>349</v>
      </c>
      <c r="K172" s="27" t="s">
        <v>339</v>
      </c>
      <c r="L172" s="27" t="s">
        <v>345</v>
      </c>
      <c r="M172" s="27" t="s">
        <v>341</v>
      </c>
      <c r="N172" s="31" t="n">
        <v>6</v>
      </c>
    </row>
    <row r="173" customFormat="false" ht="19.5" hidden="false" customHeight="true" outlineLevel="0" collapsed="false">
      <c r="A173" s="18" t="s">
        <v>547</v>
      </c>
      <c r="B173" s="15" t="s">
        <v>382</v>
      </c>
      <c r="C173" s="17" t="s">
        <v>336</v>
      </c>
      <c r="D173" s="19" t="s">
        <v>159</v>
      </c>
      <c r="E173" s="17" t="s">
        <v>55</v>
      </c>
      <c r="F173" s="17" t="s">
        <v>159</v>
      </c>
      <c r="G173" s="17" t="s">
        <v>159</v>
      </c>
      <c r="H173" s="17" t="s">
        <v>159</v>
      </c>
      <c r="I173" s="17" t="s">
        <v>159</v>
      </c>
      <c r="J173" s="15" t="s">
        <v>349</v>
      </c>
      <c r="K173" s="15" t="s">
        <v>339</v>
      </c>
      <c r="L173" s="15" t="s">
        <v>345</v>
      </c>
      <c r="M173" s="15" t="s">
        <v>341</v>
      </c>
      <c r="N173" s="33" t="n">
        <v>2</v>
      </c>
    </row>
    <row r="174" customFormat="false" ht="19.5" hidden="false" customHeight="true" outlineLevel="0" collapsed="false">
      <c r="A174" s="40" t="s">
        <v>548</v>
      </c>
      <c r="B174" s="27" t="s">
        <v>467</v>
      </c>
      <c r="C174" s="30" t="s">
        <v>336</v>
      </c>
      <c r="D174" s="26" t="s">
        <v>159</v>
      </c>
      <c r="E174" s="30" t="s">
        <v>55</v>
      </c>
      <c r="F174" s="30" t="s">
        <v>159</v>
      </c>
      <c r="G174" s="30" t="s">
        <v>159</v>
      </c>
      <c r="H174" s="30" t="s">
        <v>159</v>
      </c>
      <c r="I174" s="30" t="s">
        <v>159</v>
      </c>
      <c r="J174" s="27" t="s">
        <v>349</v>
      </c>
      <c r="K174" s="27" t="s">
        <v>339</v>
      </c>
      <c r="L174" s="27" t="s">
        <v>345</v>
      </c>
      <c r="M174" s="27" t="s">
        <v>341</v>
      </c>
      <c r="N174" s="31" t="n">
        <v>1</v>
      </c>
    </row>
    <row r="175" customFormat="false" ht="19.5" hidden="false" customHeight="true" outlineLevel="0" collapsed="false">
      <c r="A175" s="18" t="s">
        <v>54</v>
      </c>
      <c r="B175" s="15" t="s">
        <v>382</v>
      </c>
      <c r="C175" s="17" t="s">
        <v>336</v>
      </c>
      <c r="D175" s="19" t="s">
        <v>55</v>
      </c>
      <c r="E175" s="17" t="s">
        <v>55</v>
      </c>
      <c r="F175" s="17" t="s">
        <v>55</v>
      </c>
      <c r="G175" s="17" t="s">
        <v>55</v>
      </c>
      <c r="H175" s="17" t="s">
        <v>159</v>
      </c>
      <c r="I175" s="17" t="s">
        <v>55</v>
      </c>
      <c r="J175" s="15" t="s">
        <v>498</v>
      </c>
      <c r="K175" s="15" t="s">
        <v>339</v>
      </c>
      <c r="L175" s="15" t="s">
        <v>345</v>
      </c>
      <c r="M175" s="15" t="s">
        <v>341</v>
      </c>
      <c r="N175" s="33" t="n">
        <v>1</v>
      </c>
    </row>
    <row r="176" customFormat="false" ht="19.5" hidden="false" customHeight="true" outlineLevel="0" collapsed="false">
      <c r="A176" s="40" t="s">
        <v>549</v>
      </c>
      <c r="B176" s="27" t="s">
        <v>342</v>
      </c>
      <c r="C176" s="30" t="s">
        <v>336</v>
      </c>
      <c r="D176" s="26" t="s">
        <v>111</v>
      </c>
      <c r="E176" s="30" t="s">
        <v>111</v>
      </c>
      <c r="F176" s="30" t="s">
        <v>111</v>
      </c>
      <c r="G176" s="30" t="s">
        <v>111</v>
      </c>
      <c r="H176" s="30" t="s">
        <v>111</v>
      </c>
      <c r="I176" s="30" t="s">
        <v>111</v>
      </c>
      <c r="J176" s="27" t="s">
        <v>343</v>
      </c>
      <c r="K176" s="27" t="s">
        <v>344</v>
      </c>
      <c r="L176" s="27" t="s">
        <v>345</v>
      </c>
      <c r="M176" s="27" t="s">
        <v>341</v>
      </c>
      <c r="N176" s="31" t="n">
        <v>1</v>
      </c>
    </row>
    <row r="177" customFormat="false" ht="19.5" hidden="false" customHeight="true" outlineLevel="0" collapsed="false">
      <c r="A177" s="18" t="s">
        <v>550</v>
      </c>
      <c r="B177" s="15" t="s">
        <v>342</v>
      </c>
      <c r="C177" s="17" t="s">
        <v>336</v>
      </c>
      <c r="D177" s="19" t="s">
        <v>111</v>
      </c>
      <c r="E177" s="17" t="s">
        <v>111</v>
      </c>
      <c r="F177" s="17" t="s">
        <v>111</v>
      </c>
      <c r="G177" s="17" t="s">
        <v>111</v>
      </c>
      <c r="H177" s="17" t="s">
        <v>111</v>
      </c>
      <c r="I177" s="17" t="s">
        <v>111</v>
      </c>
      <c r="J177" s="15" t="s">
        <v>343</v>
      </c>
      <c r="K177" s="15" t="s">
        <v>344</v>
      </c>
      <c r="L177" s="15" t="s">
        <v>345</v>
      </c>
      <c r="M177" s="15" t="s">
        <v>341</v>
      </c>
      <c r="N177" s="33" t="n">
        <v>2</v>
      </c>
    </row>
    <row r="178" customFormat="false" ht="19.5" hidden="false" customHeight="true" outlineLevel="0" collapsed="false">
      <c r="A178" s="40" t="s">
        <v>551</v>
      </c>
      <c r="B178" s="27" t="s">
        <v>467</v>
      </c>
      <c r="C178" s="30" t="s">
        <v>336</v>
      </c>
      <c r="D178" s="26" t="s">
        <v>118</v>
      </c>
      <c r="E178" s="30" t="s">
        <v>55</v>
      </c>
      <c r="F178" s="30" t="s">
        <v>118</v>
      </c>
      <c r="G178" s="30" t="s">
        <v>118</v>
      </c>
      <c r="H178" s="30" t="s">
        <v>118</v>
      </c>
      <c r="I178" s="30" t="s">
        <v>118</v>
      </c>
      <c r="J178" s="27" t="s">
        <v>349</v>
      </c>
      <c r="K178" s="27" t="s">
        <v>339</v>
      </c>
      <c r="L178" s="27" t="s">
        <v>345</v>
      </c>
      <c r="M178" s="27" t="s">
        <v>341</v>
      </c>
      <c r="N178" s="31" t="n">
        <v>1</v>
      </c>
    </row>
    <row r="179" customFormat="false" ht="19.5" hidden="false" customHeight="true" outlineLevel="0" collapsed="false">
      <c r="A179" s="18" t="s">
        <v>552</v>
      </c>
      <c r="B179" s="15" t="s">
        <v>542</v>
      </c>
      <c r="C179" s="17" t="s">
        <v>336</v>
      </c>
      <c r="D179" s="19" t="s">
        <v>543</v>
      </c>
      <c r="E179" s="17" t="s">
        <v>55</v>
      </c>
      <c r="F179" s="17" t="s">
        <v>543</v>
      </c>
      <c r="G179" s="17" t="s">
        <v>543</v>
      </c>
      <c r="H179" s="17" t="s">
        <v>543</v>
      </c>
      <c r="I179" s="17" t="s">
        <v>543</v>
      </c>
      <c r="J179" s="15" t="s">
        <v>349</v>
      </c>
      <c r="K179" s="15" t="s">
        <v>339</v>
      </c>
      <c r="L179" s="15" t="s">
        <v>345</v>
      </c>
      <c r="M179" s="15" t="s">
        <v>341</v>
      </c>
      <c r="N179" s="33" t="n">
        <v>2</v>
      </c>
    </row>
    <row r="180" customFormat="false" ht="19.5" hidden="false" customHeight="true" outlineLevel="0" collapsed="false">
      <c r="A180" s="40" t="s">
        <v>553</v>
      </c>
      <c r="B180" s="27" t="s">
        <v>542</v>
      </c>
      <c r="C180" s="30" t="s">
        <v>336</v>
      </c>
      <c r="D180" s="26" t="s">
        <v>543</v>
      </c>
      <c r="E180" s="30" t="s">
        <v>55</v>
      </c>
      <c r="F180" s="30" t="s">
        <v>543</v>
      </c>
      <c r="G180" s="30" t="s">
        <v>543</v>
      </c>
      <c r="H180" s="30" t="s">
        <v>543</v>
      </c>
      <c r="I180" s="30" t="s">
        <v>543</v>
      </c>
      <c r="J180" s="27" t="s">
        <v>349</v>
      </c>
      <c r="K180" s="27" t="s">
        <v>339</v>
      </c>
      <c r="L180" s="27" t="s">
        <v>345</v>
      </c>
      <c r="M180" s="27" t="s">
        <v>341</v>
      </c>
      <c r="N180" s="31" t="n">
        <v>1</v>
      </c>
    </row>
    <row r="181" customFormat="false" ht="19.5" hidden="false" customHeight="true" outlineLevel="0" collapsed="false">
      <c r="A181" s="18" t="s">
        <v>554</v>
      </c>
      <c r="B181" s="15" t="s">
        <v>382</v>
      </c>
      <c r="C181" s="17" t="s">
        <v>336</v>
      </c>
      <c r="D181" s="19" t="s">
        <v>159</v>
      </c>
      <c r="E181" s="17" t="s">
        <v>55</v>
      </c>
      <c r="F181" s="17" t="s">
        <v>159</v>
      </c>
      <c r="G181" s="17" t="s">
        <v>159</v>
      </c>
      <c r="H181" s="17" t="s">
        <v>159</v>
      </c>
      <c r="I181" s="17" t="s">
        <v>159</v>
      </c>
      <c r="J181" s="15" t="s">
        <v>349</v>
      </c>
      <c r="K181" s="15" t="s">
        <v>339</v>
      </c>
      <c r="L181" s="15" t="s">
        <v>345</v>
      </c>
      <c r="M181" s="15" t="s">
        <v>341</v>
      </c>
      <c r="N181" s="33" t="n">
        <v>1</v>
      </c>
    </row>
    <row r="182" customFormat="false" ht="19.5" hidden="false" customHeight="true" outlineLevel="0" collapsed="false">
      <c r="A182" s="40" t="s">
        <v>555</v>
      </c>
      <c r="B182" s="27" t="s">
        <v>382</v>
      </c>
      <c r="C182" s="30" t="s">
        <v>336</v>
      </c>
      <c r="D182" s="26" t="s">
        <v>159</v>
      </c>
      <c r="E182" s="30" t="s">
        <v>55</v>
      </c>
      <c r="F182" s="30" t="s">
        <v>159</v>
      </c>
      <c r="G182" s="30" t="s">
        <v>159</v>
      </c>
      <c r="H182" s="30" t="s">
        <v>159</v>
      </c>
      <c r="I182" s="30" t="s">
        <v>159</v>
      </c>
      <c r="J182" s="27" t="s">
        <v>349</v>
      </c>
      <c r="K182" s="27" t="s">
        <v>339</v>
      </c>
      <c r="L182" s="27" t="s">
        <v>345</v>
      </c>
      <c r="M182" s="27" t="s">
        <v>341</v>
      </c>
      <c r="N182" s="31" t="n">
        <v>1</v>
      </c>
    </row>
    <row r="183" customFormat="false" ht="19.5" hidden="false" customHeight="true" outlineLevel="0" collapsed="false">
      <c r="A183" s="18" t="s">
        <v>556</v>
      </c>
      <c r="B183" s="15" t="s">
        <v>542</v>
      </c>
      <c r="C183" s="17" t="s">
        <v>336</v>
      </c>
      <c r="D183" s="19" t="s">
        <v>557</v>
      </c>
      <c r="E183" s="17" t="s">
        <v>55</v>
      </c>
      <c r="F183" s="17" t="s">
        <v>557</v>
      </c>
      <c r="G183" s="17" t="s">
        <v>557</v>
      </c>
      <c r="H183" s="17" t="s">
        <v>557</v>
      </c>
      <c r="I183" s="17" t="s">
        <v>557</v>
      </c>
      <c r="J183" s="15" t="s">
        <v>349</v>
      </c>
      <c r="K183" s="15" t="s">
        <v>339</v>
      </c>
      <c r="L183" s="15" t="s">
        <v>345</v>
      </c>
      <c r="M183" s="15" t="s">
        <v>341</v>
      </c>
      <c r="N183" s="33" t="n">
        <v>3</v>
      </c>
    </row>
    <row r="184" customFormat="false" ht="19.5" hidden="false" customHeight="true" outlineLevel="0" collapsed="false">
      <c r="A184" s="40" t="s">
        <v>558</v>
      </c>
      <c r="B184" s="27" t="s">
        <v>467</v>
      </c>
      <c r="C184" s="30" t="s">
        <v>336</v>
      </c>
      <c r="D184" s="26" t="s">
        <v>159</v>
      </c>
      <c r="E184" s="30" t="s">
        <v>55</v>
      </c>
      <c r="F184" s="30" t="s">
        <v>159</v>
      </c>
      <c r="G184" s="30" t="s">
        <v>159</v>
      </c>
      <c r="H184" s="30" t="s">
        <v>159</v>
      </c>
      <c r="I184" s="30" t="s">
        <v>159</v>
      </c>
      <c r="J184" s="27" t="s">
        <v>349</v>
      </c>
      <c r="K184" s="27" t="s">
        <v>339</v>
      </c>
      <c r="L184" s="27" t="s">
        <v>345</v>
      </c>
      <c r="M184" s="27" t="s">
        <v>341</v>
      </c>
      <c r="N184" s="31" t="n">
        <v>4</v>
      </c>
    </row>
    <row r="185" customFormat="false" ht="19.5" hidden="false" customHeight="true" outlineLevel="0" collapsed="false">
      <c r="A185" s="18" t="s">
        <v>559</v>
      </c>
      <c r="B185" s="15" t="s">
        <v>560</v>
      </c>
      <c r="C185" s="17" t="s">
        <v>336</v>
      </c>
      <c r="D185" s="19" t="s">
        <v>561</v>
      </c>
      <c r="E185" s="17" t="s">
        <v>55</v>
      </c>
      <c r="F185" s="17" t="s">
        <v>561</v>
      </c>
      <c r="G185" s="17" t="s">
        <v>561</v>
      </c>
      <c r="H185" s="17" t="s">
        <v>561</v>
      </c>
      <c r="I185" s="17" t="s">
        <v>561</v>
      </c>
      <c r="J185" s="15" t="s">
        <v>349</v>
      </c>
      <c r="K185" s="15" t="s">
        <v>339</v>
      </c>
      <c r="L185" s="15" t="s">
        <v>345</v>
      </c>
      <c r="M185" s="15" t="s">
        <v>341</v>
      </c>
      <c r="N185" s="33" t="n">
        <v>1</v>
      </c>
    </row>
    <row r="186" customFormat="false" ht="19.5" hidden="false" customHeight="true" outlineLevel="0" collapsed="false">
      <c r="A186" s="40" t="s">
        <v>562</v>
      </c>
      <c r="B186" s="27" t="s">
        <v>342</v>
      </c>
      <c r="C186" s="30" t="s">
        <v>336</v>
      </c>
      <c r="D186" s="26" t="s">
        <v>111</v>
      </c>
      <c r="E186" s="30" t="s">
        <v>111</v>
      </c>
      <c r="F186" s="30" t="s">
        <v>111</v>
      </c>
      <c r="G186" s="30" t="s">
        <v>111</v>
      </c>
      <c r="H186" s="30" t="s">
        <v>111</v>
      </c>
      <c r="I186" s="30" t="s">
        <v>111</v>
      </c>
      <c r="J186" s="27" t="s">
        <v>343</v>
      </c>
      <c r="K186" s="27" t="s">
        <v>344</v>
      </c>
      <c r="L186" s="27" t="s">
        <v>345</v>
      </c>
      <c r="M186" s="27" t="s">
        <v>341</v>
      </c>
      <c r="N186" s="31" t="n">
        <v>1</v>
      </c>
    </row>
    <row r="187" customFormat="false" ht="19.5" hidden="false" customHeight="true" outlineLevel="0" collapsed="false">
      <c r="A187" s="18" t="s">
        <v>563</v>
      </c>
      <c r="B187" s="15" t="s">
        <v>397</v>
      </c>
      <c r="C187" s="17" t="s">
        <v>336</v>
      </c>
      <c r="D187" s="19" t="s">
        <v>564</v>
      </c>
      <c r="E187" s="17" t="s">
        <v>564</v>
      </c>
      <c r="F187" s="17" t="s">
        <v>564</v>
      </c>
      <c r="G187" s="17" t="s">
        <v>564</v>
      </c>
      <c r="H187" s="17" t="s">
        <v>564</v>
      </c>
      <c r="I187" s="17" t="s">
        <v>564</v>
      </c>
      <c r="J187" s="15" t="s">
        <v>368</v>
      </c>
      <c r="K187" s="15" t="s">
        <v>339</v>
      </c>
      <c r="L187" s="15" t="s">
        <v>340</v>
      </c>
      <c r="M187" s="15" t="s">
        <v>341</v>
      </c>
      <c r="N187" s="33" t="n">
        <v>2</v>
      </c>
    </row>
    <row r="188" customFormat="false" ht="19.5" hidden="false" customHeight="true" outlineLevel="0" collapsed="false">
      <c r="A188" s="40" t="s">
        <v>565</v>
      </c>
      <c r="B188" s="27" t="s">
        <v>467</v>
      </c>
      <c r="C188" s="30" t="s">
        <v>336</v>
      </c>
      <c r="D188" s="26" t="s">
        <v>159</v>
      </c>
      <c r="E188" s="30" t="s">
        <v>55</v>
      </c>
      <c r="F188" s="30" t="s">
        <v>159</v>
      </c>
      <c r="G188" s="30" t="s">
        <v>159</v>
      </c>
      <c r="H188" s="30" t="s">
        <v>159</v>
      </c>
      <c r="I188" s="30" t="s">
        <v>159</v>
      </c>
      <c r="J188" s="27" t="s">
        <v>349</v>
      </c>
      <c r="K188" s="27" t="s">
        <v>339</v>
      </c>
      <c r="L188" s="27" t="s">
        <v>345</v>
      </c>
      <c r="M188" s="27" t="s">
        <v>341</v>
      </c>
      <c r="N188" s="31" t="n">
        <v>4</v>
      </c>
    </row>
    <row r="189" customFormat="false" ht="19.5" hidden="false" customHeight="true" outlineLevel="0" collapsed="false">
      <c r="A189" s="18" t="s">
        <v>566</v>
      </c>
      <c r="B189" s="15" t="s">
        <v>542</v>
      </c>
      <c r="C189" s="17" t="s">
        <v>336</v>
      </c>
      <c r="D189" s="19" t="s">
        <v>567</v>
      </c>
      <c r="E189" s="17" t="s">
        <v>55</v>
      </c>
      <c r="F189" s="17" t="s">
        <v>567</v>
      </c>
      <c r="G189" s="17" t="s">
        <v>567</v>
      </c>
      <c r="H189" s="17" t="s">
        <v>567</v>
      </c>
      <c r="I189" s="17" t="s">
        <v>567</v>
      </c>
      <c r="J189" s="15" t="s">
        <v>349</v>
      </c>
      <c r="K189" s="15" t="s">
        <v>339</v>
      </c>
      <c r="L189" s="15" t="s">
        <v>345</v>
      </c>
      <c r="M189" s="15" t="s">
        <v>341</v>
      </c>
      <c r="N189" s="33" t="n">
        <v>2</v>
      </c>
    </row>
    <row r="190" customFormat="false" ht="19.5" hidden="false" customHeight="true" outlineLevel="0" collapsed="false">
      <c r="A190" s="40" t="s">
        <v>122</v>
      </c>
      <c r="B190" s="27" t="s">
        <v>421</v>
      </c>
      <c r="C190" s="30" t="s">
        <v>336</v>
      </c>
      <c r="D190" s="26" t="s">
        <v>123</v>
      </c>
      <c r="E190" s="30" t="s">
        <v>55</v>
      </c>
      <c r="F190" s="30" t="s">
        <v>123</v>
      </c>
      <c r="G190" s="30" t="s">
        <v>123</v>
      </c>
      <c r="H190" s="30" t="s">
        <v>123</v>
      </c>
      <c r="I190" s="30" t="s">
        <v>123</v>
      </c>
      <c r="J190" s="27" t="s">
        <v>349</v>
      </c>
      <c r="K190" s="27" t="s">
        <v>339</v>
      </c>
      <c r="L190" s="27" t="s">
        <v>345</v>
      </c>
      <c r="M190" s="27" t="s">
        <v>341</v>
      </c>
      <c r="N190" s="31" t="n">
        <v>2</v>
      </c>
    </row>
    <row r="191" customFormat="false" ht="19.5" hidden="false" customHeight="true" outlineLevel="0" collapsed="false">
      <c r="A191" s="18" t="s">
        <v>568</v>
      </c>
      <c r="B191" s="15" t="s">
        <v>457</v>
      </c>
      <c r="C191" s="17" t="s">
        <v>336</v>
      </c>
      <c r="D191" s="19" t="s">
        <v>367</v>
      </c>
      <c r="E191" s="17" t="s">
        <v>367</v>
      </c>
      <c r="F191" s="17" t="s">
        <v>367</v>
      </c>
      <c r="G191" s="17" t="s">
        <v>367</v>
      </c>
      <c r="H191" s="17" t="s">
        <v>367</v>
      </c>
      <c r="I191" s="17" t="s">
        <v>367</v>
      </c>
      <c r="J191" s="15" t="s">
        <v>368</v>
      </c>
      <c r="K191" s="15" t="s">
        <v>369</v>
      </c>
      <c r="L191" s="15" t="s">
        <v>370</v>
      </c>
      <c r="M191" s="15" t="s">
        <v>371</v>
      </c>
      <c r="N191" s="33" t="n">
        <v>5</v>
      </c>
    </row>
    <row r="192" customFormat="false" ht="19.5" hidden="false" customHeight="true" outlineLevel="0" collapsed="false">
      <c r="A192" s="40" t="s">
        <v>117</v>
      </c>
      <c r="B192" s="27" t="s">
        <v>569</v>
      </c>
      <c r="C192" s="30" t="s">
        <v>336</v>
      </c>
      <c r="D192" s="26" t="s">
        <v>367</v>
      </c>
      <c r="E192" s="30" t="s">
        <v>367</v>
      </c>
      <c r="F192" s="30" t="s">
        <v>367</v>
      </c>
      <c r="G192" s="30" t="s">
        <v>367</v>
      </c>
      <c r="H192" s="30" t="s">
        <v>367</v>
      </c>
      <c r="I192" s="30" t="s">
        <v>367</v>
      </c>
      <c r="J192" s="27" t="s">
        <v>368</v>
      </c>
      <c r="K192" s="27" t="s">
        <v>369</v>
      </c>
      <c r="L192" s="27" t="s">
        <v>370</v>
      </c>
      <c r="M192" s="27" t="s">
        <v>371</v>
      </c>
      <c r="N192" s="31" t="n">
        <v>12</v>
      </c>
    </row>
    <row r="193" customFormat="false" ht="19.5" hidden="false" customHeight="true" outlineLevel="0" collapsed="false">
      <c r="A193" s="18" t="s">
        <v>570</v>
      </c>
      <c r="B193" s="15" t="s">
        <v>569</v>
      </c>
      <c r="C193" s="17" t="s">
        <v>336</v>
      </c>
      <c r="D193" s="19" t="s">
        <v>367</v>
      </c>
      <c r="E193" s="17" t="s">
        <v>367</v>
      </c>
      <c r="F193" s="17" t="s">
        <v>367</v>
      </c>
      <c r="G193" s="17" t="s">
        <v>367</v>
      </c>
      <c r="H193" s="17" t="s">
        <v>367</v>
      </c>
      <c r="I193" s="17" t="s">
        <v>367</v>
      </c>
      <c r="J193" s="15" t="s">
        <v>368</v>
      </c>
      <c r="K193" s="15" t="s">
        <v>369</v>
      </c>
      <c r="L193" s="15" t="s">
        <v>370</v>
      </c>
      <c r="M193" s="15" t="s">
        <v>371</v>
      </c>
      <c r="N193" s="33" t="n">
        <v>2</v>
      </c>
    </row>
    <row r="194" customFormat="false" ht="19.5" hidden="false" customHeight="true" outlineLevel="0" collapsed="false">
      <c r="A194" s="40" t="s">
        <v>571</v>
      </c>
      <c r="B194" s="27" t="s">
        <v>457</v>
      </c>
      <c r="C194" s="30" t="s">
        <v>336</v>
      </c>
      <c r="D194" s="26" t="s">
        <v>367</v>
      </c>
      <c r="E194" s="30" t="s">
        <v>367</v>
      </c>
      <c r="F194" s="30" t="s">
        <v>367</v>
      </c>
      <c r="G194" s="30" t="s">
        <v>367</v>
      </c>
      <c r="H194" s="30" t="s">
        <v>367</v>
      </c>
      <c r="I194" s="30" t="s">
        <v>367</v>
      </c>
      <c r="J194" s="27" t="s">
        <v>368</v>
      </c>
      <c r="K194" s="27" t="s">
        <v>369</v>
      </c>
      <c r="L194" s="27" t="s">
        <v>370</v>
      </c>
      <c r="M194" s="27" t="s">
        <v>371</v>
      </c>
      <c r="N194" s="31" t="n">
        <v>2</v>
      </c>
    </row>
    <row r="195" customFormat="false" ht="19.5" hidden="false" customHeight="true" outlineLevel="0" collapsed="false">
      <c r="A195" s="18" t="s">
        <v>572</v>
      </c>
      <c r="B195" s="15" t="s">
        <v>457</v>
      </c>
      <c r="C195" s="17" t="s">
        <v>336</v>
      </c>
      <c r="D195" s="19" t="s">
        <v>367</v>
      </c>
      <c r="E195" s="17" t="s">
        <v>367</v>
      </c>
      <c r="F195" s="17" t="s">
        <v>367</v>
      </c>
      <c r="G195" s="17" t="s">
        <v>367</v>
      </c>
      <c r="H195" s="17" t="s">
        <v>367</v>
      </c>
      <c r="I195" s="17" t="s">
        <v>367</v>
      </c>
      <c r="J195" s="15" t="s">
        <v>368</v>
      </c>
      <c r="K195" s="15" t="s">
        <v>369</v>
      </c>
      <c r="L195" s="15" t="s">
        <v>370</v>
      </c>
      <c r="M195" s="15" t="s">
        <v>371</v>
      </c>
      <c r="N195" s="33" t="n">
        <v>1</v>
      </c>
    </row>
    <row r="196" customFormat="false" ht="19.5" hidden="false" customHeight="true" outlineLevel="0" collapsed="false">
      <c r="A196" s="40" t="s">
        <v>573</v>
      </c>
      <c r="B196" s="27" t="s">
        <v>457</v>
      </c>
      <c r="C196" s="30" t="s">
        <v>336</v>
      </c>
      <c r="D196" s="26" t="s">
        <v>367</v>
      </c>
      <c r="E196" s="30" t="s">
        <v>367</v>
      </c>
      <c r="F196" s="30" t="s">
        <v>367</v>
      </c>
      <c r="G196" s="30" t="s">
        <v>367</v>
      </c>
      <c r="H196" s="30" t="s">
        <v>367</v>
      </c>
      <c r="I196" s="30" t="s">
        <v>367</v>
      </c>
      <c r="J196" s="27" t="s">
        <v>368</v>
      </c>
      <c r="K196" s="27" t="s">
        <v>369</v>
      </c>
      <c r="L196" s="27" t="s">
        <v>370</v>
      </c>
      <c r="M196" s="27" t="s">
        <v>371</v>
      </c>
      <c r="N196" s="31" t="n">
        <v>1</v>
      </c>
    </row>
    <row r="197" customFormat="false" ht="19.5" hidden="false" customHeight="true" outlineLevel="0" collapsed="false">
      <c r="A197" s="18" t="s">
        <v>574</v>
      </c>
      <c r="B197" s="15" t="s">
        <v>413</v>
      </c>
      <c r="C197" s="17" t="s">
        <v>336</v>
      </c>
      <c r="D197" s="19" t="s">
        <v>111</v>
      </c>
      <c r="E197" s="17" t="s">
        <v>111</v>
      </c>
      <c r="F197" s="17" t="s">
        <v>111</v>
      </c>
      <c r="G197" s="17" t="s">
        <v>111</v>
      </c>
      <c r="H197" s="17" t="s">
        <v>111</v>
      </c>
      <c r="I197" s="17" t="s">
        <v>111</v>
      </c>
      <c r="J197" s="15" t="s">
        <v>352</v>
      </c>
      <c r="K197" s="15" t="s">
        <v>344</v>
      </c>
      <c r="L197" s="15" t="s">
        <v>340</v>
      </c>
      <c r="M197" s="15" t="s">
        <v>341</v>
      </c>
      <c r="N197" s="33" t="n">
        <v>2</v>
      </c>
    </row>
    <row r="198" customFormat="false" ht="19.5" hidden="false" customHeight="true" outlineLevel="0" collapsed="false">
      <c r="A198" s="40" t="s">
        <v>575</v>
      </c>
      <c r="B198" s="27" t="s">
        <v>397</v>
      </c>
      <c r="C198" s="30" t="s">
        <v>336</v>
      </c>
      <c r="D198" s="26" t="s">
        <v>576</v>
      </c>
      <c r="E198" s="30" t="s">
        <v>576</v>
      </c>
      <c r="F198" s="30" t="s">
        <v>576</v>
      </c>
      <c r="G198" s="30" t="s">
        <v>576</v>
      </c>
      <c r="H198" s="30" t="s">
        <v>576</v>
      </c>
      <c r="I198" s="30" t="s">
        <v>576</v>
      </c>
      <c r="J198" s="27" t="s">
        <v>368</v>
      </c>
      <c r="K198" s="27" t="s">
        <v>339</v>
      </c>
      <c r="L198" s="27" t="s">
        <v>340</v>
      </c>
      <c r="M198" s="27" t="s">
        <v>341</v>
      </c>
      <c r="N198" s="31" t="n">
        <v>1</v>
      </c>
    </row>
    <row r="199" customFormat="false" ht="19.5" hidden="false" customHeight="true" outlineLevel="0" collapsed="false">
      <c r="A199" s="18" t="s">
        <v>577</v>
      </c>
      <c r="B199" s="15" t="s">
        <v>560</v>
      </c>
      <c r="C199" s="17" t="s">
        <v>336</v>
      </c>
      <c r="D199" s="19" t="s">
        <v>578</v>
      </c>
      <c r="E199" s="17" t="s">
        <v>55</v>
      </c>
      <c r="F199" s="17" t="s">
        <v>578</v>
      </c>
      <c r="G199" s="17" t="s">
        <v>578</v>
      </c>
      <c r="H199" s="17" t="s">
        <v>578</v>
      </c>
      <c r="I199" s="17" t="s">
        <v>578</v>
      </c>
      <c r="J199" s="15" t="s">
        <v>349</v>
      </c>
      <c r="K199" s="15" t="s">
        <v>339</v>
      </c>
      <c r="L199" s="15" t="s">
        <v>345</v>
      </c>
      <c r="M199" s="15" t="s">
        <v>341</v>
      </c>
      <c r="N199" s="33" t="n">
        <v>2</v>
      </c>
    </row>
    <row r="200" customFormat="false" ht="19.5" hidden="false" customHeight="true" outlineLevel="0" collapsed="false">
      <c r="A200" s="40" t="s">
        <v>579</v>
      </c>
      <c r="B200" s="27" t="s">
        <v>342</v>
      </c>
      <c r="C200" s="30" t="s">
        <v>336</v>
      </c>
      <c r="D200" s="26" t="s">
        <v>111</v>
      </c>
      <c r="E200" s="30" t="s">
        <v>111</v>
      </c>
      <c r="F200" s="30" t="s">
        <v>111</v>
      </c>
      <c r="G200" s="30" t="s">
        <v>111</v>
      </c>
      <c r="H200" s="30" t="s">
        <v>111</v>
      </c>
      <c r="I200" s="30" t="s">
        <v>111</v>
      </c>
      <c r="J200" s="27" t="s">
        <v>343</v>
      </c>
      <c r="K200" s="27" t="s">
        <v>344</v>
      </c>
      <c r="L200" s="27" t="s">
        <v>345</v>
      </c>
      <c r="M200" s="27" t="s">
        <v>341</v>
      </c>
      <c r="N200" s="31" t="n">
        <v>1</v>
      </c>
    </row>
    <row r="201" customFormat="false" ht="19.5" hidden="false" customHeight="true" outlineLevel="0" collapsed="false">
      <c r="A201" s="18" t="s">
        <v>580</v>
      </c>
      <c r="B201" s="15" t="s">
        <v>342</v>
      </c>
      <c r="C201" s="17" t="s">
        <v>336</v>
      </c>
      <c r="D201" s="19" t="s">
        <v>41</v>
      </c>
      <c r="E201" s="17" t="s">
        <v>41</v>
      </c>
      <c r="F201" s="17" t="s">
        <v>41</v>
      </c>
      <c r="G201" s="17" t="s">
        <v>41</v>
      </c>
      <c r="H201" s="17" t="s">
        <v>41</v>
      </c>
      <c r="I201" s="17" t="s">
        <v>41</v>
      </c>
      <c r="J201" s="15" t="s">
        <v>343</v>
      </c>
      <c r="K201" s="15" t="s">
        <v>344</v>
      </c>
      <c r="L201" s="15" t="s">
        <v>345</v>
      </c>
      <c r="M201" s="15" t="s">
        <v>341</v>
      </c>
      <c r="N201" s="33" t="n">
        <v>4</v>
      </c>
    </row>
    <row r="202" customFormat="false" ht="19.5" hidden="false" customHeight="true" outlineLevel="0" collapsed="false">
      <c r="A202" s="40" t="s">
        <v>581</v>
      </c>
      <c r="B202" s="27" t="s">
        <v>379</v>
      </c>
      <c r="C202" s="30" t="s">
        <v>336</v>
      </c>
      <c r="D202" s="26" t="s">
        <v>530</v>
      </c>
      <c r="E202" s="30" t="s">
        <v>530</v>
      </c>
      <c r="F202" s="30" t="s">
        <v>530</v>
      </c>
      <c r="G202" s="30" t="s">
        <v>530</v>
      </c>
      <c r="H202" s="30" t="s">
        <v>530</v>
      </c>
      <c r="I202" s="30" t="s">
        <v>530</v>
      </c>
      <c r="J202" s="27" t="s">
        <v>343</v>
      </c>
      <c r="K202" s="27" t="s">
        <v>344</v>
      </c>
      <c r="L202" s="27" t="s">
        <v>345</v>
      </c>
      <c r="M202" s="27" t="s">
        <v>341</v>
      </c>
      <c r="N202" s="31" t="n">
        <v>1</v>
      </c>
    </row>
    <row r="203" customFormat="false" ht="19.5" hidden="false" customHeight="true" outlineLevel="0" collapsed="false">
      <c r="A203" s="18" t="s">
        <v>582</v>
      </c>
      <c r="B203" s="15" t="s">
        <v>379</v>
      </c>
      <c r="C203" s="17" t="s">
        <v>336</v>
      </c>
      <c r="D203" s="19" t="s">
        <v>140</v>
      </c>
      <c r="E203" s="17" t="s">
        <v>140</v>
      </c>
      <c r="F203" s="17" t="s">
        <v>140</v>
      </c>
      <c r="G203" s="17" t="s">
        <v>140</v>
      </c>
      <c r="H203" s="17" t="s">
        <v>140</v>
      </c>
      <c r="I203" s="17" t="s">
        <v>140</v>
      </c>
      <c r="J203" s="15" t="s">
        <v>343</v>
      </c>
      <c r="K203" s="15" t="s">
        <v>344</v>
      </c>
      <c r="L203" s="15" t="s">
        <v>345</v>
      </c>
      <c r="M203" s="15" t="s">
        <v>341</v>
      </c>
      <c r="N203" s="33" t="n">
        <v>1</v>
      </c>
    </row>
    <row r="204" customFormat="false" ht="19.5" hidden="false" customHeight="true" outlineLevel="0" collapsed="false">
      <c r="A204" s="40" t="s">
        <v>152</v>
      </c>
      <c r="B204" s="27" t="s">
        <v>379</v>
      </c>
      <c r="C204" s="30" t="s">
        <v>336</v>
      </c>
      <c r="D204" s="26" t="s">
        <v>140</v>
      </c>
      <c r="E204" s="30" t="s">
        <v>140</v>
      </c>
      <c r="F204" s="30" t="s">
        <v>140</v>
      </c>
      <c r="G204" s="30" t="s">
        <v>140</v>
      </c>
      <c r="H204" s="30" t="s">
        <v>140</v>
      </c>
      <c r="I204" s="30" t="s">
        <v>140</v>
      </c>
      <c r="J204" s="27" t="s">
        <v>343</v>
      </c>
      <c r="K204" s="27" t="s">
        <v>344</v>
      </c>
      <c r="L204" s="27" t="s">
        <v>345</v>
      </c>
      <c r="M204" s="27" t="s">
        <v>341</v>
      </c>
      <c r="N204" s="31" t="n">
        <v>3</v>
      </c>
    </row>
    <row r="205" customFormat="false" ht="19.5" hidden="false" customHeight="true" outlineLevel="0" collapsed="false">
      <c r="A205" s="18" t="s">
        <v>583</v>
      </c>
      <c r="B205" s="15" t="s">
        <v>584</v>
      </c>
      <c r="C205" s="17" t="s">
        <v>336</v>
      </c>
      <c r="D205" s="19" t="s">
        <v>82</v>
      </c>
      <c r="E205" s="17" t="s">
        <v>82</v>
      </c>
      <c r="F205" s="17" t="s">
        <v>82</v>
      </c>
      <c r="G205" s="17" t="s">
        <v>82</v>
      </c>
      <c r="H205" s="17" t="s">
        <v>82</v>
      </c>
      <c r="I205" s="17" t="s">
        <v>82</v>
      </c>
      <c r="J205" s="15" t="s">
        <v>343</v>
      </c>
      <c r="K205" s="15" t="s">
        <v>344</v>
      </c>
      <c r="L205" s="15" t="s">
        <v>345</v>
      </c>
      <c r="M205" s="15" t="s">
        <v>341</v>
      </c>
      <c r="N205" s="33" t="n">
        <v>1</v>
      </c>
    </row>
    <row r="206" customFormat="false" ht="19.5" hidden="false" customHeight="true" outlineLevel="0" collapsed="false">
      <c r="A206" s="40" t="s">
        <v>585</v>
      </c>
      <c r="B206" s="27" t="s">
        <v>379</v>
      </c>
      <c r="C206" s="30" t="s">
        <v>336</v>
      </c>
      <c r="D206" s="26" t="s">
        <v>140</v>
      </c>
      <c r="E206" s="30" t="s">
        <v>140</v>
      </c>
      <c r="F206" s="30" t="s">
        <v>140</v>
      </c>
      <c r="G206" s="30" t="s">
        <v>140</v>
      </c>
      <c r="H206" s="30" t="s">
        <v>140</v>
      </c>
      <c r="I206" s="30" t="s">
        <v>140</v>
      </c>
      <c r="J206" s="27" t="s">
        <v>343</v>
      </c>
      <c r="K206" s="27" t="s">
        <v>344</v>
      </c>
      <c r="L206" s="27" t="s">
        <v>345</v>
      </c>
      <c r="M206" s="27" t="s">
        <v>341</v>
      </c>
      <c r="N206" s="31" t="n">
        <v>2</v>
      </c>
    </row>
    <row r="207" customFormat="false" ht="19.5" hidden="false" customHeight="true" outlineLevel="0" collapsed="false">
      <c r="A207" s="18" t="s">
        <v>114</v>
      </c>
      <c r="B207" s="15" t="s">
        <v>363</v>
      </c>
      <c r="C207" s="17" t="s">
        <v>336</v>
      </c>
      <c r="D207" s="19" t="s">
        <v>82</v>
      </c>
      <c r="E207" s="17" t="s">
        <v>82</v>
      </c>
      <c r="F207" s="17" t="s">
        <v>82</v>
      </c>
      <c r="G207" s="17" t="s">
        <v>82</v>
      </c>
      <c r="H207" s="17" t="s">
        <v>82</v>
      </c>
      <c r="I207" s="17" t="s">
        <v>82</v>
      </c>
      <c r="J207" s="15" t="s">
        <v>352</v>
      </c>
      <c r="K207" s="15" t="s">
        <v>344</v>
      </c>
      <c r="L207" s="15" t="s">
        <v>340</v>
      </c>
      <c r="M207" s="15" t="s">
        <v>341</v>
      </c>
      <c r="N207" s="33" t="n">
        <v>12</v>
      </c>
    </row>
    <row r="208" customFormat="false" ht="19.5" hidden="false" customHeight="true" outlineLevel="0" collapsed="false">
      <c r="A208" s="40" t="s">
        <v>586</v>
      </c>
      <c r="B208" s="27" t="s">
        <v>363</v>
      </c>
      <c r="C208" s="30" t="s">
        <v>336</v>
      </c>
      <c r="D208" s="26" t="s">
        <v>82</v>
      </c>
      <c r="E208" s="30" t="s">
        <v>82</v>
      </c>
      <c r="F208" s="30" t="s">
        <v>82</v>
      </c>
      <c r="G208" s="30" t="s">
        <v>82</v>
      </c>
      <c r="H208" s="30" t="s">
        <v>82</v>
      </c>
      <c r="I208" s="30" t="s">
        <v>82</v>
      </c>
      <c r="J208" s="27" t="s">
        <v>352</v>
      </c>
      <c r="K208" s="27" t="s">
        <v>353</v>
      </c>
      <c r="L208" s="27" t="s">
        <v>340</v>
      </c>
      <c r="M208" s="27" t="s">
        <v>341</v>
      </c>
      <c r="N208" s="31" t="n">
        <v>1</v>
      </c>
    </row>
    <row r="209" customFormat="false" ht="19.5" hidden="false" customHeight="true" outlineLevel="0" collapsed="false">
      <c r="A209" s="18" t="s">
        <v>587</v>
      </c>
      <c r="B209" s="15" t="s">
        <v>356</v>
      </c>
      <c r="C209" s="17" t="s">
        <v>336</v>
      </c>
      <c r="D209" s="19" t="s">
        <v>82</v>
      </c>
      <c r="E209" s="17" t="s">
        <v>82</v>
      </c>
      <c r="F209" s="17" t="s">
        <v>82</v>
      </c>
      <c r="G209" s="17" t="s">
        <v>82</v>
      </c>
      <c r="H209" s="17" t="s">
        <v>82</v>
      </c>
      <c r="I209" s="17" t="s">
        <v>82</v>
      </c>
      <c r="J209" s="15" t="s">
        <v>343</v>
      </c>
      <c r="K209" s="15" t="s">
        <v>344</v>
      </c>
      <c r="L209" s="15" t="s">
        <v>345</v>
      </c>
      <c r="M209" s="15" t="s">
        <v>341</v>
      </c>
      <c r="N209" s="33" t="n">
        <v>1</v>
      </c>
    </row>
    <row r="210" customFormat="false" ht="19.5" hidden="false" customHeight="true" outlineLevel="0" collapsed="false">
      <c r="A210" s="40" t="s">
        <v>588</v>
      </c>
      <c r="B210" s="27" t="s">
        <v>421</v>
      </c>
      <c r="C210" s="30" t="s">
        <v>336</v>
      </c>
      <c r="D210" s="26" t="s">
        <v>123</v>
      </c>
      <c r="E210" s="30" t="s">
        <v>55</v>
      </c>
      <c r="F210" s="30" t="s">
        <v>123</v>
      </c>
      <c r="G210" s="30" t="s">
        <v>123</v>
      </c>
      <c r="H210" s="30" t="s">
        <v>123</v>
      </c>
      <c r="I210" s="30" t="s">
        <v>123</v>
      </c>
      <c r="J210" s="27" t="s">
        <v>349</v>
      </c>
      <c r="K210" s="27" t="s">
        <v>339</v>
      </c>
      <c r="L210" s="27" t="s">
        <v>345</v>
      </c>
      <c r="M210" s="27" t="s">
        <v>341</v>
      </c>
      <c r="N210" s="31" t="n">
        <v>2</v>
      </c>
    </row>
    <row r="211" customFormat="false" ht="19.5" hidden="false" customHeight="true" outlineLevel="0" collapsed="false">
      <c r="A211" s="18" t="s">
        <v>589</v>
      </c>
      <c r="B211" s="15" t="s">
        <v>402</v>
      </c>
      <c r="C211" s="17" t="s">
        <v>336</v>
      </c>
      <c r="D211" s="19" t="s">
        <v>140</v>
      </c>
      <c r="E211" s="17" t="s">
        <v>140</v>
      </c>
      <c r="F211" s="17" t="s">
        <v>140</v>
      </c>
      <c r="G211" s="17" t="s">
        <v>140</v>
      </c>
      <c r="H211" s="17" t="s">
        <v>140</v>
      </c>
      <c r="I211" s="17" t="s">
        <v>140</v>
      </c>
      <c r="J211" s="15" t="s">
        <v>352</v>
      </c>
      <c r="K211" s="15" t="s">
        <v>353</v>
      </c>
      <c r="L211" s="15" t="s">
        <v>340</v>
      </c>
      <c r="M211" s="15" t="s">
        <v>341</v>
      </c>
      <c r="N211" s="33" t="n">
        <v>3</v>
      </c>
    </row>
    <row r="212" customFormat="false" ht="19.5" hidden="false" customHeight="true" outlineLevel="0" collapsed="false">
      <c r="A212" s="40" t="s">
        <v>590</v>
      </c>
      <c r="B212" s="27" t="s">
        <v>402</v>
      </c>
      <c r="C212" s="30" t="s">
        <v>336</v>
      </c>
      <c r="D212" s="26" t="s">
        <v>140</v>
      </c>
      <c r="E212" s="30" t="s">
        <v>140</v>
      </c>
      <c r="F212" s="30" t="s">
        <v>140</v>
      </c>
      <c r="G212" s="30" t="s">
        <v>140</v>
      </c>
      <c r="H212" s="30" t="s">
        <v>140</v>
      </c>
      <c r="I212" s="30" t="s">
        <v>140</v>
      </c>
      <c r="J212" s="27" t="s">
        <v>352</v>
      </c>
      <c r="K212" s="27" t="s">
        <v>344</v>
      </c>
      <c r="L212" s="27" t="s">
        <v>340</v>
      </c>
      <c r="M212" s="27" t="s">
        <v>341</v>
      </c>
      <c r="N212" s="31" t="n">
        <v>2</v>
      </c>
    </row>
    <row r="213" customFormat="false" ht="19.5" hidden="false" customHeight="true" outlineLevel="0" collapsed="false">
      <c r="A213" s="18" t="s">
        <v>591</v>
      </c>
      <c r="B213" s="15" t="s">
        <v>390</v>
      </c>
      <c r="C213" s="17" t="s">
        <v>336</v>
      </c>
      <c r="D213" s="19" t="s">
        <v>106</v>
      </c>
      <c r="E213" s="17" t="s">
        <v>106</v>
      </c>
      <c r="F213" s="17" t="s">
        <v>106</v>
      </c>
      <c r="G213" s="17" t="s">
        <v>106</v>
      </c>
      <c r="H213" s="17" t="s">
        <v>106</v>
      </c>
      <c r="I213" s="17" t="s">
        <v>106</v>
      </c>
      <c r="J213" s="15" t="s">
        <v>377</v>
      </c>
      <c r="K213" s="15" t="s">
        <v>339</v>
      </c>
      <c r="L213" s="15" t="s">
        <v>370</v>
      </c>
      <c r="M213" s="15" t="s">
        <v>371</v>
      </c>
      <c r="N213" s="33" t="n">
        <v>1</v>
      </c>
    </row>
    <row r="214" customFormat="false" ht="19.5" hidden="false" customHeight="true" outlineLevel="0" collapsed="false">
      <c r="A214" s="40" t="s">
        <v>592</v>
      </c>
      <c r="B214" s="27" t="s">
        <v>342</v>
      </c>
      <c r="C214" s="30" t="s">
        <v>336</v>
      </c>
      <c r="D214" s="26" t="s">
        <v>111</v>
      </c>
      <c r="E214" s="30" t="s">
        <v>111</v>
      </c>
      <c r="F214" s="30" t="s">
        <v>111</v>
      </c>
      <c r="G214" s="30" t="s">
        <v>111</v>
      </c>
      <c r="H214" s="30" t="s">
        <v>111</v>
      </c>
      <c r="I214" s="30" t="s">
        <v>111</v>
      </c>
      <c r="J214" s="27" t="s">
        <v>343</v>
      </c>
      <c r="K214" s="27" t="s">
        <v>344</v>
      </c>
      <c r="L214" s="27" t="s">
        <v>345</v>
      </c>
      <c r="M214" s="27" t="s">
        <v>341</v>
      </c>
      <c r="N214" s="31" t="n">
        <v>1</v>
      </c>
    </row>
    <row r="215" customFormat="false" ht="19.5" hidden="false" customHeight="true" outlineLevel="0" collapsed="false">
      <c r="A215" s="18" t="s">
        <v>593</v>
      </c>
      <c r="B215" s="15" t="s">
        <v>376</v>
      </c>
      <c r="C215" s="17" t="s">
        <v>336</v>
      </c>
      <c r="D215" s="19" t="s">
        <v>106</v>
      </c>
      <c r="E215" s="17" t="s">
        <v>106</v>
      </c>
      <c r="F215" s="17" t="s">
        <v>106</v>
      </c>
      <c r="G215" s="17" t="s">
        <v>106</v>
      </c>
      <c r="H215" s="17" t="s">
        <v>106</v>
      </c>
      <c r="I215" s="17" t="s">
        <v>106</v>
      </c>
      <c r="J215" s="15" t="s">
        <v>377</v>
      </c>
      <c r="K215" s="15" t="s">
        <v>339</v>
      </c>
      <c r="L215" s="15" t="s">
        <v>345</v>
      </c>
      <c r="M215" s="15" t="s">
        <v>341</v>
      </c>
      <c r="N215" s="33" t="n">
        <v>1</v>
      </c>
    </row>
    <row r="216" customFormat="false" ht="19.5" hidden="false" customHeight="true" outlineLevel="0" collapsed="false">
      <c r="A216" s="40" t="s">
        <v>594</v>
      </c>
      <c r="B216" s="27" t="s">
        <v>382</v>
      </c>
      <c r="C216" s="30" t="s">
        <v>336</v>
      </c>
      <c r="D216" s="26" t="s">
        <v>159</v>
      </c>
      <c r="E216" s="30" t="s">
        <v>55</v>
      </c>
      <c r="F216" s="30" t="s">
        <v>159</v>
      </c>
      <c r="G216" s="30" t="s">
        <v>159</v>
      </c>
      <c r="H216" s="30" t="s">
        <v>159</v>
      </c>
      <c r="I216" s="30" t="s">
        <v>159</v>
      </c>
      <c r="J216" s="27" t="s">
        <v>349</v>
      </c>
      <c r="K216" s="27" t="s">
        <v>339</v>
      </c>
      <c r="L216" s="27" t="s">
        <v>345</v>
      </c>
      <c r="M216" s="27" t="s">
        <v>341</v>
      </c>
      <c r="N216" s="31" t="n">
        <v>2</v>
      </c>
    </row>
    <row r="217" customFormat="false" ht="19.5" hidden="false" customHeight="true" outlineLevel="0" collapsed="false">
      <c r="A217" s="18" t="s">
        <v>595</v>
      </c>
      <c r="B217" s="15" t="s">
        <v>347</v>
      </c>
      <c r="C217" s="17" t="s">
        <v>336</v>
      </c>
      <c r="D217" s="19" t="s">
        <v>596</v>
      </c>
      <c r="E217" s="17" t="s">
        <v>55</v>
      </c>
      <c r="F217" s="17" t="s">
        <v>596</v>
      </c>
      <c r="G217" s="17" t="s">
        <v>596</v>
      </c>
      <c r="H217" s="17" t="s">
        <v>596</v>
      </c>
      <c r="I217" s="17" t="s">
        <v>596</v>
      </c>
      <c r="J217" s="15" t="s">
        <v>349</v>
      </c>
      <c r="K217" s="15" t="s">
        <v>339</v>
      </c>
      <c r="L217" s="15" t="s">
        <v>345</v>
      </c>
      <c r="M217" s="15" t="s">
        <v>341</v>
      </c>
      <c r="N217" s="33" t="n">
        <v>2</v>
      </c>
    </row>
    <row r="218" customFormat="false" ht="19.5" hidden="false" customHeight="true" outlineLevel="0" collapsed="false">
      <c r="A218" s="40" t="s">
        <v>597</v>
      </c>
      <c r="B218" s="27" t="s">
        <v>413</v>
      </c>
      <c r="C218" s="30" t="s">
        <v>336</v>
      </c>
      <c r="D218" s="26" t="s">
        <v>111</v>
      </c>
      <c r="E218" s="30" t="s">
        <v>111</v>
      </c>
      <c r="F218" s="30" t="s">
        <v>111</v>
      </c>
      <c r="G218" s="30" t="s">
        <v>111</v>
      </c>
      <c r="H218" s="30" t="s">
        <v>111</v>
      </c>
      <c r="I218" s="30" t="s">
        <v>111</v>
      </c>
      <c r="J218" s="27" t="s">
        <v>352</v>
      </c>
      <c r="K218" s="27" t="s">
        <v>344</v>
      </c>
      <c r="L218" s="27" t="s">
        <v>340</v>
      </c>
      <c r="M218" s="27" t="s">
        <v>341</v>
      </c>
      <c r="N218" s="31" t="n">
        <v>1</v>
      </c>
    </row>
    <row r="219" customFormat="false" ht="19.5" hidden="false" customHeight="true" outlineLevel="0" collapsed="false">
      <c r="A219" s="18" t="s">
        <v>598</v>
      </c>
      <c r="B219" s="15" t="s">
        <v>413</v>
      </c>
      <c r="C219" s="17" t="s">
        <v>336</v>
      </c>
      <c r="D219" s="19" t="s">
        <v>111</v>
      </c>
      <c r="E219" s="17" t="s">
        <v>111</v>
      </c>
      <c r="F219" s="17" t="s">
        <v>111</v>
      </c>
      <c r="G219" s="17" t="s">
        <v>111</v>
      </c>
      <c r="H219" s="17" t="s">
        <v>111</v>
      </c>
      <c r="I219" s="17" t="s">
        <v>111</v>
      </c>
      <c r="J219" s="15" t="s">
        <v>352</v>
      </c>
      <c r="K219" s="15" t="s">
        <v>344</v>
      </c>
      <c r="L219" s="15" t="s">
        <v>340</v>
      </c>
      <c r="M219" s="15" t="s">
        <v>341</v>
      </c>
      <c r="N219" s="33" t="n">
        <v>1</v>
      </c>
    </row>
    <row r="220" customFormat="false" ht="19.5" hidden="false" customHeight="true" outlineLevel="0" collapsed="false">
      <c r="A220" s="40" t="s">
        <v>599</v>
      </c>
      <c r="B220" s="27" t="s">
        <v>342</v>
      </c>
      <c r="C220" s="30" t="s">
        <v>336</v>
      </c>
      <c r="D220" s="26" t="s">
        <v>111</v>
      </c>
      <c r="E220" s="30" t="s">
        <v>111</v>
      </c>
      <c r="F220" s="30" t="s">
        <v>111</v>
      </c>
      <c r="G220" s="30" t="s">
        <v>111</v>
      </c>
      <c r="H220" s="30" t="s">
        <v>111</v>
      </c>
      <c r="I220" s="30" t="s">
        <v>111</v>
      </c>
      <c r="J220" s="27" t="s">
        <v>343</v>
      </c>
      <c r="K220" s="27" t="s">
        <v>344</v>
      </c>
      <c r="L220" s="27" t="s">
        <v>345</v>
      </c>
      <c r="M220" s="27" t="s">
        <v>341</v>
      </c>
      <c r="N220" s="31" t="n">
        <v>11</v>
      </c>
    </row>
    <row r="221" customFormat="false" ht="19.5" hidden="false" customHeight="true" outlineLevel="0" collapsed="false">
      <c r="A221" s="18" t="s">
        <v>600</v>
      </c>
      <c r="B221" s="15" t="s">
        <v>342</v>
      </c>
      <c r="C221" s="17" t="s">
        <v>336</v>
      </c>
      <c r="D221" s="19" t="s">
        <v>479</v>
      </c>
      <c r="E221" s="17" t="s">
        <v>479</v>
      </c>
      <c r="F221" s="17" t="s">
        <v>479</v>
      </c>
      <c r="G221" s="17" t="s">
        <v>479</v>
      </c>
      <c r="H221" s="17" t="s">
        <v>479</v>
      </c>
      <c r="I221" s="17" t="s">
        <v>479</v>
      </c>
      <c r="J221" s="15" t="s">
        <v>343</v>
      </c>
      <c r="K221" s="15" t="s">
        <v>344</v>
      </c>
      <c r="L221" s="15" t="s">
        <v>345</v>
      </c>
      <c r="M221" s="15" t="s">
        <v>341</v>
      </c>
      <c r="N221" s="33" t="n">
        <v>1</v>
      </c>
    </row>
    <row r="222" customFormat="false" ht="19.5" hidden="false" customHeight="true" outlineLevel="0" collapsed="false">
      <c r="A222" s="40" t="s">
        <v>601</v>
      </c>
      <c r="B222" s="27" t="s">
        <v>342</v>
      </c>
      <c r="C222" s="30" t="s">
        <v>336</v>
      </c>
      <c r="D222" s="26" t="s">
        <v>111</v>
      </c>
      <c r="E222" s="30" t="s">
        <v>111</v>
      </c>
      <c r="F222" s="30" t="s">
        <v>111</v>
      </c>
      <c r="G222" s="30" t="s">
        <v>111</v>
      </c>
      <c r="H222" s="30" t="s">
        <v>111</v>
      </c>
      <c r="I222" s="30" t="s">
        <v>111</v>
      </c>
      <c r="J222" s="27" t="s">
        <v>343</v>
      </c>
      <c r="K222" s="27" t="s">
        <v>344</v>
      </c>
      <c r="L222" s="27" t="s">
        <v>345</v>
      </c>
      <c r="M222" s="27" t="s">
        <v>341</v>
      </c>
      <c r="N222" s="31" t="n">
        <v>2</v>
      </c>
    </row>
    <row r="223" customFormat="false" ht="19.5" hidden="false" customHeight="true" outlineLevel="0" collapsed="false">
      <c r="A223" s="18" t="s">
        <v>602</v>
      </c>
      <c r="B223" s="15" t="s">
        <v>347</v>
      </c>
      <c r="C223" s="17" t="s">
        <v>336</v>
      </c>
      <c r="D223" s="19" t="s">
        <v>348</v>
      </c>
      <c r="E223" s="17" t="s">
        <v>55</v>
      </c>
      <c r="F223" s="17" t="s">
        <v>348</v>
      </c>
      <c r="G223" s="17" t="s">
        <v>348</v>
      </c>
      <c r="H223" s="17" t="s">
        <v>348</v>
      </c>
      <c r="I223" s="17" t="s">
        <v>348</v>
      </c>
      <c r="J223" s="15" t="s">
        <v>349</v>
      </c>
      <c r="K223" s="15" t="s">
        <v>339</v>
      </c>
      <c r="L223" s="15" t="s">
        <v>345</v>
      </c>
      <c r="M223" s="15" t="s">
        <v>341</v>
      </c>
      <c r="N223" s="33" t="n">
        <v>1</v>
      </c>
    </row>
    <row r="224" customFormat="false" ht="19.5" hidden="false" customHeight="true" outlineLevel="0" collapsed="false">
      <c r="A224" s="40" t="s">
        <v>603</v>
      </c>
      <c r="B224" s="27" t="s">
        <v>379</v>
      </c>
      <c r="C224" s="30" t="s">
        <v>336</v>
      </c>
      <c r="D224" s="26" t="s">
        <v>140</v>
      </c>
      <c r="E224" s="30" t="s">
        <v>140</v>
      </c>
      <c r="F224" s="30" t="s">
        <v>140</v>
      </c>
      <c r="G224" s="30" t="s">
        <v>140</v>
      </c>
      <c r="H224" s="30" t="s">
        <v>140</v>
      </c>
      <c r="I224" s="30" t="s">
        <v>140</v>
      </c>
      <c r="J224" s="27" t="s">
        <v>343</v>
      </c>
      <c r="K224" s="27" t="s">
        <v>344</v>
      </c>
      <c r="L224" s="27" t="s">
        <v>345</v>
      </c>
      <c r="M224" s="27" t="s">
        <v>341</v>
      </c>
      <c r="N224" s="31" t="n">
        <v>1</v>
      </c>
    </row>
    <row r="225" customFormat="false" ht="19.5" hidden="false" customHeight="true" outlineLevel="0" collapsed="false">
      <c r="A225" s="18" t="s">
        <v>604</v>
      </c>
      <c r="B225" s="15" t="s">
        <v>402</v>
      </c>
      <c r="C225" s="17" t="s">
        <v>336</v>
      </c>
      <c r="D225" s="19" t="s">
        <v>140</v>
      </c>
      <c r="E225" s="17" t="s">
        <v>140</v>
      </c>
      <c r="F225" s="17" t="s">
        <v>140</v>
      </c>
      <c r="G225" s="17" t="s">
        <v>140</v>
      </c>
      <c r="H225" s="17" t="s">
        <v>140</v>
      </c>
      <c r="I225" s="17" t="s">
        <v>140</v>
      </c>
      <c r="J225" s="15" t="s">
        <v>352</v>
      </c>
      <c r="K225" s="15" t="s">
        <v>353</v>
      </c>
      <c r="L225" s="15" t="s">
        <v>340</v>
      </c>
      <c r="M225" s="15" t="s">
        <v>341</v>
      </c>
      <c r="N225" s="33" t="n">
        <v>5</v>
      </c>
    </row>
    <row r="226" customFormat="false" ht="19.5" hidden="false" customHeight="true" outlineLevel="0" collapsed="false">
      <c r="A226" s="40" t="s">
        <v>605</v>
      </c>
      <c r="B226" s="27" t="s">
        <v>379</v>
      </c>
      <c r="C226" s="30" t="s">
        <v>336</v>
      </c>
      <c r="D226" s="26" t="s">
        <v>140</v>
      </c>
      <c r="E226" s="30" t="s">
        <v>140</v>
      </c>
      <c r="F226" s="30" t="s">
        <v>140</v>
      </c>
      <c r="G226" s="30" t="s">
        <v>140</v>
      </c>
      <c r="H226" s="30" t="s">
        <v>140</v>
      </c>
      <c r="I226" s="30" t="s">
        <v>140</v>
      </c>
      <c r="J226" s="27" t="s">
        <v>343</v>
      </c>
      <c r="K226" s="27" t="s">
        <v>344</v>
      </c>
      <c r="L226" s="27" t="s">
        <v>345</v>
      </c>
      <c r="M226" s="27" t="s">
        <v>341</v>
      </c>
      <c r="N226" s="31" t="n">
        <v>2</v>
      </c>
    </row>
    <row r="227" customFormat="false" ht="19.5" hidden="false" customHeight="true" outlineLevel="0" collapsed="false">
      <c r="A227" s="18" t="s">
        <v>606</v>
      </c>
      <c r="B227" s="15" t="s">
        <v>356</v>
      </c>
      <c r="C227" s="17" t="s">
        <v>336</v>
      </c>
      <c r="D227" s="19" t="s">
        <v>82</v>
      </c>
      <c r="E227" s="17" t="s">
        <v>82</v>
      </c>
      <c r="F227" s="17" t="s">
        <v>82</v>
      </c>
      <c r="G227" s="17" t="s">
        <v>82</v>
      </c>
      <c r="H227" s="17" t="s">
        <v>82</v>
      </c>
      <c r="I227" s="17" t="s">
        <v>82</v>
      </c>
      <c r="J227" s="15" t="s">
        <v>343</v>
      </c>
      <c r="K227" s="15" t="s">
        <v>344</v>
      </c>
      <c r="L227" s="15" t="s">
        <v>345</v>
      </c>
      <c r="M227" s="15" t="s">
        <v>341</v>
      </c>
      <c r="N227" s="33" t="n">
        <v>2</v>
      </c>
    </row>
    <row r="228" customFormat="false" ht="19.5" hidden="false" customHeight="true" outlineLevel="0" collapsed="false">
      <c r="A228" s="40" t="s">
        <v>607</v>
      </c>
      <c r="B228" s="27" t="s">
        <v>342</v>
      </c>
      <c r="C228" s="30" t="s">
        <v>336</v>
      </c>
      <c r="D228" s="26" t="s">
        <v>111</v>
      </c>
      <c r="E228" s="30" t="s">
        <v>111</v>
      </c>
      <c r="F228" s="30" t="s">
        <v>111</v>
      </c>
      <c r="G228" s="30" t="s">
        <v>111</v>
      </c>
      <c r="H228" s="30" t="s">
        <v>111</v>
      </c>
      <c r="I228" s="30" t="s">
        <v>111</v>
      </c>
      <c r="J228" s="27" t="s">
        <v>343</v>
      </c>
      <c r="K228" s="27" t="s">
        <v>344</v>
      </c>
      <c r="L228" s="27" t="s">
        <v>345</v>
      </c>
      <c r="M228" s="27" t="s">
        <v>341</v>
      </c>
      <c r="N228" s="31" t="n">
        <v>1</v>
      </c>
    </row>
    <row r="229" customFormat="false" ht="19.5" hidden="false" customHeight="true" outlineLevel="0" collapsed="false">
      <c r="A229" s="18" t="s">
        <v>608</v>
      </c>
      <c r="B229" s="15" t="s">
        <v>342</v>
      </c>
      <c r="C229" s="17" t="s">
        <v>336</v>
      </c>
      <c r="D229" s="19" t="s">
        <v>111</v>
      </c>
      <c r="E229" s="17" t="s">
        <v>111</v>
      </c>
      <c r="F229" s="17" t="s">
        <v>111</v>
      </c>
      <c r="G229" s="17" t="s">
        <v>111</v>
      </c>
      <c r="H229" s="17" t="s">
        <v>111</v>
      </c>
      <c r="I229" s="17" t="s">
        <v>111</v>
      </c>
      <c r="J229" s="15" t="s">
        <v>343</v>
      </c>
      <c r="K229" s="15" t="s">
        <v>344</v>
      </c>
      <c r="L229" s="15" t="s">
        <v>345</v>
      </c>
      <c r="M229" s="15" t="s">
        <v>341</v>
      </c>
      <c r="N229" s="33" t="n">
        <v>4</v>
      </c>
    </row>
    <row r="230" customFormat="false" ht="19.5" hidden="false" customHeight="true" outlineLevel="0" collapsed="false">
      <c r="A230" s="40" t="s">
        <v>308</v>
      </c>
      <c r="B230" s="27" t="s">
        <v>356</v>
      </c>
      <c r="C230" s="30" t="s">
        <v>360</v>
      </c>
      <c r="D230" s="26" t="s">
        <v>51</v>
      </c>
      <c r="E230" s="30" t="s">
        <v>45</v>
      </c>
      <c r="F230" s="30" t="s">
        <v>48</v>
      </c>
      <c r="G230" s="30" t="s">
        <v>51</v>
      </c>
      <c r="H230" s="30" t="s">
        <v>51</v>
      </c>
      <c r="I230" s="30" t="s">
        <v>51</v>
      </c>
      <c r="J230" s="27" t="s">
        <v>361</v>
      </c>
      <c r="K230" s="27" t="s">
        <v>344</v>
      </c>
      <c r="L230" s="27" t="s">
        <v>345</v>
      </c>
      <c r="M230" s="27" t="s">
        <v>341</v>
      </c>
      <c r="N230" s="31" t="n">
        <v>1</v>
      </c>
    </row>
    <row r="231" customFormat="false" ht="19.5" hidden="false" customHeight="true" outlineLevel="0" collapsed="false">
      <c r="A231" s="18" t="s">
        <v>609</v>
      </c>
      <c r="B231" s="15" t="s">
        <v>356</v>
      </c>
      <c r="C231" s="17" t="s">
        <v>336</v>
      </c>
      <c r="D231" s="19" t="s">
        <v>82</v>
      </c>
      <c r="E231" s="17" t="s">
        <v>82</v>
      </c>
      <c r="F231" s="17" t="s">
        <v>82</v>
      </c>
      <c r="G231" s="17" t="s">
        <v>82</v>
      </c>
      <c r="H231" s="17" t="s">
        <v>82</v>
      </c>
      <c r="I231" s="17" t="s">
        <v>82</v>
      </c>
      <c r="J231" s="15" t="s">
        <v>343</v>
      </c>
      <c r="K231" s="15" t="s">
        <v>344</v>
      </c>
      <c r="L231" s="15" t="s">
        <v>345</v>
      </c>
      <c r="M231" s="15" t="s">
        <v>341</v>
      </c>
      <c r="N231" s="33" t="n">
        <v>1</v>
      </c>
    </row>
    <row r="232" customFormat="false" ht="19.5" hidden="false" customHeight="true" outlineLevel="0" collapsed="false">
      <c r="A232" s="40" t="s">
        <v>610</v>
      </c>
      <c r="B232" s="27" t="s">
        <v>356</v>
      </c>
      <c r="C232" s="30" t="s">
        <v>336</v>
      </c>
      <c r="D232" s="26" t="s">
        <v>82</v>
      </c>
      <c r="E232" s="30" t="s">
        <v>82</v>
      </c>
      <c r="F232" s="30" t="s">
        <v>82</v>
      </c>
      <c r="G232" s="30" t="s">
        <v>82</v>
      </c>
      <c r="H232" s="30" t="s">
        <v>82</v>
      </c>
      <c r="I232" s="30" t="s">
        <v>82</v>
      </c>
      <c r="J232" s="27" t="s">
        <v>343</v>
      </c>
      <c r="K232" s="27" t="s">
        <v>344</v>
      </c>
      <c r="L232" s="27" t="s">
        <v>345</v>
      </c>
      <c r="M232" s="27" t="s">
        <v>341</v>
      </c>
      <c r="N232" s="31" t="n">
        <v>1</v>
      </c>
    </row>
    <row r="233" customFormat="false" ht="19.5" hidden="false" customHeight="true" outlineLevel="0" collapsed="false">
      <c r="A233" s="18" t="s">
        <v>611</v>
      </c>
      <c r="B233" s="15" t="s">
        <v>379</v>
      </c>
      <c r="C233" s="17" t="s">
        <v>336</v>
      </c>
      <c r="D233" s="19" t="s">
        <v>140</v>
      </c>
      <c r="E233" s="17" t="s">
        <v>140</v>
      </c>
      <c r="F233" s="17" t="s">
        <v>140</v>
      </c>
      <c r="G233" s="17" t="s">
        <v>140</v>
      </c>
      <c r="H233" s="17" t="s">
        <v>140</v>
      </c>
      <c r="I233" s="17" t="s">
        <v>140</v>
      </c>
      <c r="J233" s="15" t="s">
        <v>343</v>
      </c>
      <c r="K233" s="15" t="s">
        <v>344</v>
      </c>
      <c r="L233" s="15" t="s">
        <v>345</v>
      </c>
      <c r="M233" s="15" t="s">
        <v>341</v>
      </c>
      <c r="N233" s="33" t="n">
        <v>8</v>
      </c>
    </row>
    <row r="234" customFormat="false" ht="19.5" hidden="false" customHeight="true" outlineLevel="0" collapsed="false">
      <c r="A234" s="40" t="s">
        <v>612</v>
      </c>
      <c r="B234" s="27" t="s">
        <v>379</v>
      </c>
      <c r="C234" s="30" t="s">
        <v>336</v>
      </c>
      <c r="D234" s="26" t="s">
        <v>140</v>
      </c>
      <c r="E234" s="30" t="s">
        <v>140</v>
      </c>
      <c r="F234" s="30" t="s">
        <v>140</v>
      </c>
      <c r="G234" s="30" t="s">
        <v>140</v>
      </c>
      <c r="H234" s="30" t="s">
        <v>140</v>
      </c>
      <c r="I234" s="30" t="s">
        <v>140</v>
      </c>
      <c r="J234" s="27" t="s">
        <v>343</v>
      </c>
      <c r="K234" s="27" t="s">
        <v>344</v>
      </c>
      <c r="L234" s="27" t="s">
        <v>345</v>
      </c>
      <c r="M234" s="27" t="s">
        <v>341</v>
      </c>
      <c r="N234" s="31" t="n">
        <v>5</v>
      </c>
    </row>
    <row r="235" customFormat="false" ht="19.5" hidden="false" customHeight="true" outlineLevel="0" collapsed="false">
      <c r="A235" s="18" t="s">
        <v>139</v>
      </c>
      <c r="B235" s="15" t="s">
        <v>389</v>
      </c>
      <c r="C235" s="17" t="s">
        <v>336</v>
      </c>
      <c r="D235" s="19" t="s">
        <v>140</v>
      </c>
      <c r="E235" s="17" t="s">
        <v>140</v>
      </c>
      <c r="F235" s="17" t="s">
        <v>140</v>
      </c>
      <c r="G235" s="17" t="s">
        <v>140</v>
      </c>
      <c r="H235" s="17" t="s">
        <v>140</v>
      </c>
      <c r="I235" s="17" t="s">
        <v>140</v>
      </c>
      <c r="J235" s="15" t="s">
        <v>343</v>
      </c>
      <c r="K235" s="15" t="s">
        <v>344</v>
      </c>
      <c r="L235" s="15" t="s">
        <v>345</v>
      </c>
      <c r="M235" s="15" t="s">
        <v>341</v>
      </c>
      <c r="N235" s="33" t="n">
        <v>2</v>
      </c>
    </row>
    <row r="236" customFormat="false" ht="19.5" hidden="false" customHeight="true" outlineLevel="0" collapsed="false">
      <c r="A236" s="40" t="s">
        <v>613</v>
      </c>
      <c r="B236" s="27" t="s">
        <v>342</v>
      </c>
      <c r="C236" s="30" t="s">
        <v>336</v>
      </c>
      <c r="D236" s="26" t="s">
        <v>111</v>
      </c>
      <c r="E236" s="30" t="s">
        <v>111</v>
      </c>
      <c r="F236" s="30" t="s">
        <v>111</v>
      </c>
      <c r="G236" s="30" t="s">
        <v>111</v>
      </c>
      <c r="H236" s="30" t="s">
        <v>111</v>
      </c>
      <c r="I236" s="30" t="s">
        <v>111</v>
      </c>
      <c r="J236" s="27" t="s">
        <v>343</v>
      </c>
      <c r="K236" s="27" t="s">
        <v>344</v>
      </c>
      <c r="L236" s="27" t="s">
        <v>345</v>
      </c>
      <c r="M236" s="27" t="s">
        <v>341</v>
      </c>
      <c r="N236" s="31" t="n">
        <v>9</v>
      </c>
    </row>
    <row r="237" customFormat="false" ht="19.5" hidden="false" customHeight="true" outlineLevel="0" collapsed="false">
      <c r="A237" s="18" t="s">
        <v>614</v>
      </c>
      <c r="B237" s="15" t="s">
        <v>402</v>
      </c>
      <c r="C237" s="17" t="s">
        <v>336</v>
      </c>
      <c r="D237" s="19" t="s">
        <v>140</v>
      </c>
      <c r="E237" s="17" t="s">
        <v>140</v>
      </c>
      <c r="F237" s="17" t="s">
        <v>140</v>
      </c>
      <c r="G237" s="17" t="s">
        <v>140</v>
      </c>
      <c r="H237" s="17" t="s">
        <v>140</v>
      </c>
      <c r="I237" s="17" t="s">
        <v>140</v>
      </c>
      <c r="J237" s="15" t="s">
        <v>352</v>
      </c>
      <c r="K237" s="15" t="s">
        <v>344</v>
      </c>
      <c r="L237" s="15" t="s">
        <v>340</v>
      </c>
      <c r="M237" s="15" t="s">
        <v>341</v>
      </c>
      <c r="N237" s="33" t="n">
        <v>7</v>
      </c>
    </row>
    <row r="238" customFormat="false" ht="19.5" hidden="false" customHeight="true" outlineLevel="0" collapsed="false">
      <c r="A238" s="40" t="s">
        <v>615</v>
      </c>
      <c r="B238" s="27" t="s">
        <v>379</v>
      </c>
      <c r="C238" s="30" t="s">
        <v>336</v>
      </c>
      <c r="D238" s="26" t="s">
        <v>140</v>
      </c>
      <c r="E238" s="30" t="s">
        <v>140</v>
      </c>
      <c r="F238" s="30" t="s">
        <v>140</v>
      </c>
      <c r="G238" s="30" t="s">
        <v>140</v>
      </c>
      <c r="H238" s="30" t="s">
        <v>140</v>
      </c>
      <c r="I238" s="30" t="s">
        <v>140</v>
      </c>
      <c r="J238" s="27" t="s">
        <v>343</v>
      </c>
      <c r="K238" s="27" t="s">
        <v>344</v>
      </c>
      <c r="L238" s="27" t="s">
        <v>345</v>
      </c>
      <c r="M238" s="27" t="s">
        <v>341</v>
      </c>
      <c r="N238" s="31" t="n">
        <v>1</v>
      </c>
    </row>
    <row r="239" customFormat="false" ht="19.5" hidden="false" customHeight="true" outlineLevel="0" collapsed="false">
      <c r="A239" s="18" t="s">
        <v>616</v>
      </c>
      <c r="B239" s="15" t="s">
        <v>356</v>
      </c>
      <c r="C239" s="17" t="s">
        <v>336</v>
      </c>
      <c r="D239" s="19" t="s">
        <v>82</v>
      </c>
      <c r="E239" s="17" t="s">
        <v>82</v>
      </c>
      <c r="F239" s="17" t="s">
        <v>82</v>
      </c>
      <c r="G239" s="17" t="s">
        <v>82</v>
      </c>
      <c r="H239" s="17" t="s">
        <v>82</v>
      </c>
      <c r="I239" s="17" t="s">
        <v>82</v>
      </c>
      <c r="J239" s="15" t="s">
        <v>343</v>
      </c>
      <c r="K239" s="15" t="s">
        <v>344</v>
      </c>
      <c r="L239" s="15" t="s">
        <v>345</v>
      </c>
      <c r="M239" s="15" t="s">
        <v>341</v>
      </c>
      <c r="N239" s="33" t="n">
        <v>1</v>
      </c>
    </row>
    <row r="240" customFormat="false" ht="19.5" hidden="false" customHeight="true" outlineLevel="0" collapsed="false">
      <c r="A240" s="40" t="s">
        <v>91</v>
      </c>
      <c r="B240" s="27" t="s">
        <v>459</v>
      </c>
      <c r="C240" s="30" t="s">
        <v>336</v>
      </c>
      <c r="D240" s="26" t="s">
        <v>419</v>
      </c>
      <c r="E240" s="30" t="s">
        <v>419</v>
      </c>
      <c r="F240" s="30" t="s">
        <v>419</v>
      </c>
      <c r="G240" s="30" t="s">
        <v>419</v>
      </c>
      <c r="H240" s="30" t="s">
        <v>419</v>
      </c>
      <c r="I240" s="30" t="s">
        <v>419</v>
      </c>
      <c r="J240" s="27" t="s">
        <v>343</v>
      </c>
      <c r="K240" s="27" t="s">
        <v>344</v>
      </c>
      <c r="L240" s="27" t="s">
        <v>345</v>
      </c>
      <c r="M240" s="27" t="s">
        <v>341</v>
      </c>
      <c r="N240" s="31" t="n">
        <v>1</v>
      </c>
    </row>
    <row r="241" customFormat="false" ht="19.5" hidden="false" customHeight="true" outlineLevel="0" collapsed="false">
      <c r="A241" s="18" t="s">
        <v>617</v>
      </c>
      <c r="B241" s="15" t="s">
        <v>356</v>
      </c>
      <c r="C241" s="17" t="s">
        <v>336</v>
      </c>
      <c r="D241" s="19" t="s">
        <v>82</v>
      </c>
      <c r="E241" s="17" t="s">
        <v>82</v>
      </c>
      <c r="F241" s="17" t="s">
        <v>82</v>
      </c>
      <c r="G241" s="17" t="s">
        <v>82</v>
      </c>
      <c r="H241" s="17" t="s">
        <v>82</v>
      </c>
      <c r="I241" s="17" t="s">
        <v>82</v>
      </c>
      <c r="J241" s="15" t="s">
        <v>343</v>
      </c>
      <c r="K241" s="15" t="s">
        <v>344</v>
      </c>
      <c r="L241" s="15" t="s">
        <v>345</v>
      </c>
      <c r="M241" s="15" t="s">
        <v>341</v>
      </c>
      <c r="N241" s="33" t="n">
        <v>1</v>
      </c>
    </row>
    <row r="242" customFormat="false" ht="19.5" hidden="false" customHeight="true" outlineLevel="0" collapsed="false">
      <c r="A242" s="40" t="s">
        <v>618</v>
      </c>
      <c r="B242" s="27" t="s">
        <v>342</v>
      </c>
      <c r="C242" s="30" t="s">
        <v>336</v>
      </c>
      <c r="D242" s="26" t="s">
        <v>111</v>
      </c>
      <c r="E242" s="30" t="s">
        <v>111</v>
      </c>
      <c r="F242" s="30" t="s">
        <v>111</v>
      </c>
      <c r="G242" s="30" t="s">
        <v>111</v>
      </c>
      <c r="H242" s="30" t="s">
        <v>111</v>
      </c>
      <c r="I242" s="30" t="s">
        <v>111</v>
      </c>
      <c r="J242" s="27" t="s">
        <v>343</v>
      </c>
      <c r="K242" s="27" t="s">
        <v>344</v>
      </c>
      <c r="L242" s="27" t="s">
        <v>345</v>
      </c>
      <c r="M242" s="27" t="s">
        <v>341</v>
      </c>
      <c r="N242" s="31" t="n">
        <v>1</v>
      </c>
    </row>
    <row r="243" customFormat="false" ht="19.5" hidden="false" customHeight="true" outlineLevel="0" collapsed="false">
      <c r="A243" s="18" t="s">
        <v>619</v>
      </c>
      <c r="B243" s="15" t="s">
        <v>382</v>
      </c>
      <c r="C243" s="17" t="s">
        <v>336</v>
      </c>
      <c r="D243" s="19" t="s">
        <v>159</v>
      </c>
      <c r="E243" s="17" t="s">
        <v>55</v>
      </c>
      <c r="F243" s="17" t="s">
        <v>159</v>
      </c>
      <c r="G243" s="17" t="s">
        <v>159</v>
      </c>
      <c r="H243" s="17" t="s">
        <v>159</v>
      </c>
      <c r="I243" s="17" t="s">
        <v>159</v>
      </c>
      <c r="J243" s="15" t="s">
        <v>349</v>
      </c>
      <c r="K243" s="15" t="s">
        <v>339</v>
      </c>
      <c r="L243" s="15" t="s">
        <v>345</v>
      </c>
      <c r="M243" s="15" t="s">
        <v>341</v>
      </c>
      <c r="N243" s="33" t="n">
        <v>4</v>
      </c>
    </row>
    <row r="244" customFormat="false" ht="19.5" hidden="false" customHeight="true" outlineLevel="0" collapsed="false">
      <c r="A244" s="40" t="s">
        <v>620</v>
      </c>
      <c r="B244" s="27" t="s">
        <v>397</v>
      </c>
      <c r="C244" s="30" t="s">
        <v>336</v>
      </c>
      <c r="D244" s="26" t="s">
        <v>621</v>
      </c>
      <c r="E244" s="30" t="s">
        <v>621</v>
      </c>
      <c r="F244" s="30" t="s">
        <v>621</v>
      </c>
      <c r="G244" s="30" t="s">
        <v>621</v>
      </c>
      <c r="H244" s="30" t="s">
        <v>621</v>
      </c>
      <c r="I244" s="30" t="s">
        <v>621</v>
      </c>
      <c r="J244" s="27" t="s">
        <v>368</v>
      </c>
      <c r="K244" s="27" t="s">
        <v>339</v>
      </c>
      <c r="L244" s="27" t="s">
        <v>340</v>
      </c>
      <c r="M244" s="27" t="s">
        <v>341</v>
      </c>
      <c r="N244" s="31" t="n">
        <v>1</v>
      </c>
    </row>
    <row r="245" customFormat="false" ht="19.5" hidden="false" customHeight="true" outlineLevel="0" collapsed="false">
      <c r="A245" s="18" t="s">
        <v>622</v>
      </c>
      <c r="B245" s="15" t="s">
        <v>459</v>
      </c>
      <c r="C245" s="17" t="s">
        <v>336</v>
      </c>
      <c r="D245" s="19" t="s">
        <v>419</v>
      </c>
      <c r="E245" s="17" t="s">
        <v>419</v>
      </c>
      <c r="F245" s="17" t="s">
        <v>419</v>
      </c>
      <c r="G245" s="17" t="s">
        <v>419</v>
      </c>
      <c r="H245" s="17" t="s">
        <v>419</v>
      </c>
      <c r="I245" s="17" t="s">
        <v>419</v>
      </c>
      <c r="J245" s="15" t="s">
        <v>343</v>
      </c>
      <c r="K245" s="15" t="s">
        <v>344</v>
      </c>
      <c r="L245" s="15" t="s">
        <v>345</v>
      </c>
      <c r="M245" s="15" t="s">
        <v>341</v>
      </c>
      <c r="N245" s="33" t="n">
        <v>1</v>
      </c>
    </row>
    <row r="246" customFormat="false" ht="21.75" hidden="false" customHeight="true" outlineLevel="0" collapsed="false">
      <c r="A246" s="41" t="s">
        <v>623</v>
      </c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37" t="n">
        <f aca="false">SUM(N4:N245)</f>
        <v>845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8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32"/>
    <col collapsed="false" customWidth="true" hidden="false" outlineLevel="0" max="12" min="10" style="0" width="16"/>
    <col collapsed="false" customWidth="true" hidden="false" outlineLevel="0" max="13" min="13" style="0" width="44"/>
    <col collapsed="false" customWidth="true" hidden="false" outlineLevel="0" max="14" min="14" style="0" width="16"/>
    <col collapsed="false" customWidth="true" hidden="false" outlineLevel="0" max="15" min="15" style="0" width="32"/>
    <col collapsed="false" customWidth="true" hidden="false" outlineLevel="0" max="16" min="16" style="0" width="18"/>
    <col collapsed="false" customWidth="true" hidden="false" outlineLevel="0" max="17" min="17" style="0" width="36"/>
    <col collapsed="false" customWidth="true" hidden="false" outlineLevel="0" max="18" min="18" style="0" width="38"/>
    <col collapsed="false" customWidth="true" hidden="false" outlineLevel="0" max="19" min="19" style="0" width="44"/>
    <col collapsed="false" customWidth="true" hidden="false" outlineLevel="0" max="20" min="20" style="0" width="36"/>
    <col collapsed="false" customWidth="true" hidden="false" outlineLevel="0" max="21" min="21" style="0" width="60"/>
  </cols>
  <sheetData>
    <row r="1" customFormat="false" ht="27.75" hidden="false" customHeight="true" outlineLevel="0" collapsed="false">
      <c r="A1" s="1" t="s">
        <v>624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2" t="s">
        <v>625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25.5" hidden="false" customHeight="true" outlineLevel="0" collapsed="false">
      <c r="A3" s="8" t="s">
        <v>626</v>
      </c>
      <c r="B3" s="8" t="s">
        <v>627</v>
      </c>
      <c r="C3" s="9" t="s">
        <v>628</v>
      </c>
      <c r="D3" s="9" t="s">
        <v>629</v>
      </c>
      <c r="E3" s="9" t="s">
        <v>630</v>
      </c>
      <c r="F3" s="8" t="s">
        <v>631</v>
      </c>
      <c r="G3" s="8" t="s">
        <v>632</v>
      </c>
      <c r="H3" s="9" t="s">
        <v>633</v>
      </c>
      <c r="I3" s="9" t="s">
        <v>634</v>
      </c>
      <c r="J3" s="9" t="s">
        <v>635</v>
      </c>
      <c r="K3" s="8" t="s">
        <v>636</v>
      </c>
      <c r="L3" s="9" t="s">
        <v>637</v>
      </c>
      <c r="M3" s="9" t="s">
        <v>638</v>
      </c>
      <c r="N3" s="8" t="s">
        <v>639</v>
      </c>
      <c r="O3" s="9" t="s">
        <v>640</v>
      </c>
      <c r="P3" s="9" t="s">
        <v>641</v>
      </c>
      <c r="Q3" s="9" t="s">
        <v>642</v>
      </c>
      <c r="R3" s="9" t="s">
        <v>643</v>
      </c>
      <c r="S3" s="9" t="s">
        <v>644</v>
      </c>
      <c r="T3" s="9" t="s">
        <v>645</v>
      </c>
      <c r="U3" s="9" t="s">
        <v>646</v>
      </c>
    </row>
    <row r="4" customFormat="false" ht="19.5" hidden="false" customHeight="true" outlineLevel="0" collapsed="false">
      <c r="A4" s="26" t="n">
        <v>4</v>
      </c>
      <c r="B4" s="27" t="s">
        <v>38</v>
      </c>
      <c r="C4" s="30" t="s">
        <v>263</v>
      </c>
      <c r="D4" s="39" t="n">
        <v>20</v>
      </c>
      <c r="E4" s="30" t="s">
        <v>39</v>
      </c>
      <c r="F4" s="30" t="s">
        <v>39</v>
      </c>
      <c r="G4" s="27" t="s">
        <v>40</v>
      </c>
      <c r="H4" s="40" t="s">
        <v>40</v>
      </c>
      <c r="I4" s="27" t="s">
        <v>342</v>
      </c>
      <c r="J4" s="30" t="s">
        <v>336</v>
      </c>
      <c r="K4" s="30" t="s">
        <v>41</v>
      </c>
      <c r="L4" s="26" t="s">
        <v>41</v>
      </c>
      <c r="M4" s="27" t="s">
        <v>343</v>
      </c>
      <c r="N4" s="30" t="n">
        <v>315</v>
      </c>
      <c r="O4" s="27" t="s">
        <v>344</v>
      </c>
      <c r="P4" s="26" t="n">
        <v>315</v>
      </c>
      <c r="Q4" s="27" t="s">
        <v>647</v>
      </c>
      <c r="R4" s="27" t="s">
        <v>648</v>
      </c>
      <c r="S4" s="27" t="s">
        <v>345</v>
      </c>
      <c r="T4" s="27" t="s">
        <v>341</v>
      </c>
      <c r="U4" s="27" t="s">
        <v>649</v>
      </c>
    </row>
    <row r="5" customFormat="false" ht="19.5" hidden="false" customHeight="true" outlineLevel="0" collapsed="false">
      <c r="A5" s="19" t="n">
        <v>5</v>
      </c>
      <c r="B5" s="15" t="s">
        <v>650</v>
      </c>
      <c r="C5" s="17" t="s">
        <v>260</v>
      </c>
      <c r="D5" s="16" t="n">
        <v>5</v>
      </c>
      <c r="E5" s="17" t="s">
        <v>39</v>
      </c>
      <c r="F5" s="17" t="s">
        <v>39</v>
      </c>
      <c r="G5" s="15" t="s">
        <v>40</v>
      </c>
      <c r="H5" s="18" t="s">
        <v>40</v>
      </c>
      <c r="I5" s="15" t="s">
        <v>342</v>
      </c>
      <c r="J5" s="17" t="s">
        <v>336</v>
      </c>
      <c r="K5" s="17" t="s">
        <v>41</v>
      </c>
      <c r="L5" s="19" t="s">
        <v>41</v>
      </c>
      <c r="M5" s="15" t="s">
        <v>343</v>
      </c>
      <c r="N5" s="17" t="n">
        <v>315</v>
      </c>
      <c r="O5" s="15" t="s">
        <v>344</v>
      </c>
      <c r="P5" s="19" t="n">
        <v>315</v>
      </c>
      <c r="Q5" s="15" t="s">
        <v>647</v>
      </c>
      <c r="R5" s="15" t="s">
        <v>648</v>
      </c>
      <c r="S5" s="15" t="s">
        <v>345</v>
      </c>
      <c r="T5" s="15" t="s">
        <v>341</v>
      </c>
      <c r="U5" s="15" t="s">
        <v>649</v>
      </c>
    </row>
    <row r="6" customFormat="false" ht="19.5" hidden="false" customHeight="true" outlineLevel="0" collapsed="false">
      <c r="A6" s="26" t="n">
        <v>8</v>
      </c>
      <c r="B6" s="27" t="s">
        <v>651</v>
      </c>
      <c r="C6" s="30" t="s">
        <v>263</v>
      </c>
      <c r="D6" s="39" t="n">
        <v>20</v>
      </c>
      <c r="E6" s="30" t="s">
        <v>39</v>
      </c>
      <c r="F6" s="30" t="s">
        <v>39</v>
      </c>
      <c r="G6" s="27" t="s">
        <v>40</v>
      </c>
      <c r="H6" s="40" t="s">
        <v>40</v>
      </c>
      <c r="I6" s="27" t="s">
        <v>342</v>
      </c>
      <c r="J6" s="30" t="s">
        <v>336</v>
      </c>
      <c r="K6" s="30" t="s">
        <v>41</v>
      </c>
      <c r="L6" s="26" t="s">
        <v>41</v>
      </c>
      <c r="M6" s="27" t="s">
        <v>343</v>
      </c>
      <c r="N6" s="30" t="n">
        <v>6908</v>
      </c>
      <c r="O6" s="27" t="s">
        <v>344</v>
      </c>
      <c r="P6" s="26" t="n">
        <v>6908</v>
      </c>
      <c r="Q6" s="27" t="s">
        <v>652</v>
      </c>
      <c r="R6" s="27" t="s">
        <v>648</v>
      </c>
      <c r="S6" s="27" t="s">
        <v>345</v>
      </c>
      <c r="T6" s="27" t="s">
        <v>341</v>
      </c>
      <c r="U6" s="27" t="s">
        <v>653</v>
      </c>
    </row>
    <row r="7" customFormat="false" ht="19.5" hidden="false" customHeight="true" outlineLevel="0" collapsed="false">
      <c r="A7" s="19" t="n">
        <v>9</v>
      </c>
      <c r="B7" s="15" t="s">
        <v>654</v>
      </c>
      <c r="C7" s="17" t="s">
        <v>263</v>
      </c>
      <c r="D7" s="16" t="n">
        <v>20</v>
      </c>
      <c r="E7" s="17" t="s">
        <v>39</v>
      </c>
      <c r="F7" s="17" t="s">
        <v>39</v>
      </c>
      <c r="G7" s="15" t="s">
        <v>40</v>
      </c>
      <c r="H7" s="18" t="s">
        <v>40</v>
      </c>
      <c r="I7" s="15" t="s">
        <v>342</v>
      </c>
      <c r="J7" s="17" t="s">
        <v>336</v>
      </c>
      <c r="K7" s="17" t="s">
        <v>41</v>
      </c>
      <c r="L7" s="19" t="s">
        <v>41</v>
      </c>
      <c r="M7" s="15" t="s">
        <v>343</v>
      </c>
      <c r="N7" s="17" t="n">
        <v>2704</v>
      </c>
      <c r="O7" s="15" t="s">
        <v>344</v>
      </c>
      <c r="P7" s="19" t="n">
        <v>2704</v>
      </c>
      <c r="Q7" s="15" t="s">
        <v>655</v>
      </c>
      <c r="R7" s="15" t="s">
        <v>648</v>
      </c>
      <c r="S7" s="15" t="s">
        <v>345</v>
      </c>
      <c r="T7" s="15" t="s">
        <v>341</v>
      </c>
      <c r="U7" s="15" t="s">
        <v>656</v>
      </c>
    </row>
    <row r="8" customFormat="false" ht="19.5" hidden="false" customHeight="true" outlineLevel="0" collapsed="false">
      <c r="A8" s="26" t="n">
        <v>11</v>
      </c>
      <c r="B8" s="27" t="s">
        <v>657</v>
      </c>
      <c r="C8" s="30" t="s">
        <v>260</v>
      </c>
      <c r="D8" s="39" t="n">
        <v>5</v>
      </c>
      <c r="E8" s="30" t="s">
        <v>39</v>
      </c>
      <c r="F8" s="30" t="s">
        <v>39</v>
      </c>
      <c r="G8" s="27" t="s">
        <v>354</v>
      </c>
      <c r="H8" s="40" t="s">
        <v>354</v>
      </c>
      <c r="I8" s="27" t="s">
        <v>355</v>
      </c>
      <c r="J8" s="30" t="s">
        <v>336</v>
      </c>
      <c r="K8" s="30" t="s">
        <v>82</v>
      </c>
      <c r="L8" s="26" t="s">
        <v>82</v>
      </c>
      <c r="M8" s="27" t="s">
        <v>343</v>
      </c>
      <c r="N8" s="30" t="n">
        <v>19917</v>
      </c>
      <c r="O8" s="27" t="s">
        <v>344</v>
      </c>
      <c r="P8" s="26" t="n">
        <v>19917</v>
      </c>
      <c r="Q8" s="27" t="s">
        <v>658</v>
      </c>
      <c r="R8" s="27" t="s">
        <v>648</v>
      </c>
      <c r="S8" s="27" t="s">
        <v>345</v>
      </c>
      <c r="T8" s="27" t="s">
        <v>341</v>
      </c>
      <c r="U8" s="27" t="s">
        <v>659</v>
      </c>
    </row>
    <row r="9" customFormat="false" ht="19.5" hidden="false" customHeight="true" outlineLevel="0" collapsed="false">
      <c r="A9" s="19" t="n">
        <v>12</v>
      </c>
      <c r="B9" s="15" t="s">
        <v>62</v>
      </c>
      <c r="C9" s="17" t="s">
        <v>660</v>
      </c>
      <c r="D9" s="16" t="n">
        <v>5</v>
      </c>
      <c r="E9" s="17" t="s">
        <v>63</v>
      </c>
      <c r="F9" s="17" t="s">
        <v>63</v>
      </c>
      <c r="G9" s="15" t="s">
        <v>64</v>
      </c>
      <c r="H9" s="18" t="s">
        <v>64</v>
      </c>
      <c r="I9" s="15" t="s">
        <v>356</v>
      </c>
      <c r="J9" s="17" t="s">
        <v>336</v>
      </c>
      <c r="K9" s="17" t="s">
        <v>65</v>
      </c>
      <c r="L9" s="19" t="s">
        <v>65</v>
      </c>
      <c r="M9" s="15" t="s">
        <v>343</v>
      </c>
      <c r="N9" s="17" t="n">
        <v>1378704</v>
      </c>
      <c r="O9" s="15" t="s">
        <v>344</v>
      </c>
      <c r="P9" s="19" t="n">
        <v>1378704</v>
      </c>
      <c r="Q9" s="15" t="s">
        <v>661</v>
      </c>
      <c r="R9" s="15" t="s">
        <v>648</v>
      </c>
      <c r="S9" s="15" t="s">
        <v>345</v>
      </c>
      <c r="T9" s="15" t="s">
        <v>341</v>
      </c>
      <c r="U9" s="15" t="s">
        <v>662</v>
      </c>
    </row>
    <row r="10" customFormat="false" ht="19.5" hidden="false" customHeight="true" outlineLevel="0" collapsed="false">
      <c r="A10" s="26" t="n">
        <v>13</v>
      </c>
      <c r="B10" s="27" t="s">
        <v>663</v>
      </c>
      <c r="C10" s="30" t="s">
        <v>272</v>
      </c>
      <c r="D10" s="39" t="n">
        <v>5</v>
      </c>
      <c r="E10" s="30" t="s">
        <v>63</v>
      </c>
      <c r="F10" s="30" t="s">
        <v>63</v>
      </c>
      <c r="G10" s="27" t="s">
        <v>64</v>
      </c>
      <c r="H10" s="40" t="s">
        <v>64</v>
      </c>
      <c r="I10" s="27" t="s">
        <v>356</v>
      </c>
      <c r="J10" s="30" t="s">
        <v>336</v>
      </c>
      <c r="K10" s="30" t="s">
        <v>65</v>
      </c>
      <c r="L10" s="26" t="s">
        <v>65</v>
      </c>
      <c r="M10" s="27" t="s">
        <v>343</v>
      </c>
      <c r="N10" s="30" t="n">
        <v>458294</v>
      </c>
      <c r="O10" s="27" t="s">
        <v>344</v>
      </c>
      <c r="P10" s="26" t="n">
        <v>458294</v>
      </c>
      <c r="Q10" s="27" t="s">
        <v>664</v>
      </c>
      <c r="R10" s="27" t="s">
        <v>648</v>
      </c>
      <c r="S10" s="27" t="s">
        <v>345</v>
      </c>
      <c r="T10" s="27" t="s">
        <v>341</v>
      </c>
      <c r="U10" s="27" t="s">
        <v>665</v>
      </c>
    </row>
    <row r="11" customFormat="false" ht="19.5" hidden="false" customHeight="true" outlineLevel="0" collapsed="false">
      <c r="A11" s="19" t="n">
        <v>14</v>
      </c>
      <c r="B11" s="15" t="s">
        <v>666</v>
      </c>
      <c r="C11" s="17" t="s">
        <v>660</v>
      </c>
      <c r="D11" s="16" t="n">
        <v>5</v>
      </c>
      <c r="E11" s="17" t="s">
        <v>63</v>
      </c>
      <c r="F11" s="17" t="s">
        <v>63</v>
      </c>
      <c r="G11" s="15" t="s">
        <v>64</v>
      </c>
      <c r="H11" s="18" t="s">
        <v>64</v>
      </c>
      <c r="I11" s="15" t="s">
        <v>356</v>
      </c>
      <c r="J11" s="17" t="s">
        <v>336</v>
      </c>
      <c r="K11" s="17" t="s">
        <v>65</v>
      </c>
      <c r="L11" s="19" t="s">
        <v>65</v>
      </c>
      <c r="M11" s="15" t="s">
        <v>343</v>
      </c>
      <c r="N11" s="17" t="n">
        <v>20817</v>
      </c>
      <c r="O11" s="15" t="s">
        <v>344</v>
      </c>
      <c r="P11" s="19" t="n">
        <v>20817</v>
      </c>
      <c r="Q11" s="15" t="s">
        <v>667</v>
      </c>
      <c r="R11" s="15" t="s">
        <v>648</v>
      </c>
      <c r="S11" s="15" t="s">
        <v>345</v>
      </c>
      <c r="T11" s="15" t="s">
        <v>341</v>
      </c>
      <c r="U11" s="15" t="s">
        <v>668</v>
      </c>
    </row>
    <row r="12" customFormat="false" ht="19.5" hidden="false" customHeight="true" outlineLevel="0" collapsed="false">
      <c r="A12" s="26" t="n">
        <v>15</v>
      </c>
      <c r="B12" s="27" t="s">
        <v>669</v>
      </c>
      <c r="C12" s="30" t="s">
        <v>670</v>
      </c>
      <c r="D12" s="39" t="n">
        <v>3</v>
      </c>
      <c r="E12" s="30" t="s">
        <v>63</v>
      </c>
      <c r="F12" s="30" t="s">
        <v>63</v>
      </c>
      <c r="G12" s="27" t="s">
        <v>64</v>
      </c>
      <c r="H12" s="40" t="s">
        <v>64</v>
      </c>
      <c r="I12" s="27" t="s">
        <v>356</v>
      </c>
      <c r="J12" s="30" t="s">
        <v>336</v>
      </c>
      <c r="K12" s="30" t="s">
        <v>65</v>
      </c>
      <c r="L12" s="26" t="s">
        <v>65</v>
      </c>
      <c r="M12" s="27" t="s">
        <v>343</v>
      </c>
      <c r="N12" s="30" t="n">
        <v>1378704</v>
      </c>
      <c r="O12" s="27" t="s">
        <v>344</v>
      </c>
      <c r="P12" s="26" t="n">
        <v>1378704</v>
      </c>
      <c r="Q12" s="27" t="s">
        <v>661</v>
      </c>
      <c r="R12" s="27" t="s">
        <v>648</v>
      </c>
      <c r="S12" s="27" t="s">
        <v>345</v>
      </c>
      <c r="T12" s="27" t="s">
        <v>341</v>
      </c>
      <c r="U12" s="27" t="s">
        <v>662</v>
      </c>
    </row>
    <row r="13" customFormat="false" ht="19.5" hidden="false" customHeight="true" outlineLevel="0" collapsed="false">
      <c r="A13" s="19" t="n">
        <v>18</v>
      </c>
      <c r="B13" s="15" t="s">
        <v>80</v>
      </c>
      <c r="C13" s="17" t="s">
        <v>260</v>
      </c>
      <c r="D13" s="16" t="n">
        <v>5</v>
      </c>
      <c r="E13" s="17" t="s">
        <v>39</v>
      </c>
      <c r="F13" s="17" t="s">
        <v>39</v>
      </c>
      <c r="G13" s="15" t="s">
        <v>81</v>
      </c>
      <c r="H13" s="18" t="s">
        <v>81</v>
      </c>
      <c r="I13" s="15" t="s">
        <v>356</v>
      </c>
      <c r="J13" s="17" t="s">
        <v>360</v>
      </c>
      <c r="K13" s="17" t="s">
        <v>82</v>
      </c>
      <c r="L13" s="19" t="s">
        <v>48</v>
      </c>
      <c r="M13" s="15" t="s">
        <v>361</v>
      </c>
      <c r="N13" s="17" t="n">
        <v>23121</v>
      </c>
      <c r="O13" s="15" t="s">
        <v>344</v>
      </c>
      <c r="P13" s="19" t="n">
        <v>23121</v>
      </c>
      <c r="Q13" s="15" t="s">
        <v>671</v>
      </c>
      <c r="R13" s="15" t="s">
        <v>648</v>
      </c>
      <c r="S13" s="15" t="s">
        <v>345</v>
      </c>
      <c r="T13" s="15" t="s">
        <v>341</v>
      </c>
      <c r="U13" s="15" t="s">
        <v>672</v>
      </c>
    </row>
    <row r="14" customFormat="false" ht="19.5" hidden="false" customHeight="true" outlineLevel="0" collapsed="false">
      <c r="A14" s="26" t="n">
        <v>20</v>
      </c>
      <c r="B14" s="27" t="s">
        <v>673</v>
      </c>
      <c r="C14" s="30" t="s">
        <v>272</v>
      </c>
      <c r="D14" s="39" t="n">
        <v>5</v>
      </c>
      <c r="E14" s="30" t="s">
        <v>63</v>
      </c>
      <c r="F14" s="30" t="s">
        <v>63</v>
      </c>
      <c r="G14" s="27" t="s">
        <v>359</v>
      </c>
      <c r="H14" s="40" t="s">
        <v>359</v>
      </c>
      <c r="I14" s="27" t="s">
        <v>356</v>
      </c>
      <c r="J14" s="30" t="s">
        <v>336</v>
      </c>
      <c r="K14" s="30" t="s">
        <v>82</v>
      </c>
      <c r="L14" s="26" t="s">
        <v>82</v>
      </c>
      <c r="M14" s="27" t="s">
        <v>343</v>
      </c>
      <c r="N14" s="30" t="n">
        <v>26718</v>
      </c>
      <c r="O14" s="27" t="s">
        <v>344</v>
      </c>
      <c r="P14" s="26" t="n">
        <v>26718</v>
      </c>
      <c r="Q14" s="27" t="s">
        <v>674</v>
      </c>
      <c r="R14" s="27" t="s">
        <v>648</v>
      </c>
      <c r="S14" s="27" t="s">
        <v>345</v>
      </c>
      <c r="T14" s="27" t="s">
        <v>341</v>
      </c>
      <c r="U14" s="27" t="s">
        <v>675</v>
      </c>
    </row>
    <row r="15" customFormat="false" ht="19.5" hidden="false" customHeight="true" outlineLevel="0" collapsed="false">
      <c r="A15" s="19" t="n">
        <v>21</v>
      </c>
      <c r="B15" s="15" t="s">
        <v>676</v>
      </c>
      <c r="C15" s="17" t="s">
        <v>272</v>
      </c>
      <c r="D15" s="16" t="n">
        <v>5</v>
      </c>
      <c r="E15" s="17" t="s">
        <v>63</v>
      </c>
      <c r="F15" s="17" t="s">
        <v>63</v>
      </c>
      <c r="G15" s="15" t="s">
        <v>359</v>
      </c>
      <c r="H15" s="18" t="s">
        <v>359</v>
      </c>
      <c r="I15" s="15" t="s">
        <v>356</v>
      </c>
      <c r="J15" s="17" t="s">
        <v>336</v>
      </c>
      <c r="K15" s="17" t="s">
        <v>82</v>
      </c>
      <c r="L15" s="19" t="s">
        <v>82</v>
      </c>
      <c r="M15" s="15" t="s">
        <v>343</v>
      </c>
      <c r="N15" s="17" t="n">
        <v>11018</v>
      </c>
      <c r="O15" s="15" t="s">
        <v>344</v>
      </c>
      <c r="P15" s="19" t="n">
        <v>11018</v>
      </c>
      <c r="Q15" s="15" t="s">
        <v>677</v>
      </c>
      <c r="R15" s="15" t="s">
        <v>648</v>
      </c>
      <c r="S15" s="15" t="s">
        <v>345</v>
      </c>
      <c r="T15" s="15" t="s">
        <v>341</v>
      </c>
      <c r="U15" s="15" t="s">
        <v>678</v>
      </c>
    </row>
    <row r="16" customFormat="false" ht="19.5" hidden="false" customHeight="true" outlineLevel="0" collapsed="false">
      <c r="A16" s="26" t="n">
        <v>22</v>
      </c>
      <c r="B16" s="27" t="s">
        <v>679</v>
      </c>
      <c r="C16" s="30" t="s">
        <v>272</v>
      </c>
      <c r="D16" s="39" t="n">
        <v>5</v>
      </c>
      <c r="E16" s="30" t="s">
        <v>63</v>
      </c>
      <c r="F16" s="30" t="s">
        <v>63</v>
      </c>
      <c r="G16" s="27" t="s">
        <v>359</v>
      </c>
      <c r="H16" s="40" t="s">
        <v>359</v>
      </c>
      <c r="I16" s="27" t="s">
        <v>356</v>
      </c>
      <c r="J16" s="30" t="s">
        <v>336</v>
      </c>
      <c r="K16" s="30" t="s">
        <v>82</v>
      </c>
      <c r="L16" s="26" t="s">
        <v>82</v>
      </c>
      <c r="M16" s="27" t="s">
        <v>343</v>
      </c>
      <c r="N16" s="30" t="n">
        <v>28017</v>
      </c>
      <c r="O16" s="27" t="s">
        <v>344</v>
      </c>
      <c r="P16" s="26" t="n">
        <v>28017</v>
      </c>
      <c r="Q16" s="27" t="s">
        <v>680</v>
      </c>
      <c r="R16" s="27" t="s">
        <v>648</v>
      </c>
      <c r="S16" s="27" t="s">
        <v>345</v>
      </c>
      <c r="T16" s="27" t="s">
        <v>341</v>
      </c>
      <c r="U16" s="27" t="s">
        <v>681</v>
      </c>
    </row>
    <row r="17" customFormat="false" ht="19.5" hidden="false" customHeight="true" outlineLevel="0" collapsed="false">
      <c r="A17" s="19" t="n">
        <v>25</v>
      </c>
      <c r="B17" s="15" t="s">
        <v>682</v>
      </c>
      <c r="C17" s="17" t="s">
        <v>260</v>
      </c>
      <c r="D17" s="16" t="n">
        <v>5</v>
      </c>
      <c r="E17" s="17" t="s">
        <v>39</v>
      </c>
      <c r="F17" s="17" t="s">
        <v>39</v>
      </c>
      <c r="G17" s="15" t="s">
        <v>59</v>
      </c>
      <c r="H17" s="18" t="s">
        <v>59</v>
      </c>
      <c r="I17" s="15" t="s">
        <v>366</v>
      </c>
      <c r="J17" s="17" t="s">
        <v>336</v>
      </c>
      <c r="K17" s="17" t="s">
        <v>557</v>
      </c>
      <c r="L17" s="19" t="s">
        <v>367</v>
      </c>
      <c r="M17" s="15" t="s">
        <v>368</v>
      </c>
      <c r="N17" s="17" t="n">
        <v>0</v>
      </c>
      <c r="O17" s="15" t="s">
        <v>369</v>
      </c>
      <c r="P17" s="19" t="s">
        <v>683</v>
      </c>
      <c r="Q17" s="15" t="s">
        <v>684</v>
      </c>
      <c r="R17" s="15" t="s">
        <v>685</v>
      </c>
      <c r="S17" s="15" t="s">
        <v>370</v>
      </c>
      <c r="T17" s="15" t="s">
        <v>371</v>
      </c>
      <c r="U17" s="15" t="s">
        <v>686</v>
      </c>
    </row>
    <row r="18" customFormat="false" ht="19.5" hidden="false" customHeight="true" outlineLevel="0" collapsed="false">
      <c r="A18" s="26" t="n">
        <v>27</v>
      </c>
      <c r="B18" s="27" t="s">
        <v>157</v>
      </c>
      <c r="C18" s="30" t="s">
        <v>260</v>
      </c>
      <c r="D18" s="39" t="n">
        <v>5</v>
      </c>
      <c r="E18" s="30" t="s">
        <v>39</v>
      </c>
      <c r="F18" s="30" t="s">
        <v>39</v>
      </c>
      <c r="G18" s="27" t="s">
        <v>158</v>
      </c>
      <c r="H18" s="40" t="s">
        <v>158</v>
      </c>
      <c r="I18" s="27" t="s">
        <v>366</v>
      </c>
      <c r="J18" s="30" t="s">
        <v>336</v>
      </c>
      <c r="K18" s="30" t="s">
        <v>159</v>
      </c>
      <c r="L18" s="26" t="s">
        <v>367</v>
      </c>
      <c r="M18" s="27" t="s">
        <v>368</v>
      </c>
      <c r="N18" s="30" t="n">
        <v>0</v>
      </c>
      <c r="O18" s="27" t="s">
        <v>369</v>
      </c>
      <c r="P18" s="26" t="s">
        <v>683</v>
      </c>
      <c r="Q18" s="27" t="s">
        <v>684</v>
      </c>
      <c r="R18" s="27" t="s">
        <v>685</v>
      </c>
      <c r="S18" s="27" t="s">
        <v>370</v>
      </c>
      <c r="T18" s="27" t="s">
        <v>371</v>
      </c>
      <c r="U18" s="27" t="s">
        <v>687</v>
      </c>
    </row>
    <row r="19" customFormat="false" ht="19.5" hidden="false" customHeight="true" outlineLevel="0" collapsed="false">
      <c r="A19" s="19" t="n">
        <v>30</v>
      </c>
      <c r="B19" s="15" t="s">
        <v>688</v>
      </c>
      <c r="C19" s="17" t="s">
        <v>260</v>
      </c>
      <c r="D19" s="16" t="n">
        <v>5</v>
      </c>
      <c r="E19" s="17" t="s">
        <v>39</v>
      </c>
      <c r="F19" s="17" t="s">
        <v>39</v>
      </c>
      <c r="G19" s="15" t="s">
        <v>372</v>
      </c>
      <c r="H19" s="18" t="s">
        <v>372</v>
      </c>
      <c r="I19" s="15" t="s">
        <v>366</v>
      </c>
      <c r="J19" s="17" t="s">
        <v>336</v>
      </c>
      <c r="K19" s="17" t="s">
        <v>557</v>
      </c>
      <c r="L19" s="19" t="s">
        <v>367</v>
      </c>
      <c r="M19" s="15" t="s">
        <v>368</v>
      </c>
      <c r="N19" s="17" t="n">
        <v>0</v>
      </c>
      <c r="O19" s="15" t="s">
        <v>369</v>
      </c>
      <c r="P19" s="19" t="s">
        <v>683</v>
      </c>
      <c r="Q19" s="15" t="s">
        <v>684</v>
      </c>
      <c r="R19" s="15" t="s">
        <v>685</v>
      </c>
      <c r="S19" s="15" t="s">
        <v>370</v>
      </c>
      <c r="T19" s="15" t="s">
        <v>371</v>
      </c>
      <c r="U19" s="15" t="s">
        <v>686</v>
      </c>
    </row>
    <row r="20" customFormat="false" ht="19.5" hidden="false" customHeight="true" outlineLevel="0" collapsed="false">
      <c r="A20" s="26" t="n">
        <v>31</v>
      </c>
      <c r="B20" s="27" t="s">
        <v>689</v>
      </c>
      <c r="C20" s="30" t="s">
        <v>260</v>
      </c>
      <c r="D20" s="39" t="n">
        <v>5</v>
      </c>
      <c r="E20" s="30" t="s">
        <v>39</v>
      </c>
      <c r="F20" s="30" t="s">
        <v>39</v>
      </c>
      <c r="G20" s="27" t="s">
        <v>431</v>
      </c>
      <c r="H20" s="40" t="s">
        <v>431</v>
      </c>
      <c r="I20" s="27" t="s">
        <v>382</v>
      </c>
      <c r="J20" s="30" t="s">
        <v>336</v>
      </c>
      <c r="K20" s="30" t="s">
        <v>159</v>
      </c>
      <c r="L20" s="26" t="s">
        <v>159</v>
      </c>
      <c r="M20" s="27" t="s">
        <v>349</v>
      </c>
      <c r="N20" s="30" t="n">
        <v>0</v>
      </c>
      <c r="O20" s="27" t="s">
        <v>339</v>
      </c>
      <c r="P20" s="26" t="s">
        <v>690</v>
      </c>
      <c r="Q20" s="27" t="s">
        <v>691</v>
      </c>
      <c r="R20" s="27" t="s">
        <v>692</v>
      </c>
      <c r="S20" s="27" t="s">
        <v>345</v>
      </c>
      <c r="T20" s="27" t="s">
        <v>341</v>
      </c>
      <c r="U20" s="27" t="s">
        <v>693</v>
      </c>
    </row>
    <row r="21" customFormat="false" ht="19.5" hidden="false" customHeight="true" outlineLevel="0" collapsed="false">
      <c r="A21" s="19" t="n">
        <v>32</v>
      </c>
      <c r="B21" s="15" t="s">
        <v>694</v>
      </c>
      <c r="C21" s="17" t="s">
        <v>260</v>
      </c>
      <c r="D21" s="16" t="n">
        <v>5</v>
      </c>
      <c r="E21" s="17" t="s">
        <v>39</v>
      </c>
      <c r="F21" s="17" t="s">
        <v>39</v>
      </c>
      <c r="G21" s="15" t="s">
        <v>432</v>
      </c>
      <c r="H21" s="18" t="s">
        <v>432</v>
      </c>
      <c r="I21" s="15" t="s">
        <v>382</v>
      </c>
      <c r="J21" s="17" t="s">
        <v>336</v>
      </c>
      <c r="K21" s="17" t="s">
        <v>159</v>
      </c>
      <c r="L21" s="19" t="s">
        <v>159</v>
      </c>
      <c r="M21" s="15" t="s">
        <v>349</v>
      </c>
      <c r="N21" s="17" t="n">
        <v>0</v>
      </c>
      <c r="O21" s="15" t="s">
        <v>339</v>
      </c>
      <c r="P21" s="19" t="s">
        <v>690</v>
      </c>
      <c r="Q21" s="15" t="s">
        <v>691</v>
      </c>
      <c r="R21" s="15" t="s">
        <v>692</v>
      </c>
      <c r="S21" s="15" t="s">
        <v>345</v>
      </c>
      <c r="T21" s="15" t="s">
        <v>341</v>
      </c>
      <c r="U21" s="15" t="s">
        <v>693</v>
      </c>
    </row>
    <row r="22" customFormat="false" ht="19.5" hidden="false" customHeight="true" outlineLevel="0" collapsed="false">
      <c r="A22" s="26" t="n">
        <v>39</v>
      </c>
      <c r="B22" s="27" t="s">
        <v>695</v>
      </c>
      <c r="C22" s="30" t="s">
        <v>260</v>
      </c>
      <c r="D22" s="39" t="n">
        <v>5</v>
      </c>
      <c r="E22" s="30" t="s">
        <v>39</v>
      </c>
      <c r="F22" s="30" t="s">
        <v>39</v>
      </c>
      <c r="G22" s="27" t="s">
        <v>375</v>
      </c>
      <c r="H22" s="40" t="s">
        <v>375</v>
      </c>
      <c r="I22" s="27" t="s">
        <v>342</v>
      </c>
      <c r="J22" s="30" t="s">
        <v>336</v>
      </c>
      <c r="K22" s="30" t="s">
        <v>146</v>
      </c>
      <c r="L22" s="26" t="s">
        <v>146</v>
      </c>
      <c r="M22" s="27" t="s">
        <v>343</v>
      </c>
      <c r="N22" s="30" t="n">
        <v>10018</v>
      </c>
      <c r="O22" s="27" t="s">
        <v>344</v>
      </c>
      <c r="P22" s="26" t="n">
        <v>10018</v>
      </c>
      <c r="Q22" s="27" t="s">
        <v>696</v>
      </c>
      <c r="R22" s="27" t="s">
        <v>648</v>
      </c>
      <c r="S22" s="27" t="s">
        <v>345</v>
      </c>
      <c r="T22" s="27" t="s">
        <v>341</v>
      </c>
      <c r="U22" s="27" t="s">
        <v>697</v>
      </c>
    </row>
    <row r="23" customFormat="false" ht="19.5" hidden="false" customHeight="true" outlineLevel="0" collapsed="false">
      <c r="A23" s="19" t="n">
        <v>47</v>
      </c>
      <c r="B23" s="15" t="s">
        <v>698</v>
      </c>
      <c r="C23" s="17" t="s">
        <v>287</v>
      </c>
      <c r="D23" s="16" t="n">
        <v>10</v>
      </c>
      <c r="E23" s="17" t="s">
        <v>63</v>
      </c>
      <c r="F23" s="17" t="s">
        <v>63</v>
      </c>
      <c r="G23" s="15" t="s">
        <v>145</v>
      </c>
      <c r="H23" s="18" t="s">
        <v>145</v>
      </c>
      <c r="I23" s="15" t="s">
        <v>342</v>
      </c>
      <c r="J23" s="17" t="s">
        <v>336</v>
      </c>
      <c r="K23" s="17" t="s">
        <v>146</v>
      </c>
      <c r="L23" s="19" t="s">
        <v>146</v>
      </c>
      <c r="M23" s="15" t="s">
        <v>343</v>
      </c>
      <c r="N23" s="17" t="n">
        <v>12920</v>
      </c>
      <c r="O23" s="15" t="s">
        <v>344</v>
      </c>
      <c r="P23" s="19" t="n">
        <v>12920</v>
      </c>
      <c r="Q23" s="15" t="s">
        <v>699</v>
      </c>
      <c r="R23" s="15" t="s">
        <v>648</v>
      </c>
      <c r="S23" s="15" t="s">
        <v>345</v>
      </c>
      <c r="T23" s="15" t="s">
        <v>341</v>
      </c>
      <c r="U23" s="15" t="s">
        <v>700</v>
      </c>
    </row>
    <row r="24" customFormat="false" ht="19.5" hidden="false" customHeight="true" outlineLevel="0" collapsed="false">
      <c r="A24" s="26" t="n">
        <v>48</v>
      </c>
      <c r="B24" s="27" t="s">
        <v>144</v>
      </c>
      <c r="C24" s="30" t="s">
        <v>272</v>
      </c>
      <c r="D24" s="39" t="n">
        <v>5</v>
      </c>
      <c r="E24" s="30" t="s">
        <v>63</v>
      </c>
      <c r="F24" s="30" t="s">
        <v>63</v>
      </c>
      <c r="G24" s="27" t="s">
        <v>145</v>
      </c>
      <c r="H24" s="40" t="s">
        <v>145</v>
      </c>
      <c r="I24" s="27" t="s">
        <v>342</v>
      </c>
      <c r="J24" s="30" t="s">
        <v>336</v>
      </c>
      <c r="K24" s="30" t="s">
        <v>146</v>
      </c>
      <c r="L24" s="26" t="s">
        <v>146</v>
      </c>
      <c r="M24" s="27" t="s">
        <v>343</v>
      </c>
      <c r="N24" s="30" t="n">
        <v>26320</v>
      </c>
      <c r="O24" s="27" t="s">
        <v>344</v>
      </c>
      <c r="P24" s="26" t="n">
        <v>12920</v>
      </c>
      <c r="Q24" s="27" t="s">
        <v>701</v>
      </c>
      <c r="R24" s="27" t="s">
        <v>702</v>
      </c>
      <c r="S24" s="27" t="s">
        <v>345</v>
      </c>
      <c r="T24" s="27" t="s">
        <v>341</v>
      </c>
      <c r="U24" s="27" t="s">
        <v>703</v>
      </c>
    </row>
    <row r="25" customFormat="false" ht="19.5" hidden="false" customHeight="true" outlineLevel="0" collapsed="false">
      <c r="A25" s="19" t="n">
        <v>49</v>
      </c>
      <c r="B25" s="15" t="s">
        <v>704</v>
      </c>
      <c r="C25" s="17" t="s">
        <v>287</v>
      </c>
      <c r="D25" s="16" t="n">
        <v>10</v>
      </c>
      <c r="E25" s="17" t="s">
        <v>63</v>
      </c>
      <c r="F25" s="17" t="s">
        <v>63</v>
      </c>
      <c r="G25" s="15" t="s">
        <v>145</v>
      </c>
      <c r="H25" s="18" t="s">
        <v>145</v>
      </c>
      <c r="I25" s="15" t="s">
        <v>342</v>
      </c>
      <c r="J25" s="17" t="s">
        <v>336</v>
      </c>
      <c r="K25" s="17" t="s">
        <v>146</v>
      </c>
      <c r="L25" s="19" t="s">
        <v>146</v>
      </c>
      <c r="M25" s="15" t="s">
        <v>343</v>
      </c>
      <c r="N25" s="17" t="n">
        <v>5217</v>
      </c>
      <c r="O25" s="15" t="s">
        <v>344</v>
      </c>
      <c r="P25" s="19" t="n">
        <v>5217</v>
      </c>
      <c r="Q25" s="15" t="s">
        <v>705</v>
      </c>
      <c r="R25" s="15" t="s">
        <v>648</v>
      </c>
      <c r="S25" s="15" t="s">
        <v>345</v>
      </c>
      <c r="T25" s="15" t="s">
        <v>341</v>
      </c>
      <c r="U25" s="15" t="s">
        <v>706</v>
      </c>
    </row>
    <row r="26" customFormat="false" ht="19.5" hidden="false" customHeight="true" outlineLevel="0" collapsed="false">
      <c r="A26" s="26" t="n">
        <v>51</v>
      </c>
      <c r="B26" s="27" t="s">
        <v>707</v>
      </c>
      <c r="C26" s="30" t="s">
        <v>708</v>
      </c>
      <c r="D26" s="39" t="n">
        <v>2</v>
      </c>
      <c r="E26" s="30" t="s">
        <v>63</v>
      </c>
      <c r="F26" s="30" t="s">
        <v>63</v>
      </c>
      <c r="G26" s="27" t="s">
        <v>145</v>
      </c>
      <c r="H26" s="40" t="s">
        <v>145</v>
      </c>
      <c r="I26" s="27" t="s">
        <v>342</v>
      </c>
      <c r="J26" s="30" t="s">
        <v>336</v>
      </c>
      <c r="K26" s="30" t="s">
        <v>146</v>
      </c>
      <c r="L26" s="26" t="s">
        <v>146</v>
      </c>
      <c r="M26" s="27" t="s">
        <v>343</v>
      </c>
      <c r="N26" s="30" t="n">
        <v>33217</v>
      </c>
      <c r="O26" s="27" t="s">
        <v>344</v>
      </c>
      <c r="P26" s="26" t="n">
        <v>33217</v>
      </c>
      <c r="Q26" s="27" t="s">
        <v>709</v>
      </c>
      <c r="R26" s="27" t="s">
        <v>648</v>
      </c>
      <c r="S26" s="27" t="s">
        <v>345</v>
      </c>
      <c r="T26" s="27" t="s">
        <v>341</v>
      </c>
      <c r="U26" s="27" t="s">
        <v>710</v>
      </c>
    </row>
    <row r="27" customFormat="false" ht="19.5" hidden="false" customHeight="true" outlineLevel="0" collapsed="false">
      <c r="A27" s="19" t="n">
        <v>53</v>
      </c>
      <c r="B27" s="15" t="s">
        <v>711</v>
      </c>
      <c r="C27" s="17" t="s">
        <v>260</v>
      </c>
      <c r="D27" s="16" t="n">
        <v>5</v>
      </c>
      <c r="E27" s="17" t="s">
        <v>39</v>
      </c>
      <c r="F27" s="17" t="s">
        <v>39</v>
      </c>
      <c r="G27" s="15" t="s">
        <v>380</v>
      </c>
      <c r="H27" s="18" t="s">
        <v>380</v>
      </c>
      <c r="I27" s="15" t="s">
        <v>379</v>
      </c>
      <c r="J27" s="17" t="s">
        <v>336</v>
      </c>
      <c r="K27" s="17" t="s">
        <v>140</v>
      </c>
      <c r="L27" s="19" t="s">
        <v>140</v>
      </c>
      <c r="M27" s="15" t="s">
        <v>343</v>
      </c>
      <c r="N27" s="17" t="n">
        <v>22922</v>
      </c>
      <c r="O27" s="15" t="s">
        <v>344</v>
      </c>
      <c r="P27" s="19" t="n">
        <v>22922</v>
      </c>
      <c r="Q27" s="15" t="s">
        <v>712</v>
      </c>
      <c r="R27" s="15" t="s">
        <v>648</v>
      </c>
      <c r="S27" s="15" t="s">
        <v>345</v>
      </c>
      <c r="T27" s="15" t="s">
        <v>341</v>
      </c>
      <c r="U27" s="15" t="s">
        <v>713</v>
      </c>
    </row>
    <row r="28" customFormat="false" ht="19.5" hidden="false" customHeight="true" outlineLevel="0" collapsed="false">
      <c r="A28" s="26" t="n">
        <v>55</v>
      </c>
      <c r="B28" s="27" t="s">
        <v>94</v>
      </c>
      <c r="C28" s="30" t="s">
        <v>263</v>
      </c>
      <c r="D28" s="39" t="n">
        <v>20</v>
      </c>
      <c r="E28" s="30" t="s">
        <v>39</v>
      </c>
      <c r="F28" s="30" t="s">
        <v>39</v>
      </c>
      <c r="G28" s="27" t="s">
        <v>95</v>
      </c>
      <c r="H28" s="40" t="s">
        <v>95</v>
      </c>
      <c r="I28" s="27" t="s">
        <v>382</v>
      </c>
      <c r="J28" s="30" t="s">
        <v>336</v>
      </c>
      <c r="K28" s="30" t="s">
        <v>159</v>
      </c>
      <c r="L28" s="26" t="s">
        <v>159</v>
      </c>
      <c r="M28" s="27" t="s">
        <v>349</v>
      </c>
      <c r="N28" s="30" t="n">
        <v>0</v>
      </c>
      <c r="O28" s="27" t="s">
        <v>339</v>
      </c>
      <c r="P28" s="26" t="s">
        <v>690</v>
      </c>
      <c r="Q28" s="27" t="s">
        <v>691</v>
      </c>
      <c r="R28" s="27" t="s">
        <v>692</v>
      </c>
      <c r="S28" s="27" t="s">
        <v>345</v>
      </c>
      <c r="T28" s="27" t="s">
        <v>341</v>
      </c>
      <c r="U28" s="27" t="s">
        <v>693</v>
      </c>
    </row>
    <row r="29" customFormat="false" ht="19.5" hidden="false" customHeight="true" outlineLevel="0" collapsed="false">
      <c r="A29" s="19" t="n">
        <v>57</v>
      </c>
      <c r="B29" s="15" t="s">
        <v>714</v>
      </c>
      <c r="C29" s="17" t="s">
        <v>715</v>
      </c>
      <c r="D29" s="16" t="n">
        <v>1</v>
      </c>
      <c r="E29" s="17" t="s">
        <v>63</v>
      </c>
      <c r="F29" s="17" t="s">
        <v>63</v>
      </c>
      <c r="G29" s="15" t="s">
        <v>391</v>
      </c>
      <c r="H29" s="18" t="s">
        <v>391</v>
      </c>
      <c r="I29" s="15" t="s">
        <v>392</v>
      </c>
      <c r="J29" s="17" t="s">
        <v>336</v>
      </c>
      <c r="K29" s="17" t="s">
        <v>82</v>
      </c>
      <c r="L29" s="19" t="s">
        <v>82</v>
      </c>
      <c r="M29" s="15" t="s">
        <v>343</v>
      </c>
      <c r="N29" s="17" t="n">
        <v>0</v>
      </c>
      <c r="O29" s="15" t="s">
        <v>353</v>
      </c>
      <c r="P29" s="19" t="n">
        <v>44024</v>
      </c>
      <c r="Q29" s="15" t="s">
        <v>716</v>
      </c>
      <c r="R29" s="15" t="s">
        <v>717</v>
      </c>
      <c r="S29" s="15" t="s">
        <v>345</v>
      </c>
      <c r="T29" s="15" t="s">
        <v>341</v>
      </c>
      <c r="U29" s="15" t="s">
        <v>718</v>
      </c>
    </row>
    <row r="30" customFormat="false" ht="19.5" hidden="false" customHeight="true" outlineLevel="0" collapsed="false">
      <c r="A30" s="26" t="n">
        <v>67</v>
      </c>
      <c r="B30" s="27" t="s">
        <v>719</v>
      </c>
      <c r="C30" s="30" t="s">
        <v>263</v>
      </c>
      <c r="D30" s="39" t="n">
        <v>20</v>
      </c>
      <c r="E30" s="30" t="s">
        <v>39</v>
      </c>
      <c r="F30" s="30" t="s">
        <v>39</v>
      </c>
      <c r="G30" s="27" t="s">
        <v>395</v>
      </c>
      <c r="H30" s="40" t="s">
        <v>395</v>
      </c>
      <c r="I30" s="27" t="s">
        <v>379</v>
      </c>
      <c r="J30" s="30" t="s">
        <v>336</v>
      </c>
      <c r="K30" s="30" t="s">
        <v>140</v>
      </c>
      <c r="L30" s="26" t="s">
        <v>140</v>
      </c>
      <c r="M30" s="27" t="s">
        <v>343</v>
      </c>
      <c r="N30" s="30" t="n">
        <v>24117</v>
      </c>
      <c r="O30" s="27" t="s">
        <v>344</v>
      </c>
      <c r="P30" s="26" t="n">
        <v>24117</v>
      </c>
      <c r="Q30" s="27" t="s">
        <v>720</v>
      </c>
      <c r="R30" s="27" t="s">
        <v>648</v>
      </c>
      <c r="S30" s="27" t="s">
        <v>345</v>
      </c>
      <c r="T30" s="27" t="s">
        <v>341</v>
      </c>
      <c r="U30" s="27" t="s">
        <v>721</v>
      </c>
    </row>
    <row r="31" customFormat="false" ht="19.5" hidden="false" customHeight="true" outlineLevel="0" collapsed="false">
      <c r="A31" s="19" t="n">
        <v>68</v>
      </c>
      <c r="B31" s="15" t="s">
        <v>722</v>
      </c>
      <c r="C31" s="17" t="s">
        <v>263</v>
      </c>
      <c r="D31" s="16" t="n">
        <v>20</v>
      </c>
      <c r="E31" s="17" t="s">
        <v>39</v>
      </c>
      <c r="F31" s="17" t="s">
        <v>39</v>
      </c>
      <c r="G31" s="15" t="s">
        <v>399</v>
      </c>
      <c r="H31" s="18" t="s">
        <v>399</v>
      </c>
      <c r="I31" s="15" t="s">
        <v>382</v>
      </c>
      <c r="J31" s="17" t="s">
        <v>336</v>
      </c>
      <c r="K31" s="17" t="s">
        <v>159</v>
      </c>
      <c r="L31" s="19" t="s">
        <v>159</v>
      </c>
      <c r="M31" s="15" t="s">
        <v>349</v>
      </c>
      <c r="N31" s="17" t="n">
        <v>0</v>
      </c>
      <c r="O31" s="15" t="s">
        <v>339</v>
      </c>
      <c r="P31" s="19" t="s">
        <v>690</v>
      </c>
      <c r="Q31" s="15" t="s">
        <v>691</v>
      </c>
      <c r="R31" s="15" t="s">
        <v>692</v>
      </c>
      <c r="S31" s="15" t="s">
        <v>345</v>
      </c>
      <c r="T31" s="15" t="s">
        <v>341</v>
      </c>
      <c r="U31" s="15" t="s">
        <v>693</v>
      </c>
    </row>
    <row r="32" customFormat="false" ht="19.5" hidden="false" customHeight="true" outlineLevel="0" collapsed="false">
      <c r="A32" s="26" t="n">
        <v>70</v>
      </c>
      <c r="B32" s="27" t="s">
        <v>723</v>
      </c>
      <c r="C32" s="30" t="s">
        <v>263</v>
      </c>
      <c r="D32" s="39" t="n">
        <v>20</v>
      </c>
      <c r="E32" s="30" t="s">
        <v>39</v>
      </c>
      <c r="F32" s="30" t="s">
        <v>39</v>
      </c>
      <c r="G32" s="27" t="s">
        <v>407</v>
      </c>
      <c r="H32" s="40" t="s">
        <v>407</v>
      </c>
      <c r="I32" s="27" t="s">
        <v>382</v>
      </c>
      <c r="J32" s="30" t="s">
        <v>336</v>
      </c>
      <c r="K32" s="30" t="s">
        <v>557</v>
      </c>
      <c r="L32" s="26" t="s">
        <v>159</v>
      </c>
      <c r="M32" s="27" t="s">
        <v>349</v>
      </c>
      <c r="N32" s="30" t="n">
        <v>0</v>
      </c>
      <c r="O32" s="27" t="s">
        <v>339</v>
      </c>
      <c r="P32" s="26" t="s">
        <v>690</v>
      </c>
      <c r="Q32" s="27" t="s">
        <v>691</v>
      </c>
      <c r="R32" s="27" t="s">
        <v>692</v>
      </c>
      <c r="S32" s="27" t="s">
        <v>345</v>
      </c>
      <c r="T32" s="27" t="s">
        <v>341</v>
      </c>
      <c r="U32" s="27" t="s">
        <v>724</v>
      </c>
    </row>
    <row r="33" customFormat="false" ht="19.5" hidden="false" customHeight="true" outlineLevel="0" collapsed="false">
      <c r="A33" s="19" t="n">
        <v>74</v>
      </c>
      <c r="B33" s="15" t="s">
        <v>725</v>
      </c>
      <c r="C33" s="17" t="s">
        <v>260</v>
      </c>
      <c r="D33" s="16" t="n">
        <v>5</v>
      </c>
      <c r="E33" s="17" t="s">
        <v>39</v>
      </c>
      <c r="F33" s="17" t="s">
        <v>39</v>
      </c>
      <c r="G33" s="15" t="s">
        <v>408</v>
      </c>
      <c r="H33" s="18" t="s">
        <v>408</v>
      </c>
      <c r="I33" s="15" t="s">
        <v>356</v>
      </c>
      <c r="J33" s="17" t="s">
        <v>336</v>
      </c>
      <c r="K33" s="17" t="s">
        <v>409</v>
      </c>
      <c r="L33" s="19" t="s">
        <v>409</v>
      </c>
      <c r="M33" s="15" t="s">
        <v>343</v>
      </c>
      <c r="N33" s="17" t="n">
        <v>8214</v>
      </c>
      <c r="O33" s="15" t="s">
        <v>344</v>
      </c>
      <c r="P33" s="19" t="n">
        <v>8214</v>
      </c>
      <c r="Q33" s="15" t="s">
        <v>726</v>
      </c>
      <c r="R33" s="15" t="s">
        <v>648</v>
      </c>
      <c r="S33" s="15" t="s">
        <v>345</v>
      </c>
      <c r="T33" s="15" t="s">
        <v>341</v>
      </c>
      <c r="U33" s="15" t="s">
        <v>727</v>
      </c>
    </row>
    <row r="34" customFormat="false" ht="19.5" hidden="false" customHeight="true" outlineLevel="0" collapsed="false">
      <c r="A34" s="26" t="n">
        <v>80</v>
      </c>
      <c r="B34" s="27" t="s">
        <v>728</v>
      </c>
      <c r="C34" s="30" t="s">
        <v>263</v>
      </c>
      <c r="D34" s="39" t="n">
        <v>20</v>
      </c>
      <c r="E34" s="30" t="s">
        <v>39</v>
      </c>
      <c r="F34" s="30" t="s">
        <v>39</v>
      </c>
      <c r="G34" s="27" t="s">
        <v>411</v>
      </c>
      <c r="H34" s="40" t="s">
        <v>411</v>
      </c>
      <c r="I34" s="27" t="s">
        <v>342</v>
      </c>
      <c r="J34" s="30" t="s">
        <v>336</v>
      </c>
      <c r="K34" s="30" t="s">
        <v>111</v>
      </c>
      <c r="L34" s="26" t="s">
        <v>111</v>
      </c>
      <c r="M34" s="27" t="s">
        <v>343</v>
      </c>
      <c r="N34" s="30" t="n">
        <v>11117</v>
      </c>
      <c r="O34" s="27" t="s">
        <v>344</v>
      </c>
      <c r="P34" s="26" t="n">
        <v>11117</v>
      </c>
      <c r="Q34" s="27" t="s">
        <v>729</v>
      </c>
      <c r="R34" s="27" t="s">
        <v>648</v>
      </c>
      <c r="S34" s="27" t="s">
        <v>345</v>
      </c>
      <c r="T34" s="27" t="s">
        <v>341</v>
      </c>
      <c r="U34" s="27" t="s">
        <v>730</v>
      </c>
    </row>
    <row r="35" customFormat="false" ht="19.5" hidden="false" customHeight="true" outlineLevel="0" collapsed="false">
      <c r="A35" s="19" t="n">
        <v>84</v>
      </c>
      <c r="B35" s="15" t="s">
        <v>731</v>
      </c>
      <c r="C35" s="17" t="s">
        <v>263</v>
      </c>
      <c r="D35" s="16" t="n">
        <v>20</v>
      </c>
      <c r="E35" s="17" t="s">
        <v>39</v>
      </c>
      <c r="F35" s="17" t="s">
        <v>39</v>
      </c>
      <c r="G35" s="15" t="s">
        <v>411</v>
      </c>
      <c r="H35" s="18" t="s">
        <v>411</v>
      </c>
      <c r="I35" s="15" t="s">
        <v>342</v>
      </c>
      <c r="J35" s="17" t="s">
        <v>336</v>
      </c>
      <c r="K35" s="17" t="s">
        <v>111</v>
      </c>
      <c r="L35" s="19" t="s">
        <v>111</v>
      </c>
      <c r="M35" s="15" t="s">
        <v>343</v>
      </c>
      <c r="N35" s="17" t="n">
        <v>22221</v>
      </c>
      <c r="O35" s="15" t="s">
        <v>344</v>
      </c>
      <c r="P35" s="19" t="n">
        <v>22221</v>
      </c>
      <c r="Q35" s="15" t="s">
        <v>732</v>
      </c>
      <c r="R35" s="15" t="s">
        <v>648</v>
      </c>
      <c r="S35" s="15" t="s">
        <v>345</v>
      </c>
      <c r="T35" s="15" t="s">
        <v>341</v>
      </c>
      <c r="U35" s="15" t="s">
        <v>733</v>
      </c>
    </row>
    <row r="36" customFormat="false" ht="19.5" hidden="false" customHeight="true" outlineLevel="0" collapsed="false">
      <c r="A36" s="26" t="n">
        <v>87</v>
      </c>
      <c r="B36" s="27" t="s">
        <v>734</v>
      </c>
      <c r="C36" s="30" t="s">
        <v>263</v>
      </c>
      <c r="D36" s="39" t="n">
        <v>20</v>
      </c>
      <c r="E36" s="30" t="s">
        <v>39</v>
      </c>
      <c r="F36" s="30" t="s">
        <v>39</v>
      </c>
      <c r="G36" s="27" t="s">
        <v>411</v>
      </c>
      <c r="H36" s="40" t="s">
        <v>411</v>
      </c>
      <c r="I36" s="27" t="s">
        <v>342</v>
      </c>
      <c r="J36" s="30" t="s">
        <v>336</v>
      </c>
      <c r="K36" s="30" t="s">
        <v>111</v>
      </c>
      <c r="L36" s="26" t="s">
        <v>111</v>
      </c>
      <c r="M36" s="27" t="s">
        <v>343</v>
      </c>
      <c r="N36" s="30" t="n">
        <v>479097</v>
      </c>
      <c r="O36" s="27" t="s">
        <v>344</v>
      </c>
      <c r="P36" s="26" t="n">
        <v>479097</v>
      </c>
      <c r="Q36" s="27" t="s">
        <v>735</v>
      </c>
      <c r="R36" s="27" t="s">
        <v>648</v>
      </c>
      <c r="S36" s="27" t="s">
        <v>345</v>
      </c>
      <c r="T36" s="27" t="s">
        <v>341</v>
      </c>
      <c r="U36" s="27" t="s">
        <v>736</v>
      </c>
    </row>
    <row r="37" customFormat="false" ht="19.5" hidden="false" customHeight="true" outlineLevel="0" collapsed="false">
      <c r="A37" s="19" t="n">
        <v>88</v>
      </c>
      <c r="B37" s="15" t="s">
        <v>737</v>
      </c>
      <c r="C37" s="17" t="s">
        <v>263</v>
      </c>
      <c r="D37" s="16" t="n">
        <v>20</v>
      </c>
      <c r="E37" s="17" t="s">
        <v>39</v>
      </c>
      <c r="F37" s="17" t="s">
        <v>39</v>
      </c>
      <c r="G37" s="15" t="s">
        <v>411</v>
      </c>
      <c r="H37" s="18" t="s">
        <v>411</v>
      </c>
      <c r="I37" s="15" t="s">
        <v>342</v>
      </c>
      <c r="J37" s="17" t="s">
        <v>336</v>
      </c>
      <c r="K37" s="17" t="s">
        <v>111</v>
      </c>
      <c r="L37" s="19" t="s">
        <v>111</v>
      </c>
      <c r="M37" s="15" t="s">
        <v>343</v>
      </c>
      <c r="N37" s="17" t="n">
        <v>28917</v>
      </c>
      <c r="O37" s="15" t="s">
        <v>344</v>
      </c>
      <c r="P37" s="19" t="n">
        <v>28917</v>
      </c>
      <c r="Q37" s="15" t="s">
        <v>738</v>
      </c>
      <c r="R37" s="15" t="s">
        <v>648</v>
      </c>
      <c r="S37" s="15" t="s">
        <v>345</v>
      </c>
      <c r="T37" s="15" t="s">
        <v>341</v>
      </c>
      <c r="U37" s="15" t="s">
        <v>739</v>
      </c>
    </row>
    <row r="38" customFormat="false" ht="19.5" hidden="false" customHeight="true" outlineLevel="0" collapsed="false">
      <c r="A38" s="26" t="n">
        <v>91</v>
      </c>
      <c r="B38" s="27" t="s">
        <v>740</v>
      </c>
      <c r="C38" s="30" t="s">
        <v>741</v>
      </c>
      <c r="D38" s="39" t="n">
        <v>0.24</v>
      </c>
      <c r="E38" s="30" t="s">
        <v>63</v>
      </c>
      <c r="F38" s="30" t="s">
        <v>63</v>
      </c>
      <c r="G38" s="27" t="s">
        <v>414</v>
      </c>
      <c r="H38" s="40" t="s">
        <v>414</v>
      </c>
      <c r="I38" s="27" t="s">
        <v>342</v>
      </c>
      <c r="J38" s="30" t="s">
        <v>336</v>
      </c>
      <c r="K38" s="30" t="s">
        <v>111</v>
      </c>
      <c r="L38" s="26" t="s">
        <v>111</v>
      </c>
      <c r="M38" s="27" t="s">
        <v>343</v>
      </c>
      <c r="N38" s="30" t="n">
        <v>7398</v>
      </c>
      <c r="O38" s="27" t="s">
        <v>344</v>
      </c>
      <c r="P38" s="26" t="n">
        <v>7398</v>
      </c>
      <c r="Q38" s="27" t="s">
        <v>742</v>
      </c>
      <c r="R38" s="27" t="s">
        <v>648</v>
      </c>
      <c r="S38" s="27" t="s">
        <v>345</v>
      </c>
      <c r="T38" s="27" t="s">
        <v>341</v>
      </c>
      <c r="U38" s="27" t="s">
        <v>743</v>
      </c>
    </row>
    <row r="39" customFormat="false" ht="19.5" hidden="false" customHeight="true" outlineLevel="0" collapsed="false">
      <c r="A39" s="19" t="n">
        <v>93</v>
      </c>
      <c r="B39" s="15" t="s">
        <v>744</v>
      </c>
      <c r="C39" s="17" t="s">
        <v>260</v>
      </c>
      <c r="D39" s="16" t="n">
        <v>5</v>
      </c>
      <c r="E39" s="17" t="s">
        <v>39</v>
      </c>
      <c r="F39" s="17" t="s">
        <v>39</v>
      </c>
      <c r="G39" s="15" t="s">
        <v>415</v>
      </c>
      <c r="H39" s="18" t="s">
        <v>415</v>
      </c>
      <c r="I39" s="15" t="s">
        <v>356</v>
      </c>
      <c r="J39" s="17" t="s">
        <v>336</v>
      </c>
      <c r="K39" s="17" t="s">
        <v>82</v>
      </c>
      <c r="L39" s="19" t="s">
        <v>82</v>
      </c>
      <c r="M39" s="15" t="s">
        <v>343</v>
      </c>
      <c r="N39" s="17" t="n">
        <v>9109</v>
      </c>
      <c r="O39" s="15" t="s">
        <v>344</v>
      </c>
      <c r="P39" s="19" t="n">
        <v>9109</v>
      </c>
      <c r="Q39" s="15" t="s">
        <v>745</v>
      </c>
      <c r="R39" s="15" t="s">
        <v>648</v>
      </c>
      <c r="S39" s="15" t="s">
        <v>345</v>
      </c>
      <c r="T39" s="15" t="s">
        <v>341</v>
      </c>
      <c r="U39" s="15" t="s">
        <v>746</v>
      </c>
    </row>
    <row r="40" customFormat="false" ht="19.5" hidden="false" customHeight="true" outlineLevel="0" collapsed="false">
      <c r="A40" s="26" t="n">
        <v>95</v>
      </c>
      <c r="B40" s="27" t="s">
        <v>747</v>
      </c>
      <c r="C40" s="30" t="s">
        <v>260</v>
      </c>
      <c r="D40" s="39" t="n">
        <v>5</v>
      </c>
      <c r="E40" s="30" t="s">
        <v>39</v>
      </c>
      <c r="F40" s="30" t="s">
        <v>39</v>
      </c>
      <c r="G40" s="27" t="s">
        <v>416</v>
      </c>
      <c r="H40" s="40" t="s">
        <v>416</v>
      </c>
      <c r="I40" s="27" t="s">
        <v>356</v>
      </c>
      <c r="J40" s="30" t="s">
        <v>336</v>
      </c>
      <c r="K40" s="30" t="s">
        <v>82</v>
      </c>
      <c r="L40" s="26" t="s">
        <v>82</v>
      </c>
      <c r="M40" s="27" t="s">
        <v>343</v>
      </c>
      <c r="N40" s="30" t="n">
        <v>9515</v>
      </c>
      <c r="O40" s="27" t="s">
        <v>344</v>
      </c>
      <c r="P40" s="26" t="n">
        <v>9515</v>
      </c>
      <c r="Q40" s="27" t="s">
        <v>748</v>
      </c>
      <c r="R40" s="27" t="s">
        <v>648</v>
      </c>
      <c r="S40" s="27" t="s">
        <v>345</v>
      </c>
      <c r="T40" s="27" t="s">
        <v>341</v>
      </c>
      <c r="U40" s="27" t="s">
        <v>749</v>
      </c>
    </row>
    <row r="41" customFormat="false" ht="19.5" hidden="false" customHeight="true" outlineLevel="0" collapsed="false">
      <c r="A41" s="19" t="n">
        <v>103</v>
      </c>
      <c r="B41" s="15" t="s">
        <v>750</v>
      </c>
      <c r="C41" s="17" t="s">
        <v>751</v>
      </c>
      <c r="D41" s="16" t="n">
        <v>25</v>
      </c>
      <c r="E41" s="17" t="s">
        <v>63</v>
      </c>
      <c r="F41" s="17" t="s">
        <v>63</v>
      </c>
      <c r="G41" s="15" t="s">
        <v>425</v>
      </c>
      <c r="H41" s="18" t="s">
        <v>425</v>
      </c>
      <c r="I41" s="15" t="s">
        <v>379</v>
      </c>
      <c r="J41" s="17" t="s">
        <v>336</v>
      </c>
      <c r="K41" s="17" t="s">
        <v>140</v>
      </c>
      <c r="L41" s="19" t="s">
        <v>140</v>
      </c>
      <c r="M41" s="15" t="s">
        <v>343</v>
      </c>
      <c r="N41" s="17" t="n">
        <v>711</v>
      </c>
      <c r="O41" s="15" t="s">
        <v>344</v>
      </c>
      <c r="P41" s="19" t="n">
        <v>711</v>
      </c>
      <c r="Q41" s="15" t="s">
        <v>752</v>
      </c>
      <c r="R41" s="15" t="s">
        <v>648</v>
      </c>
      <c r="S41" s="15" t="s">
        <v>345</v>
      </c>
      <c r="T41" s="15" t="s">
        <v>341</v>
      </c>
      <c r="U41" s="15" t="s">
        <v>753</v>
      </c>
    </row>
    <row r="42" customFormat="false" ht="19.5" hidden="false" customHeight="true" outlineLevel="0" collapsed="false">
      <c r="A42" s="26" t="n">
        <v>109</v>
      </c>
      <c r="B42" s="27" t="s">
        <v>134</v>
      </c>
      <c r="C42" s="30" t="s">
        <v>263</v>
      </c>
      <c r="D42" s="39" t="n">
        <v>20</v>
      </c>
      <c r="E42" s="30" t="s">
        <v>39</v>
      </c>
      <c r="F42" s="30" t="s">
        <v>39</v>
      </c>
      <c r="G42" s="27" t="s">
        <v>135</v>
      </c>
      <c r="H42" s="40" t="s">
        <v>135</v>
      </c>
      <c r="I42" s="27" t="s">
        <v>379</v>
      </c>
      <c r="J42" s="30" t="s">
        <v>336</v>
      </c>
      <c r="K42" s="30" t="s">
        <v>136</v>
      </c>
      <c r="L42" s="26" t="s">
        <v>140</v>
      </c>
      <c r="M42" s="27" t="s">
        <v>343</v>
      </c>
      <c r="N42" s="30" t="n">
        <v>26320</v>
      </c>
      <c r="O42" s="27" t="s">
        <v>344</v>
      </c>
      <c r="P42" s="26" t="n">
        <v>26321</v>
      </c>
      <c r="Q42" s="27" t="s">
        <v>754</v>
      </c>
      <c r="R42" s="27" t="s">
        <v>702</v>
      </c>
      <c r="S42" s="27" t="s">
        <v>345</v>
      </c>
      <c r="T42" s="27" t="s">
        <v>341</v>
      </c>
      <c r="U42" s="27" t="s">
        <v>755</v>
      </c>
    </row>
    <row r="43" customFormat="false" ht="19.5" hidden="false" customHeight="true" outlineLevel="0" collapsed="false">
      <c r="A43" s="19" t="n">
        <v>112</v>
      </c>
      <c r="B43" s="15" t="s">
        <v>756</v>
      </c>
      <c r="C43" s="17" t="s">
        <v>263</v>
      </c>
      <c r="D43" s="16" t="n">
        <v>20</v>
      </c>
      <c r="E43" s="17" t="s">
        <v>39</v>
      </c>
      <c r="F43" s="17" t="s">
        <v>39</v>
      </c>
      <c r="G43" s="15" t="s">
        <v>135</v>
      </c>
      <c r="H43" s="18" t="s">
        <v>135</v>
      </c>
      <c r="I43" s="15" t="s">
        <v>379</v>
      </c>
      <c r="J43" s="17" t="s">
        <v>336</v>
      </c>
      <c r="K43" s="17" t="s">
        <v>140</v>
      </c>
      <c r="L43" s="19" t="s">
        <v>140</v>
      </c>
      <c r="M43" s="15" t="s">
        <v>343</v>
      </c>
      <c r="N43" s="17" t="n">
        <v>23419</v>
      </c>
      <c r="O43" s="15" t="s">
        <v>344</v>
      </c>
      <c r="P43" s="19" t="n">
        <v>23419</v>
      </c>
      <c r="Q43" s="15" t="s">
        <v>757</v>
      </c>
      <c r="R43" s="15" t="s">
        <v>648</v>
      </c>
      <c r="S43" s="15" t="s">
        <v>345</v>
      </c>
      <c r="T43" s="15" t="s">
        <v>341</v>
      </c>
      <c r="U43" s="15" t="s">
        <v>758</v>
      </c>
    </row>
    <row r="44" customFormat="false" ht="19.5" hidden="false" customHeight="true" outlineLevel="0" collapsed="false">
      <c r="A44" s="26" t="n">
        <v>115</v>
      </c>
      <c r="B44" s="27" t="s">
        <v>759</v>
      </c>
      <c r="C44" s="30" t="s">
        <v>263</v>
      </c>
      <c r="D44" s="39" t="n">
        <v>20</v>
      </c>
      <c r="E44" s="30" t="s">
        <v>39</v>
      </c>
      <c r="F44" s="30" t="s">
        <v>39</v>
      </c>
      <c r="G44" s="27" t="s">
        <v>429</v>
      </c>
      <c r="H44" s="40" t="s">
        <v>429</v>
      </c>
      <c r="I44" s="27" t="s">
        <v>356</v>
      </c>
      <c r="J44" s="30" t="s">
        <v>336</v>
      </c>
      <c r="K44" s="30" t="s">
        <v>82</v>
      </c>
      <c r="L44" s="26" t="s">
        <v>82</v>
      </c>
      <c r="M44" s="27" t="s">
        <v>343</v>
      </c>
      <c r="N44" s="30" t="n">
        <v>24320</v>
      </c>
      <c r="O44" s="27" t="s">
        <v>344</v>
      </c>
      <c r="P44" s="26" t="n">
        <v>24320</v>
      </c>
      <c r="Q44" s="27" t="s">
        <v>760</v>
      </c>
      <c r="R44" s="27" t="s">
        <v>648</v>
      </c>
      <c r="S44" s="27" t="s">
        <v>345</v>
      </c>
      <c r="T44" s="27" t="s">
        <v>341</v>
      </c>
      <c r="U44" s="27" t="s">
        <v>761</v>
      </c>
    </row>
    <row r="45" customFormat="false" ht="19.5" hidden="false" customHeight="true" outlineLevel="0" collapsed="false">
      <c r="A45" s="19" t="n">
        <v>120</v>
      </c>
      <c r="B45" s="15" t="s">
        <v>762</v>
      </c>
      <c r="C45" s="17" t="s">
        <v>763</v>
      </c>
      <c r="D45" s="16" t="n">
        <v>10</v>
      </c>
      <c r="E45" s="17" t="s">
        <v>39</v>
      </c>
      <c r="F45" s="17" t="s">
        <v>39</v>
      </c>
      <c r="G45" s="15" t="s">
        <v>429</v>
      </c>
      <c r="H45" s="18" t="s">
        <v>429</v>
      </c>
      <c r="I45" s="15" t="s">
        <v>356</v>
      </c>
      <c r="J45" s="17" t="s">
        <v>336</v>
      </c>
      <c r="K45" s="17" t="s">
        <v>82</v>
      </c>
      <c r="L45" s="19" t="s">
        <v>82</v>
      </c>
      <c r="M45" s="15" t="s">
        <v>343</v>
      </c>
      <c r="N45" s="17" t="n">
        <v>7899</v>
      </c>
      <c r="O45" s="15" t="s">
        <v>344</v>
      </c>
      <c r="P45" s="19" t="n">
        <v>7899</v>
      </c>
      <c r="Q45" s="15" t="s">
        <v>764</v>
      </c>
      <c r="R45" s="15" t="s">
        <v>648</v>
      </c>
      <c r="S45" s="15" t="s">
        <v>345</v>
      </c>
      <c r="T45" s="15" t="s">
        <v>341</v>
      </c>
      <c r="U45" s="15" t="s">
        <v>765</v>
      </c>
    </row>
    <row r="46" customFormat="false" ht="19.5" hidden="false" customHeight="true" outlineLevel="0" collapsed="false">
      <c r="A46" s="26" t="n">
        <v>123</v>
      </c>
      <c r="B46" s="27" t="s">
        <v>766</v>
      </c>
      <c r="C46" s="30" t="s">
        <v>263</v>
      </c>
      <c r="D46" s="39" t="n">
        <v>20</v>
      </c>
      <c r="E46" s="30" t="s">
        <v>39</v>
      </c>
      <c r="F46" s="30" t="s">
        <v>39</v>
      </c>
      <c r="G46" s="27" t="s">
        <v>429</v>
      </c>
      <c r="H46" s="40" t="s">
        <v>429</v>
      </c>
      <c r="I46" s="27" t="s">
        <v>356</v>
      </c>
      <c r="J46" s="30" t="s">
        <v>336</v>
      </c>
      <c r="K46" s="30" t="s">
        <v>82</v>
      </c>
      <c r="L46" s="26" t="s">
        <v>82</v>
      </c>
      <c r="M46" s="27" t="s">
        <v>343</v>
      </c>
      <c r="N46" s="30" t="n">
        <v>18618</v>
      </c>
      <c r="O46" s="27" t="s">
        <v>344</v>
      </c>
      <c r="P46" s="26" t="n">
        <v>18618</v>
      </c>
      <c r="Q46" s="27" t="s">
        <v>767</v>
      </c>
      <c r="R46" s="27" t="s">
        <v>648</v>
      </c>
      <c r="S46" s="27" t="s">
        <v>345</v>
      </c>
      <c r="T46" s="27" t="s">
        <v>341</v>
      </c>
      <c r="U46" s="27" t="s">
        <v>768</v>
      </c>
    </row>
    <row r="47" customFormat="false" ht="19.5" hidden="false" customHeight="true" outlineLevel="0" collapsed="false">
      <c r="A47" s="19" t="n">
        <v>125</v>
      </c>
      <c r="B47" s="15" t="s">
        <v>769</v>
      </c>
      <c r="C47" s="17" t="s">
        <v>770</v>
      </c>
      <c r="D47" s="16" t="n">
        <v>0.8</v>
      </c>
      <c r="E47" s="17" t="s">
        <v>63</v>
      </c>
      <c r="F47" s="17" t="s">
        <v>63</v>
      </c>
      <c r="G47" s="15" t="s">
        <v>440</v>
      </c>
      <c r="H47" s="18" t="s">
        <v>440</v>
      </c>
      <c r="I47" s="15" t="s">
        <v>441</v>
      </c>
      <c r="J47" s="17" t="s">
        <v>336</v>
      </c>
      <c r="K47" s="17" t="s">
        <v>442</v>
      </c>
      <c r="L47" s="19" t="s">
        <v>442</v>
      </c>
      <c r="M47" s="15" t="s">
        <v>343</v>
      </c>
      <c r="N47" s="17" t="n">
        <v>0</v>
      </c>
      <c r="O47" s="15" t="s">
        <v>369</v>
      </c>
      <c r="P47" s="19" t="s">
        <v>683</v>
      </c>
      <c r="Q47" s="15" t="s">
        <v>684</v>
      </c>
      <c r="R47" s="15" t="s">
        <v>685</v>
      </c>
      <c r="S47" s="15" t="s">
        <v>370</v>
      </c>
      <c r="T47" s="15" t="s">
        <v>371</v>
      </c>
      <c r="U47" s="15" t="s">
        <v>771</v>
      </c>
    </row>
    <row r="48" customFormat="false" ht="19.5" hidden="false" customHeight="true" outlineLevel="0" collapsed="false">
      <c r="A48" s="26" t="n">
        <v>130</v>
      </c>
      <c r="B48" s="27" t="s">
        <v>772</v>
      </c>
      <c r="C48" s="30" t="s">
        <v>773</v>
      </c>
      <c r="D48" s="39" t="n">
        <v>0.21</v>
      </c>
      <c r="E48" s="30" t="s">
        <v>63</v>
      </c>
      <c r="F48" s="30" t="s">
        <v>63</v>
      </c>
      <c r="G48" s="27" t="s">
        <v>444</v>
      </c>
      <c r="H48" s="40" t="s">
        <v>444</v>
      </c>
      <c r="I48" s="27" t="s">
        <v>342</v>
      </c>
      <c r="J48" s="30" t="s">
        <v>336</v>
      </c>
      <c r="K48" s="30" t="s">
        <v>111</v>
      </c>
      <c r="L48" s="26" t="s">
        <v>111</v>
      </c>
      <c r="M48" s="27" t="s">
        <v>343</v>
      </c>
      <c r="N48" s="30" t="n">
        <v>5097</v>
      </c>
      <c r="O48" s="27" t="s">
        <v>344</v>
      </c>
      <c r="P48" s="26" t="n">
        <v>5097</v>
      </c>
      <c r="Q48" s="27" t="s">
        <v>774</v>
      </c>
      <c r="R48" s="27" t="s">
        <v>648</v>
      </c>
      <c r="S48" s="27" t="s">
        <v>345</v>
      </c>
      <c r="T48" s="27" t="s">
        <v>341</v>
      </c>
      <c r="U48" s="27" t="s">
        <v>775</v>
      </c>
    </row>
    <row r="49" customFormat="false" ht="19.5" hidden="false" customHeight="true" outlineLevel="0" collapsed="false">
      <c r="A49" s="19" t="n">
        <v>131</v>
      </c>
      <c r="B49" s="15" t="s">
        <v>776</v>
      </c>
      <c r="C49" s="17" t="s">
        <v>263</v>
      </c>
      <c r="D49" s="16" t="n">
        <v>20</v>
      </c>
      <c r="E49" s="17" t="s">
        <v>39</v>
      </c>
      <c r="F49" s="17" t="s">
        <v>39</v>
      </c>
      <c r="G49" s="15" t="s">
        <v>445</v>
      </c>
      <c r="H49" s="18" t="s">
        <v>445</v>
      </c>
      <c r="I49" s="15" t="s">
        <v>379</v>
      </c>
      <c r="J49" s="17" t="s">
        <v>336</v>
      </c>
      <c r="K49" s="17" t="s">
        <v>140</v>
      </c>
      <c r="L49" s="19" t="s">
        <v>140</v>
      </c>
      <c r="M49" s="15" t="s">
        <v>343</v>
      </c>
      <c r="N49" s="17" t="n">
        <v>15716</v>
      </c>
      <c r="O49" s="15" t="s">
        <v>344</v>
      </c>
      <c r="P49" s="19" t="n">
        <v>15716</v>
      </c>
      <c r="Q49" s="15" t="s">
        <v>777</v>
      </c>
      <c r="R49" s="15" t="s">
        <v>648</v>
      </c>
      <c r="S49" s="15" t="s">
        <v>345</v>
      </c>
      <c r="T49" s="15" t="s">
        <v>341</v>
      </c>
      <c r="U49" s="15" t="s">
        <v>778</v>
      </c>
    </row>
    <row r="50" customFormat="false" ht="19.5" hidden="false" customHeight="true" outlineLevel="0" collapsed="false">
      <c r="A50" s="26" t="n">
        <v>139</v>
      </c>
      <c r="B50" s="27" t="s">
        <v>779</v>
      </c>
      <c r="C50" s="30" t="s">
        <v>263</v>
      </c>
      <c r="D50" s="39" t="n">
        <v>20</v>
      </c>
      <c r="E50" s="30" t="s">
        <v>39</v>
      </c>
      <c r="F50" s="30" t="s">
        <v>39</v>
      </c>
      <c r="G50" s="27" t="s">
        <v>446</v>
      </c>
      <c r="H50" s="40" t="s">
        <v>446</v>
      </c>
      <c r="I50" s="27" t="s">
        <v>447</v>
      </c>
      <c r="J50" s="30" t="s">
        <v>336</v>
      </c>
      <c r="K50" s="30" t="s">
        <v>111</v>
      </c>
      <c r="L50" s="26" t="s">
        <v>111</v>
      </c>
      <c r="M50" s="27" t="s">
        <v>343</v>
      </c>
      <c r="N50" s="30" t="n">
        <v>19217</v>
      </c>
      <c r="O50" s="27" t="s">
        <v>344</v>
      </c>
      <c r="P50" s="26" t="n">
        <v>19217</v>
      </c>
      <c r="Q50" s="27" t="s">
        <v>780</v>
      </c>
      <c r="R50" s="27" t="s">
        <v>648</v>
      </c>
      <c r="S50" s="27" t="s">
        <v>345</v>
      </c>
      <c r="T50" s="27" t="s">
        <v>341</v>
      </c>
      <c r="U50" s="27" t="s">
        <v>781</v>
      </c>
    </row>
    <row r="51" customFormat="false" ht="19.5" hidden="false" customHeight="true" outlineLevel="0" collapsed="false">
      <c r="A51" s="19" t="n">
        <v>140</v>
      </c>
      <c r="B51" s="15" t="s">
        <v>782</v>
      </c>
      <c r="C51" s="17" t="s">
        <v>263</v>
      </c>
      <c r="D51" s="16" t="n">
        <v>20</v>
      </c>
      <c r="E51" s="17" t="s">
        <v>39</v>
      </c>
      <c r="F51" s="17" t="s">
        <v>39</v>
      </c>
      <c r="G51" s="15" t="s">
        <v>446</v>
      </c>
      <c r="H51" s="18" t="s">
        <v>446</v>
      </c>
      <c r="I51" s="15" t="s">
        <v>447</v>
      </c>
      <c r="J51" s="17" t="s">
        <v>336</v>
      </c>
      <c r="K51" s="17" t="s">
        <v>111</v>
      </c>
      <c r="L51" s="19" t="s">
        <v>111</v>
      </c>
      <c r="M51" s="15" t="s">
        <v>343</v>
      </c>
      <c r="N51" s="17" t="n">
        <v>25216</v>
      </c>
      <c r="O51" s="15" t="s">
        <v>344</v>
      </c>
      <c r="P51" s="19" t="n">
        <v>25216</v>
      </c>
      <c r="Q51" s="15" t="s">
        <v>783</v>
      </c>
      <c r="R51" s="15" t="s">
        <v>648</v>
      </c>
      <c r="S51" s="15" t="s">
        <v>345</v>
      </c>
      <c r="T51" s="15" t="s">
        <v>341</v>
      </c>
      <c r="U51" s="15" t="s">
        <v>784</v>
      </c>
    </row>
    <row r="52" customFormat="false" ht="19.5" hidden="false" customHeight="true" outlineLevel="0" collapsed="false">
      <c r="A52" s="26" t="n">
        <v>146</v>
      </c>
      <c r="B52" s="27" t="s">
        <v>785</v>
      </c>
      <c r="C52" s="30" t="s">
        <v>263</v>
      </c>
      <c r="D52" s="39" t="n">
        <v>20</v>
      </c>
      <c r="E52" s="30" t="s">
        <v>39</v>
      </c>
      <c r="F52" s="30" t="s">
        <v>39</v>
      </c>
      <c r="G52" s="27" t="s">
        <v>449</v>
      </c>
      <c r="H52" s="40" t="s">
        <v>449</v>
      </c>
      <c r="I52" s="27" t="s">
        <v>342</v>
      </c>
      <c r="J52" s="30" t="s">
        <v>336</v>
      </c>
      <c r="K52" s="30" t="s">
        <v>111</v>
      </c>
      <c r="L52" s="26" t="s">
        <v>146</v>
      </c>
      <c r="M52" s="27" t="s">
        <v>343</v>
      </c>
      <c r="N52" s="30" t="n">
        <v>812</v>
      </c>
      <c r="O52" s="27" t="s">
        <v>344</v>
      </c>
      <c r="P52" s="26" t="n">
        <v>812</v>
      </c>
      <c r="Q52" s="27" t="s">
        <v>786</v>
      </c>
      <c r="R52" s="27" t="s">
        <v>648</v>
      </c>
      <c r="S52" s="27" t="s">
        <v>345</v>
      </c>
      <c r="T52" s="27" t="s">
        <v>341</v>
      </c>
      <c r="U52" s="27" t="s">
        <v>787</v>
      </c>
    </row>
    <row r="53" customFormat="false" ht="19.5" hidden="false" customHeight="true" outlineLevel="0" collapsed="false">
      <c r="A53" s="19" t="n">
        <v>151</v>
      </c>
      <c r="B53" s="15" t="s">
        <v>788</v>
      </c>
      <c r="C53" s="17" t="s">
        <v>263</v>
      </c>
      <c r="D53" s="16" t="n">
        <v>20</v>
      </c>
      <c r="E53" s="17" t="s">
        <v>39</v>
      </c>
      <c r="F53" s="17" t="s">
        <v>39</v>
      </c>
      <c r="G53" s="15" t="s">
        <v>594</v>
      </c>
      <c r="H53" s="18" t="s">
        <v>594</v>
      </c>
      <c r="I53" s="15" t="s">
        <v>382</v>
      </c>
      <c r="J53" s="17" t="s">
        <v>336</v>
      </c>
      <c r="K53" s="17" t="s">
        <v>159</v>
      </c>
      <c r="L53" s="19" t="s">
        <v>159</v>
      </c>
      <c r="M53" s="15" t="s">
        <v>349</v>
      </c>
      <c r="N53" s="17" t="n">
        <v>0</v>
      </c>
      <c r="O53" s="15" t="s">
        <v>339</v>
      </c>
      <c r="P53" s="19" t="s">
        <v>690</v>
      </c>
      <c r="Q53" s="15" t="s">
        <v>691</v>
      </c>
      <c r="R53" s="15" t="s">
        <v>692</v>
      </c>
      <c r="S53" s="15" t="s">
        <v>345</v>
      </c>
      <c r="T53" s="15" t="s">
        <v>341</v>
      </c>
      <c r="U53" s="15" t="s">
        <v>693</v>
      </c>
    </row>
    <row r="54" customFormat="false" ht="19.5" hidden="false" customHeight="true" outlineLevel="0" collapsed="false">
      <c r="A54" s="26" t="n">
        <v>152</v>
      </c>
      <c r="B54" s="27" t="s">
        <v>789</v>
      </c>
      <c r="C54" s="30" t="s">
        <v>751</v>
      </c>
      <c r="D54" s="39" t="n">
        <v>25</v>
      </c>
      <c r="E54" s="30" t="s">
        <v>63</v>
      </c>
      <c r="F54" s="30" t="s">
        <v>63</v>
      </c>
      <c r="G54" s="27" t="s">
        <v>539</v>
      </c>
      <c r="H54" s="40" t="s">
        <v>539</v>
      </c>
      <c r="I54" s="27" t="s">
        <v>382</v>
      </c>
      <c r="J54" s="30" t="s">
        <v>336</v>
      </c>
      <c r="K54" s="30" t="s">
        <v>159</v>
      </c>
      <c r="L54" s="26" t="s">
        <v>159</v>
      </c>
      <c r="M54" s="27" t="s">
        <v>349</v>
      </c>
      <c r="N54" s="30" t="n">
        <v>0</v>
      </c>
      <c r="O54" s="27" t="s">
        <v>339</v>
      </c>
      <c r="P54" s="26" t="s">
        <v>690</v>
      </c>
      <c r="Q54" s="27" t="s">
        <v>691</v>
      </c>
      <c r="R54" s="27" t="s">
        <v>692</v>
      </c>
      <c r="S54" s="27" t="s">
        <v>345</v>
      </c>
      <c r="T54" s="27" t="s">
        <v>341</v>
      </c>
      <c r="U54" s="27" t="s">
        <v>693</v>
      </c>
    </row>
    <row r="55" customFormat="false" ht="19.5" hidden="false" customHeight="true" outlineLevel="0" collapsed="false">
      <c r="A55" s="19" t="n">
        <v>153</v>
      </c>
      <c r="B55" s="15" t="s">
        <v>790</v>
      </c>
      <c r="C55" s="17" t="s">
        <v>260</v>
      </c>
      <c r="D55" s="16" t="n">
        <v>5</v>
      </c>
      <c r="E55" s="17" t="s">
        <v>39</v>
      </c>
      <c r="F55" s="17" t="s">
        <v>39</v>
      </c>
      <c r="G55" s="15" t="s">
        <v>455</v>
      </c>
      <c r="H55" s="18" t="s">
        <v>455</v>
      </c>
      <c r="I55" s="15" t="s">
        <v>356</v>
      </c>
      <c r="J55" s="17" t="s">
        <v>336</v>
      </c>
      <c r="K55" s="17" t="s">
        <v>82</v>
      </c>
      <c r="L55" s="19" t="s">
        <v>82</v>
      </c>
      <c r="M55" s="15" t="s">
        <v>343</v>
      </c>
      <c r="N55" s="17" t="n">
        <v>14314</v>
      </c>
      <c r="O55" s="15" t="s">
        <v>344</v>
      </c>
      <c r="P55" s="19" t="n">
        <v>14314</v>
      </c>
      <c r="Q55" s="15" t="s">
        <v>791</v>
      </c>
      <c r="R55" s="15" t="s">
        <v>648</v>
      </c>
      <c r="S55" s="15" t="s">
        <v>345</v>
      </c>
      <c r="T55" s="15" t="s">
        <v>341</v>
      </c>
      <c r="U55" s="15" t="s">
        <v>792</v>
      </c>
    </row>
    <row r="56" customFormat="false" ht="19.5" hidden="false" customHeight="true" outlineLevel="0" collapsed="false">
      <c r="A56" s="26" t="n">
        <v>160</v>
      </c>
      <c r="B56" s="27" t="s">
        <v>793</v>
      </c>
      <c r="C56" s="30" t="s">
        <v>260</v>
      </c>
      <c r="D56" s="39" t="n">
        <v>5</v>
      </c>
      <c r="E56" s="30" t="s">
        <v>39</v>
      </c>
      <c r="F56" s="30" t="s">
        <v>39</v>
      </c>
      <c r="G56" s="27" t="s">
        <v>468</v>
      </c>
      <c r="H56" s="40" t="s">
        <v>468</v>
      </c>
      <c r="I56" s="27" t="s">
        <v>469</v>
      </c>
      <c r="J56" s="30" t="s">
        <v>336</v>
      </c>
      <c r="K56" s="30" t="s">
        <v>82</v>
      </c>
      <c r="L56" s="26" t="s">
        <v>82</v>
      </c>
      <c r="M56" s="27" t="s">
        <v>343</v>
      </c>
      <c r="N56" s="30" t="n">
        <v>2520</v>
      </c>
      <c r="O56" s="27" t="s">
        <v>344</v>
      </c>
      <c r="P56" s="26" t="n">
        <v>2520</v>
      </c>
      <c r="Q56" s="27" t="s">
        <v>794</v>
      </c>
      <c r="R56" s="27" t="s">
        <v>648</v>
      </c>
      <c r="S56" s="27" t="s">
        <v>345</v>
      </c>
      <c r="T56" s="27" t="s">
        <v>341</v>
      </c>
      <c r="U56" s="27" t="s">
        <v>795</v>
      </c>
    </row>
    <row r="57" customFormat="false" ht="19.5" hidden="false" customHeight="true" outlineLevel="0" collapsed="false">
      <c r="A57" s="19" t="n">
        <v>171</v>
      </c>
      <c r="B57" s="15" t="s">
        <v>796</v>
      </c>
      <c r="C57" s="17" t="s">
        <v>260</v>
      </c>
      <c r="D57" s="16" t="n">
        <v>5</v>
      </c>
      <c r="E57" s="17" t="s">
        <v>39</v>
      </c>
      <c r="F57" s="17" t="s">
        <v>39</v>
      </c>
      <c r="G57" s="15" t="s">
        <v>477</v>
      </c>
      <c r="H57" s="18" t="s">
        <v>477</v>
      </c>
      <c r="I57" s="15" t="s">
        <v>342</v>
      </c>
      <c r="J57" s="17" t="s">
        <v>336</v>
      </c>
      <c r="K57" s="17" t="s">
        <v>111</v>
      </c>
      <c r="L57" s="19" t="s">
        <v>111</v>
      </c>
      <c r="M57" s="15" t="s">
        <v>343</v>
      </c>
      <c r="N57" s="17" t="n">
        <v>494</v>
      </c>
      <c r="O57" s="15" t="s">
        <v>344</v>
      </c>
      <c r="P57" s="19" t="n">
        <v>494</v>
      </c>
      <c r="Q57" s="15" t="s">
        <v>797</v>
      </c>
      <c r="R57" s="15" t="s">
        <v>648</v>
      </c>
      <c r="S57" s="15" t="s">
        <v>345</v>
      </c>
      <c r="T57" s="15" t="s">
        <v>341</v>
      </c>
      <c r="U57" s="15" t="s">
        <v>798</v>
      </c>
    </row>
    <row r="58" customFormat="false" ht="19.5" hidden="false" customHeight="true" outlineLevel="0" collapsed="false">
      <c r="A58" s="26" t="n">
        <v>179</v>
      </c>
      <c r="B58" s="27" t="s">
        <v>799</v>
      </c>
      <c r="C58" s="30" t="s">
        <v>260</v>
      </c>
      <c r="D58" s="39" t="n">
        <v>5</v>
      </c>
      <c r="E58" s="30" t="s">
        <v>39</v>
      </c>
      <c r="F58" s="30" t="s">
        <v>39</v>
      </c>
      <c r="G58" s="27" t="s">
        <v>487</v>
      </c>
      <c r="H58" s="40" t="s">
        <v>487</v>
      </c>
      <c r="I58" s="27" t="s">
        <v>379</v>
      </c>
      <c r="J58" s="30" t="s">
        <v>336</v>
      </c>
      <c r="K58" s="30" t="s">
        <v>140</v>
      </c>
      <c r="L58" s="26" t="s">
        <v>140</v>
      </c>
      <c r="M58" s="27" t="s">
        <v>343</v>
      </c>
      <c r="N58" s="30" t="n">
        <v>8813</v>
      </c>
      <c r="O58" s="27" t="s">
        <v>344</v>
      </c>
      <c r="P58" s="26" t="n">
        <v>8813</v>
      </c>
      <c r="Q58" s="27" t="s">
        <v>800</v>
      </c>
      <c r="R58" s="27" t="s">
        <v>648</v>
      </c>
      <c r="S58" s="27" t="s">
        <v>345</v>
      </c>
      <c r="T58" s="27" t="s">
        <v>341</v>
      </c>
      <c r="U58" s="27" t="s">
        <v>801</v>
      </c>
    </row>
    <row r="59" customFormat="false" ht="19.5" hidden="false" customHeight="true" outlineLevel="0" collapsed="false">
      <c r="A59" s="19" t="n">
        <v>188</v>
      </c>
      <c r="B59" s="15" t="s">
        <v>802</v>
      </c>
      <c r="C59" s="17" t="s">
        <v>272</v>
      </c>
      <c r="D59" s="16" t="n">
        <v>5</v>
      </c>
      <c r="E59" s="17" t="s">
        <v>63</v>
      </c>
      <c r="F59" s="17" t="s">
        <v>63</v>
      </c>
      <c r="G59" s="15" t="s">
        <v>505</v>
      </c>
      <c r="H59" s="18" t="s">
        <v>505</v>
      </c>
      <c r="I59" s="15" t="s">
        <v>342</v>
      </c>
      <c r="J59" s="17" t="s">
        <v>336</v>
      </c>
      <c r="K59" s="17" t="s">
        <v>136</v>
      </c>
      <c r="L59" s="19" t="s">
        <v>136</v>
      </c>
      <c r="M59" s="15" t="s">
        <v>343</v>
      </c>
      <c r="N59" s="17" t="n">
        <v>25119</v>
      </c>
      <c r="O59" s="15" t="s">
        <v>344</v>
      </c>
      <c r="P59" s="19" t="n">
        <v>25119</v>
      </c>
      <c r="Q59" s="15" t="s">
        <v>803</v>
      </c>
      <c r="R59" s="15" t="s">
        <v>648</v>
      </c>
      <c r="S59" s="15" t="s">
        <v>345</v>
      </c>
      <c r="T59" s="15" t="s">
        <v>341</v>
      </c>
      <c r="U59" s="15" t="s">
        <v>804</v>
      </c>
    </row>
    <row r="60" customFormat="false" ht="19.5" hidden="false" customHeight="true" outlineLevel="0" collapsed="false">
      <c r="A60" s="26" t="n">
        <v>190</v>
      </c>
      <c r="B60" s="27" t="s">
        <v>805</v>
      </c>
      <c r="C60" s="30" t="s">
        <v>272</v>
      </c>
      <c r="D60" s="39" t="n">
        <v>5</v>
      </c>
      <c r="E60" s="30" t="s">
        <v>63</v>
      </c>
      <c r="F60" s="30" t="s">
        <v>63</v>
      </c>
      <c r="G60" s="27" t="s">
        <v>505</v>
      </c>
      <c r="H60" s="40" t="s">
        <v>505</v>
      </c>
      <c r="I60" s="27" t="s">
        <v>342</v>
      </c>
      <c r="J60" s="30" t="s">
        <v>336</v>
      </c>
      <c r="K60" s="30" t="s">
        <v>136</v>
      </c>
      <c r="L60" s="26" t="s">
        <v>136</v>
      </c>
      <c r="M60" s="27" t="s">
        <v>343</v>
      </c>
      <c r="N60" s="30" t="n">
        <v>36518</v>
      </c>
      <c r="O60" s="27" t="s">
        <v>344</v>
      </c>
      <c r="P60" s="26" t="n">
        <v>36518</v>
      </c>
      <c r="Q60" s="27" t="s">
        <v>806</v>
      </c>
      <c r="R60" s="27" t="s">
        <v>648</v>
      </c>
      <c r="S60" s="27" t="s">
        <v>345</v>
      </c>
      <c r="T60" s="27" t="s">
        <v>341</v>
      </c>
      <c r="U60" s="27" t="s">
        <v>807</v>
      </c>
    </row>
    <row r="61" customFormat="false" ht="19.5" hidden="false" customHeight="true" outlineLevel="0" collapsed="false">
      <c r="A61" s="19" t="n">
        <v>192</v>
      </c>
      <c r="B61" s="15" t="s">
        <v>808</v>
      </c>
      <c r="C61" s="17" t="s">
        <v>272</v>
      </c>
      <c r="D61" s="16" t="n">
        <v>5</v>
      </c>
      <c r="E61" s="17" t="s">
        <v>63</v>
      </c>
      <c r="F61" s="17" t="s">
        <v>63</v>
      </c>
      <c r="G61" s="15" t="s">
        <v>505</v>
      </c>
      <c r="H61" s="18" t="s">
        <v>505</v>
      </c>
      <c r="I61" s="15" t="s">
        <v>342</v>
      </c>
      <c r="J61" s="17" t="s">
        <v>336</v>
      </c>
      <c r="K61" s="17" t="s">
        <v>136</v>
      </c>
      <c r="L61" s="19" t="s">
        <v>136</v>
      </c>
      <c r="M61" s="15" t="s">
        <v>343</v>
      </c>
      <c r="N61" s="17" t="n">
        <v>28520</v>
      </c>
      <c r="O61" s="15" t="s">
        <v>344</v>
      </c>
      <c r="P61" s="19" t="n">
        <v>28520</v>
      </c>
      <c r="Q61" s="15" t="s">
        <v>809</v>
      </c>
      <c r="R61" s="15" t="s">
        <v>648</v>
      </c>
      <c r="S61" s="15" t="s">
        <v>345</v>
      </c>
      <c r="T61" s="15" t="s">
        <v>341</v>
      </c>
      <c r="U61" s="15" t="s">
        <v>810</v>
      </c>
    </row>
    <row r="62" customFormat="false" ht="19.5" hidden="false" customHeight="true" outlineLevel="0" collapsed="false">
      <c r="A62" s="26" t="n">
        <v>193</v>
      </c>
      <c r="B62" s="27" t="s">
        <v>811</v>
      </c>
      <c r="C62" s="30" t="s">
        <v>812</v>
      </c>
      <c r="D62" s="39" t="n">
        <v>20</v>
      </c>
      <c r="E62" s="30" t="s">
        <v>63</v>
      </c>
      <c r="F62" s="30" t="s">
        <v>63</v>
      </c>
      <c r="G62" s="27" t="s">
        <v>505</v>
      </c>
      <c r="H62" s="40" t="s">
        <v>505</v>
      </c>
      <c r="I62" s="27" t="s">
        <v>342</v>
      </c>
      <c r="J62" s="30" t="s">
        <v>336</v>
      </c>
      <c r="K62" s="30" t="s">
        <v>136</v>
      </c>
      <c r="L62" s="26" t="s">
        <v>136</v>
      </c>
      <c r="M62" s="27" t="s">
        <v>343</v>
      </c>
      <c r="N62" s="30" t="n">
        <v>13714</v>
      </c>
      <c r="O62" s="27" t="s">
        <v>344</v>
      </c>
      <c r="P62" s="26" t="n">
        <v>13714</v>
      </c>
      <c r="Q62" s="27" t="s">
        <v>813</v>
      </c>
      <c r="R62" s="27" t="s">
        <v>648</v>
      </c>
      <c r="S62" s="27" t="s">
        <v>345</v>
      </c>
      <c r="T62" s="27" t="s">
        <v>341</v>
      </c>
      <c r="U62" s="27" t="s">
        <v>814</v>
      </c>
    </row>
    <row r="63" customFormat="false" ht="19.5" hidden="false" customHeight="true" outlineLevel="0" collapsed="false">
      <c r="A63" s="19" t="n">
        <v>194</v>
      </c>
      <c r="B63" s="15" t="s">
        <v>815</v>
      </c>
      <c r="C63" s="17" t="s">
        <v>272</v>
      </c>
      <c r="D63" s="16" t="n">
        <v>5</v>
      </c>
      <c r="E63" s="17" t="s">
        <v>63</v>
      </c>
      <c r="F63" s="17" t="s">
        <v>63</v>
      </c>
      <c r="G63" s="15" t="s">
        <v>505</v>
      </c>
      <c r="H63" s="18" t="s">
        <v>505</v>
      </c>
      <c r="I63" s="15" t="s">
        <v>342</v>
      </c>
      <c r="J63" s="17" t="s">
        <v>336</v>
      </c>
      <c r="K63" s="17" t="s">
        <v>136</v>
      </c>
      <c r="L63" s="19" t="s">
        <v>136</v>
      </c>
      <c r="M63" s="15" t="s">
        <v>343</v>
      </c>
      <c r="N63" s="17" t="n">
        <v>13714</v>
      </c>
      <c r="O63" s="15" t="s">
        <v>344</v>
      </c>
      <c r="P63" s="19" t="n">
        <v>13714</v>
      </c>
      <c r="Q63" s="15" t="s">
        <v>813</v>
      </c>
      <c r="R63" s="15" t="s">
        <v>648</v>
      </c>
      <c r="S63" s="15" t="s">
        <v>345</v>
      </c>
      <c r="T63" s="15" t="s">
        <v>341</v>
      </c>
      <c r="U63" s="15" t="s">
        <v>814</v>
      </c>
    </row>
    <row r="64" customFormat="false" ht="19.5" hidden="false" customHeight="true" outlineLevel="0" collapsed="false">
      <c r="A64" s="26" t="n">
        <v>199</v>
      </c>
      <c r="B64" s="27" t="s">
        <v>816</v>
      </c>
      <c r="C64" s="30" t="s">
        <v>272</v>
      </c>
      <c r="D64" s="39" t="n">
        <v>5</v>
      </c>
      <c r="E64" s="30" t="s">
        <v>63</v>
      </c>
      <c r="F64" s="30" t="s">
        <v>63</v>
      </c>
      <c r="G64" s="27" t="s">
        <v>509</v>
      </c>
      <c r="H64" s="40" t="s">
        <v>509</v>
      </c>
      <c r="I64" s="27" t="s">
        <v>342</v>
      </c>
      <c r="J64" s="30" t="s">
        <v>336</v>
      </c>
      <c r="K64" s="30" t="s">
        <v>111</v>
      </c>
      <c r="L64" s="26" t="s">
        <v>111</v>
      </c>
      <c r="M64" s="27" t="s">
        <v>343</v>
      </c>
      <c r="N64" s="30" t="n">
        <v>34221</v>
      </c>
      <c r="O64" s="27" t="s">
        <v>344</v>
      </c>
      <c r="P64" s="26" t="n">
        <v>34221</v>
      </c>
      <c r="Q64" s="27" t="s">
        <v>817</v>
      </c>
      <c r="R64" s="27" t="s">
        <v>648</v>
      </c>
      <c r="S64" s="27" t="s">
        <v>345</v>
      </c>
      <c r="T64" s="27" t="s">
        <v>341</v>
      </c>
      <c r="U64" s="27" t="s">
        <v>818</v>
      </c>
    </row>
    <row r="65" customFormat="false" ht="19.5" hidden="false" customHeight="true" outlineLevel="0" collapsed="false">
      <c r="A65" s="19" t="n">
        <v>205</v>
      </c>
      <c r="B65" s="15" t="s">
        <v>819</v>
      </c>
      <c r="C65" s="17" t="s">
        <v>263</v>
      </c>
      <c r="D65" s="16" t="n">
        <v>20</v>
      </c>
      <c r="E65" s="17" t="s">
        <v>39</v>
      </c>
      <c r="F65" s="17" t="s">
        <v>39</v>
      </c>
      <c r="G65" s="15" t="s">
        <v>511</v>
      </c>
      <c r="H65" s="18" t="s">
        <v>511</v>
      </c>
      <c r="I65" s="15" t="s">
        <v>342</v>
      </c>
      <c r="J65" s="17" t="s">
        <v>336</v>
      </c>
      <c r="K65" s="17" t="s">
        <v>111</v>
      </c>
      <c r="L65" s="19" t="s">
        <v>111</v>
      </c>
      <c r="M65" s="15" t="s">
        <v>343</v>
      </c>
      <c r="N65" s="17" t="n">
        <v>3518</v>
      </c>
      <c r="O65" s="15" t="s">
        <v>344</v>
      </c>
      <c r="P65" s="19" t="n">
        <v>3518</v>
      </c>
      <c r="Q65" s="15" t="s">
        <v>820</v>
      </c>
      <c r="R65" s="15" t="s">
        <v>648</v>
      </c>
      <c r="S65" s="15" t="s">
        <v>345</v>
      </c>
      <c r="T65" s="15" t="s">
        <v>341</v>
      </c>
      <c r="U65" s="15" t="s">
        <v>821</v>
      </c>
    </row>
    <row r="66" customFormat="false" ht="19.5" hidden="false" customHeight="true" outlineLevel="0" collapsed="false">
      <c r="A66" s="26" t="n">
        <v>211</v>
      </c>
      <c r="B66" s="27" t="s">
        <v>822</v>
      </c>
      <c r="C66" s="30" t="s">
        <v>660</v>
      </c>
      <c r="D66" s="39" t="n">
        <v>5</v>
      </c>
      <c r="E66" s="30" t="s">
        <v>63</v>
      </c>
      <c r="F66" s="30" t="s">
        <v>63</v>
      </c>
      <c r="G66" s="27" t="s">
        <v>513</v>
      </c>
      <c r="H66" s="40" t="s">
        <v>513</v>
      </c>
      <c r="I66" s="27" t="s">
        <v>342</v>
      </c>
      <c r="J66" s="30" t="s">
        <v>336</v>
      </c>
      <c r="K66" s="30" t="s">
        <v>479</v>
      </c>
      <c r="L66" s="26" t="s">
        <v>479</v>
      </c>
      <c r="M66" s="27" t="s">
        <v>343</v>
      </c>
      <c r="N66" s="30" t="n">
        <v>14518</v>
      </c>
      <c r="O66" s="27" t="s">
        <v>344</v>
      </c>
      <c r="P66" s="26" t="n">
        <v>14518</v>
      </c>
      <c r="Q66" s="27" t="s">
        <v>823</v>
      </c>
      <c r="R66" s="27" t="s">
        <v>648</v>
      </c>
      <c r="S66" s="27" t="s">
        <v>345</v>
      </c>
      <c r="T66" s="27" t="s">
        <v>341</v>
      </c>
      <c r="U66" s="27" t="s">
        <v>824</v>
      </c>
    </row>
    <row r="67" customFormat="false" ht="19.5" hidden="false" customHeight="true" outlineLevel="0" collapsed="false">
      <c r="A67" s="19" t="n">
        <v>221</v>
      </c>
      <c r="B67" s="15" t="s">
        <v>825</v>
      </c>
      <c r="C67" s="17" t="s">
        <v>826</v>
      </c>
      <c r="D67" s="16" t="n">
        <v>2</v>
      </c>
      <c r="E67" s="17" t="s">
        <v>39</v>
      </c>
      <c r="F67" s="17" t="s">
        <v>39</v>
      </c>
      <c r="G67" s="15" t="s">
        <v>403</v>
      </c>
      <c r="H67" s="18" t="s">
        <v>403</v>
      </c>
      <c r="I67" s="15" t="s">
        <v>376</v>
      </c>
      <c r="J67" s="17" t="s">
        <v>336</v>
      </c>
      <c r="K67" s="17" t="s">
        <v>142</v>
      </c>
      <c r="L67" s="19" t="s">
        <v>106</v>
      </c>
      <c r="M67" s="15" t="s">
        <v>377</v>
      </c>
      <c r="N67" s="17" t="n">
        <v>0</v>
      </c>
      <c r="O67" s="15" t="s">
        <v>339</v>
      </c>
      <c r="P67" s="19" t="s">
        <v>690</v>
      </c>
      <c r="Q67" s="15" t="s">
        <v>691</v>
      </c>
      <c r="R67" s="15" t="s">
        <v>692</v>
      </c>
      <c r="S67" s="15" t="s">
        <v>345</v>
      </c>
      <c r="T67" s="15" t="s">
        <v>341</v>
      </c>
      <c r="U67" s="15" t="s">
        <v>827</v>
      </c>
    </row>
    <row r="68" customFormat="false" ht="19.5" hidden="false" customHeight="true" outlineLevel="0" collapsed="false">
      <c r="A68" s="26" t="n">
        <v>223</v>
      </c>
      <c r="B68" s="27" t="s">
        <v>828</v>
      </c>
      <c r="C68" s="30" t="s">
        <v>829</v>
      </c>
      <c r="D68" s="39" t="n">
        <v>0.5</v>
      </c>
      <c r="E68" s="30" t="s">
        <v>63</v>
      </c>
      <c r="F68" s="30" t="s">
        <v>63</v>
      </c>
      <c r="G68" s="27" t="s">
        <v>521</v>
      </c>
      <c r="H68" s="40" t="s">
        <v>830</v>
      </c>
      <c r="I68" s="27" t="s">
        <v>382</v>
      </c>
      <c r="J68" s="30" t="s">
        <v>336</v>
      </c>
      <c r="K68" s="30" t="s">
        <v>140</v>
      </c>
      <c r="L68" s="26" t="s">
        <v>140</v>
      </c>
      <c r="M68" s="27" t="s">
        <v>343</v>
      </c>
      <c r="N68" s="30" t="n">
        <v>0</v>
      </c>
      <c r="O68" s="27" t="s">
        <v>339</v>
      </c>
      <c r="P68" s="26" t="s">
        <v>690</v>
      </c>
      <c r="Q68" s="27" t="s">
        <v>691</v>
      </c>
      <c r="R68" s="27" t="s">
        <v>692</v>
      </c>
      <c r="S68" s="27" t="s">
        <v>345</v>
      </c>
      <c r="T68" s="27" t="s">
        <v>341</v>
      </c>
      <c r="U68" s="27" t="s">
        <v>831</v>
      </c>
    </row>
    <row r="69" customFormat="false" ht="19.5" hidden="false" customHeight="true" outlineLevel="0" collapsed="false">
      <c r="A69" s="19" t="n">
        <v>224</v>
      </c>
      <c r="B69" s="15" t="s">
        <v>832</v>
      </c>
      <c r="C69" s="17" t="s">
        <v>826</v>
      </c>
      <c r="D69" s="16" t="n">
        <v>2</v>
      </c>
      <c r="E69" s="17" t="s">
        <v>39</v>
      </c>
      <c r="F69" s="17" t="s">
        <v>39</v>
      </c>
      <c r="G69" s="15" t="s">
        <v>591</v>
      </c>
      <c r="H69" s="18" t="s">
        <v>591</v>
      </c>
      <c r="I69" s="15" t="s">
        <v>390</v>
      </c>
      <c r="J69" s="17" t="s">
        <v>336</v>
      </c>
      <c r="K69" s="17" t="s">
        <v>142</v>
      </c>
      <c r="L69" s="19" t="s">
        <v>106</v>
      </c>
      <c r="M69" s="15" t="s">
        <v>377</v>
      </c>
      <c r="N69" s="17" t="n">
        <v>0</v>
      </c>
      <c r="O69" s="15" t="s">
        <v>339</v>
      </c>
      <c r="P69" s="19" t="s">
        <v>690</v>
      </c>
      <c r="Q69" s="15" t="s">
        <v>691</v>
      </c>
      <c r="R69" s="15" t="s">
        <v>692</v>
      </c>
      <c r="S69" s="15" t="s">
        <v>370</v>
      </c>
      <c r="T69" s="15" t="s">
        <v>371</v>
      </c>
      <c r="U69" s="15" t="s">
        <v>833</v>
      </c>
    </row>
    <row r="70" customFormat="false" ht="19.5" hidden="false" customHeight="true" outlineLevel="0" collapsed="false">
      <c r="A70" s="26" t="n">
        <v>225</v>
      </c>
      <c r="B70" s="27" t="s">
        <v>834</v>
      </c>
      <c r="C70" s="30" t="s">
        <v>835</v>
      </c>
      <c r="D70" s="39" t="n">
        <v>1.5</v>
      </c>
      <c r="E70" s="30" t="s">
        <v>39</v>
      </c>
      <c r="F70" s="30" t="s">
        <v>39</v>
      </c>
      <c r="G70" s="27" t="s">
        <v>105</v>
      </c>
      <c r="H70" s="40" t="s">
        <v>105</v>
      </c>
      <c r="I70" s="27" t="s">
        <v>376</v>
      </c>
      <c r="J70" s="30" t="s">
        <v>336</v>
      </c>
      <c r="K70" s="30" t="s">
        <v>142</v>
      </c>
      <c r="L70" s="26" t="s">
        <v>106</v>
      </c>
      <c r="M70" s="27" t="s">
        <v>377</v>
      </c>
      <c r="N70" s="30" t="n">
        <v>0</v>
      </c>
      <c r="O70" s="27" t="s">
        <v>339</v>
      </c>
      <c r="P70" s="26" t="s">
        <v>690</v>
      </c>
      <c r="Q70" s="27" t="s">
        <v>691</v>
      </c>
      <c r="R70" s="27" t="s">
        <v>692</v>
      </c>
      <c r="S70" s="27" t="s">
        <v>345</v>
      </c>
      <c r="T70" s="27" t="s">
        <v>341</v>
      </c>
      <c r="U70" s="27" t="s">
        <v>827</v>
      </c>
    </row>
    <row r="71" customFormat="false" ht="19.5" hidden="false" customHeight="true" outlineLevel="0" collapsed="false">
      <c r="A71" s="19" t="n">
        <v>226</v>
      </c>
      <c r="B71" s="15" t="s">
        <v>836</v>
      </c>
      <c r="C71" s="17" t="s">
        <v>260</v>
      </c>
      <c r="D71" s="16" t="n">
        <v>5</v>
      </c>
      <c r="E71" s="17" t="s">
        <v>39</v>
      </c>
      <c r="F71" s="17" t="s">
        <v>39</v>
      </c>
      <c r="G71" s="15" t="s">
        <v>572</v>
      </c>
      <c r="H71" s="18" t="s">
        <v>572</v>
      </c>
      <c r="I71" s="15" t="s">
        <v>457</v>
      </c>
      <c r="J71" s="17" t="s">
        <v>336</v>
      </c>
      <c r="K71" s="17" t="s">
        <v>442</v>
      </c>
      <c r="L71" s="19" t="s">
        <v>367</v>
      </c>
      <c r="M71" s="15" t="s">
        <v>368</v>
      </c>
      <c r="N71" s="17" t="n">
        <v>0</v>
      </c>
      <c r="O71" s="15" t="s">
        <v>369</v>
      </c>
      <c r="P71" s="19" t="s">
        <v>683</v>
      </c>
      <c r="Q71" s="15" t="s">
        <v>684</v>
      </c>
      <c r="R71" s="15" t="s">
        <v>685</v>
      </c>
      <c r="S71" s="15" t="s">
        <v>370</v>
      </c>
      <c r="T71" s="15" t="s">
        <v>371</v>
      </c>
      <c r="U71" s="15" t="s">
        <v>837</v>
      </c>
    </row>
    <row r="72" customFormat="false" ht="19.5" hidden="false" customHeight="true" outlineLevel="0" collapsed="false">
      <c r="A72" s="26" t="n">
        <v>227</v>
      </c>
      <c r="B72" s="27" t="s">
        <v>58</v>
      </c>
      <c r="C72" s="30" t="s">
        <v>260</v>
      </c>
      <c r="D72" s="39" t="n">
        <v>5</v>
      </c>
      <c r="E72" s="30" t="s">
        <v>39</v>
      </c>
      <c r="F72" s="30" t="s">
        <v>39</v>
      </c>
      <c r="G72" s="27" t="s">
        <v>59</v>
      </c>
      <c r="H72" s="40" t="s">
        <v>59</v>
      </c>
      <c r="I72" s="27" t="s">
        <v>366</v>
      </c>
      <c r="J72" s="30" t="s">
        <v>336</v>
      </c>
      <c r="K72" s="30" t="s">
        <v>60</v>
      </c>
      <c r="L72" s="26" t="s">
        <v>60</v>
      </c>
      <c r="M72" s="27" t="s">
        <v>368</v>
      </c>
      <c r="N72" s="30" t="n">
        <v>0</v>
      </c>
      <c r="O72" s="27" t="s">
        <v>369</v>
      </c>
      <c r="P72" s="26" t="s">
        <v>683</v>
      </c>
      <c r="Q72" s="27" t="s">
        <v>684</v>
      </c>
      <c r="R72" s="27" t="s">
        <v>685</v>
      </c>
      <c r="S72" s="27" t="s">
        <v>370</v>
      </c>
      <c r="T72" s="27" t="s">
        <v>371</v>
      </c>
      <c r="U72" s="27" t="s">
        <v>838</v>
      </c>
    </row>
    <row r="73" customFormat="false" ht="19.5" hidden="false" customHeight="true" outlineLevel="0" collapsed="false">
      <c r="A73" s="19" t="n">
        <v>229</v>
      </c>
      <c r="B73" s="15" t="s">
        <v>839</v>
      </c>
      <c r="C73" s="17" t="s">
        <v>840</v>
      </c>
      <c r="D73" s="16" t="n">
        <v>1.8</v>
      </c>
      <c r="E73" s="17" t="s">
        <v>39</v>
      </c>
      <c r="F73" s="17" t="s">
        <v>39</v>
      </c>
      <c r="G73" s="15" t="s">
        <v>105</v>
      </c>
      <c r="H73" s="18" t="s">
        <v>105</v>
      </c>
      <c r="I73" s="15" t="s">
        <v>376</v>
      </c>
      <c r="J73" s="17" t="s">
        <v>336</v>
      </c>
      <c r="K73" s="17" t="s">
        <v>106</v>
      </c>
      <c r="L73" s="19" t="s">
        <v>106</v>
      </c>
      <c r="M73" s="15" t="s">
        <v>377</v>
      </c>
      <c r="N73" s="17" t="n">
        <v>0</v>
      </c>
      <c r="O73" s="15" t="s">
        <v>339</v>
      </c>
      <c r="P73" s="19" t="s">
        <v>690</v>
      </c>
      <c r="Q73" s="15" t="s">
        <v>691</v>
      </c>
      <c r="R73" s="15" t="s">
        <v>692</v>
      </c>
      <c r="S73" s="15" t="s">
        <v>345</v>
      </c>
      <c r="T73" s="15" t="s">
        <v>341</v>
      </c>
      <c r="U73" s="15" t="s">
        <v>841</v>
      </c>
    </row>
    <row r="74" customFormat="false" ht="19.5" hidden="false" customHeight="true" outlineLevel="0" collapsed="false">
      <c r="A74" s="26" t="n">
        <v>230</v>
      </c>
      <c r="B74" s="27" t="s">
        <v>842</v>
      </c>
      <c r="C74" s="30" t="s">
        <v>263</v>
      </c>
      <c r="D74" s="39" t="n">
        <v>20</v>
      </c>
      <c r="E74" s="30" t="s">
        <v>39</v>
      </c>
      <c r="F74" s="30" t="s">
        <v>39</v>
      </c>
      <c r="G74" s="27" t="s">
        <v>521</v>
      </c>
      <c r="H74" s="40" t="s">
        <v>521</v>
      </c>
      <c r="I74" s="27" t="s">
        <v>382</v>
      </c>
      <c r="J74" s="30" t="s">
        <v>336</v>
      </c>
      <c r="K74" s="30" t="s">
        <v>159</v>
      </c>
      <c r="L74" s="26" t="s">
        <v>159</v>
      </c>
      <c r="M74" s="27" t="s">
        <v>349</v>
      </c>
      <c r="N74" s="30" t="n">
        <v>0</v>
      </c>
      <c r="O74" s="27" t="s">
        <v>339</v>
      </c>
      <c r="P74" s="26" t="s">
        <v>690</v>
      </c>
      <c r="Q74" s="27" t="s">
        <v>691</v>
      </c>
      <c r="R74" s="27" t="s">
        <v>692</v>
      </c>
      <c r="S74" s="27" t="s">
        <v>345</v>
      </c>
      <c r="T74" s="27" t="s">
        <v>341</v>
      </c>
      <c r="U74" s="27" t="s">
        <v>693</v>
      </c>
    </row>
    <row r="75" customFormat="false" ht="19.5" hidden="false" customHeight="true" outlineLevel="0" collapsed="false">
      <c r="A75" s="19" t="n">
        <v>231</v>
      </c>
      <c r="B75" s="15" t="s">
        <v>50</v>
      </c>
      <c r="C75" s="17" t="s">
        <v>263</v>
      </c>
      <c r="D75" s="16" t="n">
        <v>20</v>
      </c>
      <c r="E75" s="17" t="s">
        <v>39</v>
      </c>
      <c r="F75" s="17" t="s">
        <v>39</v>
      </c>
      <c r="G75" s="15" t="s">
        <v>44</v>
      </c>
      <c r="H75" s="18" t="s">
        <v>44</v>
      </c>
      <c r="I75" s="15" t="s">
        <v>356</v>
      </c>
      <c r="J75" s="17" t="s">
        <v>360</v>
      </c>
      <c r="K75" s="17" t="s">
        <v>51</v>
      </c>
      <c r="L75" s="19" t="s">
        <v>51</v>
      </c>
      <c r="M75" s="15" t="s">
        <v>361</v>
      </c>
      <c r="N75" s="17" t="n">
        <v>2020</v>
      </c>
      <c r="O75" s="15" t="s">
        <v>344</v>
      </c>
      <c r="P75" s="19" t="n">
        <v>2020</v>
      </c>
      <c r="Q75" s="15" t="s">
        <v>843</v>
      </c>
      <c r="R75" s="15" t="s">
        <v>648</v>
      </c>
      <c r="S75" s="15" t="s">
        <v>345</v>
      </c>
      <c r="T75" s="15" t="s">
        <v>341</v>
      </c>
      <c r="U75" s="15" t="s">
        <v>844</v>
      </c>
    </row>
    <row r="76" customFormat="false" ht="19.5" hidden="false" customHeight="true" outlineLevel="0" collapsed="false">
      <c r="A76" s="26" t="n">
        <v>233</v>
      </c>
      <c r="B76" s="27" t="s">
        <v>47</v>
      </c>
      <c r="C76" s="30" t="s">
        <v>260</v>
      </c>
      <c r="D76" s="39" t="n">
        <v>5</v>
      </c>
      <c r="E76" s="30" t="s">
        <v>39</v>
      </c>
      <c r="F76" s="30" t="s">
        <v>39</v>
      </c>
      <c r="G76" s="27" t="s">
        <v>44</v>
      </c>
      <c r="H76" s="40" t="s">
        <v>44</v>
      </c>
      <c r="I76" s="27" t="s">
        <v>356</v>
      </c>
      <c r="J76" s="30" t="s">
        <v>360</v>
      </c>
      <c r="K76" s="30" t="s">
        <v>48</v>
      </c>
      <c r="L76" s="26" t="s">
        <v>48</v>
      </c>
      <c r="M76" s="27" t="s">
        <v>361</v>
      </c>
      <c r="N76" s="30" t="n">
        <v>4110</v>
      </c>
      <c r="O76" s="27" t="s">
        <v>344</v>
      </c>
      <c r="P76" s="26" t="n">
        <v>4110</v>
      </c>
      <c r="Q76" s="27" t="s">
        <v>845</v>
      </c>
      <c r="R76" s="27" t="s">
        <v>648</v>
      </c>
      <c r="S76" s="27" t="s">
        <v>345</v>
      </c>
      <c r="T76" s="27" t="s">
        <v>341</v>
      </c>
      <c r="U76" s="27" t="s">
        <v>846</v>
      </c>
    </row>
    <row r="77" customFormat="false" ht="19.5" hidden="false" customHeight="true" outlineLevel="0" collapsed="false">
      <c r="A77" s="19" t="n">
        <v>235</v>
      </c>
      <c r="B77" s="15" t="s">
        <v>847</v>
      </c>
      <c r="C77" s="17" t="s">
        <v>260</v>
      </c>
      <c r="D77" s="16" t="n">
        <v>5</v>
      </c>
      <c r="E77" s="17" t="s">
        <v>39</v>
      </c>
      <c r="F77" s="17" t="s">
        <v>39</v>
      </c>
      <c r="G77" s="15" t="s">
        <v>525</v>
      </c>
      <c r="H77" s="18" t="s">
        <v>525</v>
      </c>
      <c r="I77" s="15" t="s">
        <v>356</v>
      </c>
      <c r="J77" s="17" t="s">
        <v>336</v>
      </c>
      <c r="K77" s="17" t="s">
        <v>82</v>
      </c>
      <c r="L77" s="19" t="s">
        <v>82</v>
      </c>
      <c r="M77" s="15" t="s">
        <v>343</v>
      </c>
      <c r="N77" s="17" t="n">
        <v>17618</v>
      </c>
      <c r="O77" s="15" t="s">
        <v>344</v>
      </c>
      <c r="P77" s="19" t="n">
        <v>17618</v>
      </c>
      <c r="Q77" s="15" t="s">
        <v>848</v>
      </c>
      <c r="R77" s="15" t="s">
        <v>648</v>
      </c>
      <c r="S77" s="15" t="s">
        <v>345</v>
      </c>
      <c r="T77" s="15" t="s">
        <v>341</v>
      </c>
      <c r="U77" s="15" t="s">
        <v>849</v>
      </c>
    </row>
    <row r="78" customFormat="false" ht="19.5" hidden="false" customHeight="true" outlineLevel="0" collapsed="false">
      <c r="A78" s="26" t="n">
        <v>240</v>
      </c>
      <c r="B78" s="27" t="s">
        <v>850</v>
      </c>
      <c r="C78" s="30" t="s">
        <v>751</v>
      </c>
      <c r="D78" s="39" t="n">
        <v>25</v>
      </c>
      <c r="E78" s="30" t="s">
        <v>63</v>
      </c>
      <c r="F78" s="30" t="s">
        <v>63</v>
      </c>
      <c r="G78" s="27" t="s">
        <v>541</v>
      </c>
      <c r="H78" s="40" t="s">
        <v>541</v>
      </c>
      <c r="I78" s="27" t="s">
        <v>542</v>
      </c>
      <c r="J78" s="30" t="s">
        <v>336</v>
      </c>
      <c r="K78" s="30" t="s">
        <v>543</v>
      </c>
      <c r="L78" s="26" t="s">
        <v>543</v>
      </c>
      <c r="M78" s="27" t="s">
        <v>349</v>
      </c>
      <c r="N78" s="30" t="n">
        <v>0</v>
      </c>
      <c r="O78" s="27" t="s">
        <v>339</v>
      </c>
      <c r="P78" s="26" t="s">
        <v>690</v>
      </c>
      <c r="Q78" s="27" t="s">
        <v>691</v>
      </c>
      <c r="R78" s="27" t="s">
        <v>692</v>
      </c>
      <c r="S78" s="27" t="s">
        <v>345</v>
      </c>
      <c r="T78" s="27" t="s">
        <v>341</v>
      </c>
      <c r="U78" s="27" t="s">
        <v>693</v>
      </c>
    </row>
    <row r="79" customFormat="false" ht="19.5" hidden="false" customHeight="true" outlineLevel="0" collapsed="false">
      <c r="A79" s="19" t="n">
        <v>241</v>
      </c>
      <c r="B79" s="15" t="s">
        <v>851</v>
      </c>
      <c r="C79" s="17" t="s">
        <v>751</v>
      </c>
      <c r="D79" s="16" t="n">
        <v>25</v>
      </c>
      <c r="E79" s="17" t="s">
        <v>63</v>
      </c>
      <c r="F79" s="17" t="s">
        <v>63</v>
      </c>
      <c r="G79" s="15" t="s">
        <v>563</v>
      </c>
      <c r="H79" s="18" t="s">
        <v>563</v>
      </c>
      <c r="I79" s="15" t="s">
        <v>397</v>
      </c>
      <c r="J79" s="17" t="s">
        <v>336</v>
      </c>
      <c r="K79" s="17" t="s">
        <v>564</v>
      </c>
      <c r="L79" s="19" t="s">
        <v>564</v>
      </c>
      <c r="M79" s="15" t="s">
        <v>368</v>
      </c>
      <c r="N79" s="17" t="n">
        <v>0</v>
      </c>
      <c r="O79" s="15" t="s">
        <v>339</v>
      </c>
      <c r="P79" s="19" t="s">
        <v>690</v>
      </c>
      <c r="Q79" s="15" t="s">
        <v>691</v>
      </c>
      <c r="R79" s="15" t="s">
        <v>692</v>
      </c>
      <c r="S79" s="15" t="s">
        <v>340</v>
      </c>
      <c r="T79" s="15" t="s">
        <v>341</v>
      </c>
      <c r="U79" s="15" t="s">
        <v>852</v>
      </c>
    </row>
    <row r="80" customFormat="false" ht="19.5" hidden="false" customHeight="true" outlineLevel="0" collapsed="false">
      <c r="A80" s="26" t="n">
        <v>249</v>
      </c>
      <c r="B80" s="27" t="s">
        <v>853</v>
      </c>
      <c r="C80" s="30" t="s">
        <v>854</v>
      </c>
      <c r="D80" s="39" t="n">
        <v>15</v>
      </c>
      <c r="E80" s="30" t="s">
        <v>63</v>
      </c>
      <c r="F80" s="30" t="s">
        <v>63</v>
      </c>
      <c r="G80" s="27" t="s">
        <v>531</v>
      </c>
      <c r="H80" s="40" t="s">
        <v>531</v>
      </c>
      <c r="I80" s="27" t="s">
        <v>379</v>
      </c>
      <c r="J80" s="30" t="s">
        <v>336</v>
      </c>
      <c r="K80" s="30" t="s">
        <v>530</v>
      </c>
      <c r="L80" s="26" t="s">
        <v>530</v>
      </c>
      <c r="M80" s="27" t="s">
        <v>343</v>
      </c>
      <c r="N80" s="30" t="n">
        <v>1921</v>
      </c>
      <c r="O80" s="27" t="s">
        <v>344</v>
      </c>
      <c r="P80" s="26" t="n">
        <v>1921</v>
      </c>
      <c r="Q80" s="27" t="s">
        <v>855</v>
      </c>
      <c r="R80" s="27" t="s">
        <v>648</v>
      </c>
      <c r="S80" s="27" t="s">
        <v>345</v>
      </c>
      <c r="T80" s="27" t="s">
        <v>341</v>
      </c>
      <c r="U80" s="27" t="s">
        <v>856</v>
      </c>
    </row>
    <row r="81" customFormat="false" ht="19.5" hidden="false" customHeight="true" outlineLevel="0" collapsed="false">
      <c r="A81" s="19" t="n">
        <v>250</v>
      </c>
      <c r="B81" s="15" t="s">
        <v>857</v>
      </c>
      <c r="C81" s="17" t="s">
        <v>751</v>
      </c>
      <c r="D81" s="16" t="n">
        <v>25</v>
      </c>
      <c r="E81" s="17" t="s">
        <v>63</v>
      </c>
      <c r="F81" s="17" t="s">
        <v>63</v>
      </c>
      <c r="G81" s="15" t="s">
        <v>531</v>
      </c>
      <c r="H81" s="18" t="s">
        <v>531</v>
      </c>
      <c r="I81" s="15" t="s">
        <v>379</v>
      </c>
      <c r="J81" s="17" t="s">
        <v>336</v>
      </c>
      <c r="K81" s="17" t="s">
        <v>530</v>
      </c>
      <c r="L81" s="19" t="s">
        <v>530</v>
      </c>
      <c r="M81" s="15" t="s">
        <v>343</v>
      </c>
      <c r="N81" s="17" t="n">
        <v>720</v>
      </c>
      <c r="O81" s="15" t="s">
        <v>344</v>
      </c>
      <c r="P81" s="19" t="n">
        <v>720</v>
      </c>
      <c r="Q81" s="15" t="s">
        <v>858</v>
      </c>
      <c r="R81" s="15" t="s">
        <v>648</v>
      </c>
      <c r="S81" s="15" t="s">
        <v>345</v>
      </c>
      <c r="T81" s="15" t="s">
        <v>341</v>
      </c>
      <c r="U81" s="15" t="s">
        <v>859</v>
      </c>
    </row>
    <row r="82" customFormat="false" ht="19.5" hidden="false" customHeight="true" outlineLevel="0" collapsed="false">
      <c r="A82" s="26" t="n">
        <v>254</v>
      </c>
      <c r="B82" s="27" t="s">
        <v>860</v>
      </c>
      <c r="C82" s="30" t="s">
        <v>751</v>
      </c>
      <c r="D82" s="39" t="n">
        <v>25</v>
      </c>
      <c r="E82" s="30" t="s">
        <v>63</v>
      </c>
      <c r="F82" s="30" t="s">
        <v>63</v>
      </c>
      <c r="G82" s="27" t="s">
        <v>532</v>
      </c>
      <c r="H82" s="40" t="s">
        <v>532</v>
      </c>
      <c r="I82" s="27" t="s">
        <v>379</v>
      </c>
      <c r="J82" s="30" t="s">
        <v>336</v>
      </c>
      <c r="K82" s="30" t="s">
        <v>530</v>
      </c>
      <c r="L82" s="26" t="s">
        <v>530</v>
      </c>
      <c r="M82" s="27" t="s">
        <v>343</v>
      </c>
      <c r="N82" s="30" t="n">
        <v>6313</v>
      </c>
      <c r="O82" s="27" t="s">
        <v>344</v>
      </c>
      <c r="P82" s="26" t="n">
        <v>6313</v>
      </c>
      <c r="Q82" s="27" t="s">
        <v>861</v>
      </c>
      <c r="R82" s="27" t="s">
        <v>648</v>
      </c>
      <c r="S82" s="27" t="s">
        <v>345</v>
      </c>
      <c r="T82" s="27" t="s">
        <v>341</v>
      </c>
      <c r="U82" s="27" t="s">
        <v>862</v>
      </c>
    </row>
    <row r="83" customFormat="false" ht="19.5" hidden="false" customHeight="true" outlineLevel="0" collapsed="false">
      <c r="A83" s="19" t="n">
        <v>255</v>
      </c>
      <c r="B83" s="15" t="s">
        <v>863</v>
      </c>
      <c r="C83" s="17" t="s">
        <v>864</v>
      </c>
      <c r="D83" s="16" t="n">
        <v>7.5</v>
      </c>
      <c r="E83" s="17" t="s">
        <v>63</v>
      </c>
      <c r="F83" s="17" t="s">
        <v>63</v>
      </c>
      <c r="G83" s="15" t="s">
        <v>532</v>
      </c>
      <c r="H83" s="18" t="s">
        <v>532</v>
      </c>
      <c r="I83" s="15" t="s">
        <v>379</v>
      </c>
      <c r="J83" s="17" t="s">
        <v>336</v>
      </c>
      <c r="K83" s="17" t="s">
        <v>530</v>
      </c>
      <c r="L83" s="19" t="s">
        <v>530</v>
      </c>
      <c r="M83" s="15" t="s">
        <v>343</v>
      </c>
      <c r="N83" s="17" t="n">
        <v>6313</v>
      </c>
      <c r="O83" s="15" t="s">
        <v>344</v>
      </c>
      <c r="P83" s="19" t="n">
        <v>6313</v>
      </c>
      <c r="Q83" s="15" t="s">
        <v>861</v>
      </c>
      <c r="R83" s="15" t="s">
        <v>648</v>
      </c>
      <c r="S83" s="15" t="s">
        <v>345</v>
      </c>
      <c r="T83" s="15" t="s">
        <v>341</v>
      </c>
      <c r="U83" s="15" t="s">
        <v>862</v>
      </c>
    </row>
    <row r="84" customFormat="false" ht="19.5" hidden="false" customHeight="true" outlineLevel="0" collapsed="false">
      <c r="A84" s="26" t="n">
        <v>260</v>
      </c>
      <c r="B84" s="27" t="s">
        <v>865</v>
      </c>
      <c r="C84" s="30" t="s">
        <v>866</v>
      </c>
      <c r="D84" s="39" t="n">
        <v>1</v>
      </c>
      <c r="E84" s="30" t="s">
        <v>39</v>
      </c>
      <c r="F84" s="30" t="s">
        <v>39</v>
      </c>
      <c r="G84" s="27" t="s">
        <v>534</v>
      </c>
      <c r="H84" s="40" t="s">
        <v>534</v>
      </c>
      <c r="I84" s="27" t="s">
        <v>342</v>
      </c>
      <c r="J84" s="30" t="s">
        <v>336</v>
      </c>
      <c r="K84" s="30" t="s">
        <v>111</v>
      </c>
      <c r="L84" s="26" t="s">
        <v>111</v>
      </c>
      <c r="M84" s="27" t="s">
        <v>343</v>
      </c>
      <c r="N84" s="30" t="n">
        <v>38917</v>
      </c>
      <c r="O84" s="27" t="s">
        <v>344</v>
      </c>
      <c r="P84" s="26" t="n">
        <v>38917</v>
      </c>
      <c r="Q84" s="27" t="s">
        <v>867</v>
      </c>
      <c r="R84" s="27" t="s">
        <v>648</v>
      </c>
      <c r="S84" s="27" t="s">
        <v>345</v>
      </c>
      <c r="T84" s="27" t="s">
        <v>341</v>
      </c>
      <c r="U84" s="27" t="s">
        <v>868</v>
      </c>
    </row>
    <row r="85" customFormat="false" ht="19.5" hidden="false" customHeight="true" outlineLevel="0" collapsed="false">
      <c r="A85" s="19" t="n">
        <v>265</v>
      </c>
      <c r="B85" s="15" t="s">
        <v>869</v>
      </c>
      <c r="C85" s="17" t="s">
        <v>263</v>
      </c>
      <c r="D85" s="16" t="n">
        <v>20</v>
      </c>
      <c r="E85" s="17" t="s">
        <v>39</v>
      </c>
      <c r="F85" s="17" t="s">
        <v>39</v>
      </c>
      <c r="G85" s="15" t="s">
        <v>536</v>
      </c>
      <c r="H85" s="18" t="s">
        <v>536</v>
      </c>
      <c r="I85" s="15" t="s">
        <v>356</v>
      </c>
      <c r="J85" s="17" t="s">
        <v>336</v>
      </c>
      <c r="K85" s="17" t="s">
        <v>82</v>
      </c>
      <c r="L85" s="19" t="s">
        <v>82</v>
      </c>
      <c r="M85" s="15" t="s">
        <v>343</v>
      </c>
      <c r="N85" s="17" t="n">
        <v>14816</v>
      </c>
      <c r="O85" s="15" t="s">
        <v>344</v>
      </c>
      <c r="P85" s="19" t="n">
        <v>14816</v>
      </c>
      <c r="Q85" s="15" t="s">
        <v>870</v>
      </c>
      <c r="R85" s="15" t="s">
        <v>648</v>
      </c>
      <c r="S85" s="15" t="s">
        <v>345</v>
      </c>
      <c r="T85" s="15" t="s">
        <v>341</v>
      </c>
      <c r="U85" s="15" t="s">
        <v>871</v>
      </c>
    </row>
    <row r="86" customFormat="false" ht="19.5" hidden="false" customHeight="true" outlineLevel="0" collapsed="false">
      <c r="A86" s="26" t="n">
        <v>270</v>
      </c>
      <c r="B86" s="27" t="s">
        <v>872</v>
      </c>
      <c r="C86" s="30" t="s">
        <v>263</v>
      </c>
      <c r="D86" s="39" t="n">
        <v>20</v>
      </c>
      <c r="E86" s="30" t="s">
        <v>39</v>
      </c>
      <c r="F86" s="30" t="s">
        <v>39</v>
      </c>
      <c r="G86" s="27" t="s">
        <v>536</v>
      </c>
      <c r="H86" s="40" t="s">
        <v>536</v>
      </c>
      <c r="I86" s="27" t="s">
        <v>356</v>
      </c>
      <c r="J86" s="30" t="s">
        <v>336</v>
      </c>
      <c r="K86" s="30" t="s">
        <v>82</v>
      </c>
      <c r="L86" s="26" t="s">
        <v>82</v>
      </c>
      <c r="M86" s="27" t="s">
        <v>343</v>
      </c>
      <c r="N86" s="30" t="n">
        <v>27620</v>
      </c>
      <c r="O86" s="27" t="s">
        <v>344</v>
      </c>
      <c r="P86" s="26" t="n">
        <v>27620</v>
      </c>
      <c r="Q86" s="27" t="s">
        <v>873</v>
      </c>
      <c r="R86" s="27" t="s">
        <v>648</v>
      </c>
      <c r="S86" s="27" t="s">
        <v>345</v>
      </c>
      <c r="T86" s="27" t="s">
        <v>341</v>
      </c>
      <c r="U86" s="27" t="s">
        <v>874</v>
      </c>
    </row>
    <row r="87" customFormat="false" ht="19.5" hidden="false" customHeight="true" outlineLevel="0" collapsed="false">
      <c r="A87" s="19" t="n">
        <v>271</v>
      </c>
      <c r="B87" s="15" t="s">
        <v>875</v>
      </c>
      <c r="C87" s="17" t="s">
        <v>263</v>
      </c>
      <c r="D87" s="16" t="n">
        <v>20</v>
      </c>
      <c r="E87" s="17" t="s">
        <v>39</v>
      </c>
      <c r="F87" s="17" t="s">
        <v>39</v>
      </c>
      <c r="G87" s="15" t="s">
        <v>102</v>
      </c>
      <c r="H87" s="18" t="s">
        <v>102</v>
      </c>
      <c r="I87" s="15" t="s">
        <v>356</v>
      </c>
      <c r="J87" s="17" t="s">
        <v>336</v>
      </c>
      <c r="K87" s="17" t="s">
        <v>82</v>
      </c>
      <c r="L87" s="19" t="s">
        <v>82</v>
      </c>
      <c r="M87" s="15" t="s">
        <v>343</v>
      </c>
      <c r="N87" s="17" t="n">
        <v>31522</v>
      </c>
      <c r="O87" s="15" t="s">
        <v>344</v>
      </c>
      <c r="P87" s="19" t="n">
        <v>31522</v>
      </c>
      <c r="Q87" s="15" t="s">
        <v>876</v>
      </c>
      <c r="R87" s="15" t="s">
        <v>648</v>
      </c>
      <c r="S87" s="15" t="s">
        <v>345</v>
      </c>
      <c r="T87" s="15" t="s">
        <v>341</v>
      </c>
      <c r="U87" s="15" t="s">
        <v>877</v>
      </c>
    </row>
    <row r="88" customFormat="false" ht="19.5" hidden="false" customHeight="true" outlineLevel="0" collapsed="false">
      <c r="A88" s="26" t="n">
        <v>272</v>
      </c>
      <c r="B88" s="27" t="s">
        <v>878</v>
      </c>
      <c r="C88" s="30" t="s">
        <v>263</v>
      </c>
      <c r="D88" s="39" t="n">
        <v>20</v>
      </c>
      <c r="E88" s="30" t="s">
        <v>39</v>
      </c>
      <c r="F88" s="30" t="s">
        <v>39</v>
      </c>
      <c r="G88" s="27" t="s">
        <v>536</v>
      </c>
      <c r="H88" s="40" t="s">
        <v>536</v>
      </c>
      <c r="I88" s="27" t="s">
        <v>356</v>
      </c>
      <c r="J88" s="30" t="s">
        <v>336</v>
      </c>
      <c r="K88" s="30" t="s">
        <v>82</v>
      </c>
      <c r="L88" s="26" t="s">
        <v>82</v>
      </c>
      <c r="M88" s="27" t="s">
        <v>343</v>
      </c>
      <c r="N88" s="30" t="n">
        <v>6914</v>
      </c>
      <c r="O88" s="27" t="s">
        <v>344</v>
      </c>
      <c r="P88" s="26" t="n">
        <v>6914</v>
      </c>
      <c r="Q88" s="27" t="s">
        <v>879</v>
      </c>
      <c r="R88" s="27" t="s">
        <v>648</v>
      </c>
      <c r="S88" s="27" t="s">
        <v>345</v>
      </c>
      <c r="T88" s="27" t="s">
        <v>341</v>
      </c>
      <c r="U88" s="27" t="s">
        <v>880</v>
      </c>
    </row>
    <row r="89" customFormat="false" ht="19.5" hidden="false" customHeight="true" outlineLevel="0" collapsed="false">
      <c r="A89" s="19" t="n">
        <v>274</v>
      </c>
      <c r="B89" s="15" t="s">
        <v>881</v>
      </c>
      <c r="C89" s="17" t="s">
        <v>263</v>
      </c>
      <c r="D89" s="16" t="n">
        <v>20</v>
      </c>
      <c r="E89" s="17" t="s">
        <v>39</v>
      </c>
      <c r="F89" s="17" t="s">
        <v>39</v>
      </c>
      <c r="G89" s="15" t="s">
        <v>544</v>
      </c>
      <c r="H89" s="18" t="s">
        <v>544</v>
      </c>
      <c r="I89" s="15" t="s">
        <v>382</v>
      </c>
      <c r="J89" s="17" t="s">
        <v>336</v>
      </c>
      <c r="K89" s="17" t="s">
        <v>159</v>
      </c>
      <c r="L89" s="19" t="s">
        <v>159</v>
      </c>
      <c r="M89" s="15" t="s">
        <v>349</v>
      </c>
      <c r="N89" s="17" t="n">
        <v>0</v>
      </c>
      <c r="O89" s="15" t="s">
        <v>339</v>
      </c>
      <c r="P89" s="19" t="s">
        <v>690</v>
      </c>
      <c r="Q89" s="15" t="s">
        <v>691</v>
      </c>
      <c r="R89" s="15" t="s">
        <v>692</v>
      </c>
      <c r="S89" s="15" t="s">
        <v>345</v>
      </c>
      <c r="T89" s="15" t="s">
        <v>341</v>
      </c>
      <c r="U89" s="15" t="s">
        <v>693</v>
      </c>
    </row>
    <row r="90" customFormat="false" ht="19.5" hidden="false" customHeight="true" outlineLevel="0" collapsed="false">
      <c r="A90" s="26" t="n">
        <v>275</v>
      </c>
      <c r="B90" s="27" t="s">
        <v>882</v>
      </c>
      <c r="C90" s="30" t="s">
        <v>263</v>
      </c>
      <c r="D90" s="39" t="n">
        <v>20</v>
      </c>
      <c r="E90" s="30" t="s">
        <v>39</v>
      </c>
      <c r="F90" s="30" t="s">
        <v>39</v>
      </c>
      <c r="G90" s="27" t="s">
        <v>546</v>
      </c>
      <c r="H90" s="40" t="s">
        <v>546</v>
      </c>
      <c r="I90" s="27" t="s">
        <v>467</v>
      </c>
      <c r="J90" s="30" t="s">
        <v>336</v>
      </c>
      <c r="K90" s="30" t="s">
        <v>118</v>
      </c>
      <c r="L90" s="26" t="s">
        <v>118</v>
      </c>
      <c r="M90" s="27" t="s">
        <v>349</v>
      </c>
      <c r="N90" s="30" t="n">
        <v>0</v>
      </c>
      <c r="O90" s="27" t="s">
        <v>339</v>
      </c>
      <c r="P90" s="26" t="s">
        <v>690</v>
      </c>
      <c r="Q90" s="27" t="s">
        <v>691</v>
      </c>
      <c r="R90" s="27" t="s">
        <v>692</v>
      </c>
      <c r="S90" s="27" t="s">
        <v>345</v>
      </c>
      <c r="T90" s="27" t="s">
        <v>341</v>
      </c>
      <c r="U90" s="27" t="s">
        <v>693</v>
      </c>
    </row>
    <row r="91" customFormat="false" ht="19.5" hidden="false" customHeight="true" outlineLevel="0" collapsed="false">
      <c r="A91" s="19" t="n">
        <v>276</v>
      </c>
      <c r="B91" s="15" t="s">
        <v>53</v>
      </c>
      <c r="C91" s="17" t="s">
        <v>260</v>
      </c>
      <c r="D91" s="16" t="n">
        <v>5</v>
      </c>
      <c r="E91" s="17" t="s">
        <v>39</v>
      </c>
      <c r="F91" s="17" t="s">
        <v>39</v>
      </c>
      <c r="G91" s="15" t="s">
        <v>54</v>
      </c>
      <c r="H91" s="18" t="s">
        <v>54</v>
      </c>
      <c r="I91" s="15" t="s">
        <v>382</v>
      </c>
      <c r="J91" s="17" t="s">
        <v>336</v>
      </c>
      <c r="K91" s="17" t="s">
        <v>55</v>
      </c>
      <c r="L91" s="19" t="s">
        <v>55</v>
      </c>
      <c r="M91" s="15" t="s">
        <v>498</v>
      </c>
      <c r="N91" s="17" t="n">
        <v>0</v>
      </c>
      <c r="O91" s="15" t="s">
        <v>339</v>
      </c>
      <c r="P91" s="19" t="s">
        <v>690</v>
      </c>
      <c r="Q91" s="15" t="s">
        <v>691</v>
      </c>
      <c r="R91" s="15" t="s">
        <v>692</v>
      </c>
      <c r="S91" s="15" t="s">
        <v>345</v>
      </c>
      <c r="T91" s="15" t="s">
        <v>341</v>
      </c>
      <c r="U91" s="15" t="s">
        <v>693</v>
      </c>
    </row>
    <row r="92" customFormat="false" ht="19.5" hidden="false" customHeight="true" outlineLevel="0" collapsed="false">
      <c r="A92" s="26" t="n">
        <v>277</v>
      </c>
      <c r="B92" s="27" t="s">
        <v>883</v>
      </c>
      <c r="C92" s="30" t="s">
        <v>263</v>
      </c>
      <c r="D92" s="39" t="n">
        <v>20</v>
      </c>
      <c r="E92" s="30" t="s">
        <v>39</v>
      </c>
      <c r="F92" s="30" t="s">
        <v>39</v>
      </c>
      <c r="G92" s="27" t="s">
        <v>546</v>
      </c>
      <c r="H92" s="40" t="s">
        <v>546</v>
      </c>
      <c r="I92" s="27" t="s">
        <v>467</v>
      </c>
      <c r="J92" s="30" t="s">
        <v>336</v>
      </c>
      <c r="K92" s="30" t="s">
        <v>118</v>
      </c>
      <c r="L92" s="26" t="s">
        <v>118</v>
      </c>
      <c r="M92" s="27" t="s">
        <v>349</v>
      </c>
      <c r="N92" s="30" t="n">
        <v>0</v>
      </c>
      <c r="O92" s="27" t="s">
        <v>339</v>
      </c>
      <c r="P92" s="26" t="s">
        <v>690</v>
      </c>
      <c r="Q92" s="27" t="s">
        <v>691</v>
      </c>
      <c r="R92" s="27" t="s">
        <v>692</v>
      </c>
      <c r="S92" s="27" t="s">
        <v>345</v>
      </c>
      <c r="T92" s="27" t="s">
        <v>341</v>
      </c>
      <c r="U92" s="27" t="s">
        <v>693</v>
      </c>
    </row>
    <row r="93" customFormat="false" ht="19.5" hidden="false" customHeight="true" outlineLevel="0" collapsed="false">
      <c r="A93" s="19" t="n">
        <v>278</v>
      </c>
      <c r="B93" s="15" t="s">
        <v>884</v>
      </c>
      <c r="C93" s="17" t="s">
        <v>260</v>
      </c>
      <c r="D93" s="16" t="n">
        <v>5</v>
      </c>
      <c r="E93" s="17" t="s">
        <v>39</v>
      </c>
      <c r="F93" s="17" t="s">
        <v>39</v>
      </c>
      <c r="G93" s="15" t="s">
        <v>548</v>
      </c>
      <c r="H93" s="18" t="s">
        <v>548</v>
      </c>
      <c r="I93" s="15" t="s">
        <v>467</v>
      </c>
      <c r="J93" s="17" t="s">
        <v>336</v>
      </c>
      <c r="K93" s="17" t="s">
        <v>159</v>
      </c>
      <c r="L93" s="19" t="s">
        <v>159</v>
      </c>
      <c r="M93" s="15" t="s">
        <v>349</v>
      </c>
      <c r="N93" s="17" t="n">
        <v>0</v>
      </c>
      <c r="O93" s="15" t="s">
        <v>339</v>
      </c>
      <c r="P93" s="19" t="s">
        <v>690</v>
      </c>
      <c r="Q93" s="15" t="s">
        <v>691</v>
      </c>
      <c r="R93" s="15" t="s">
        <v>692</v>
      </c>
      <c r="S93" s="15" t="s">
        <v>345</v>
      </c>
      <c r="T93" s="15" t="s">
        <v>341</v>
      </c>
      <c r="U93" s="15" t="s">
        <v>693</v>
      </c>
    </row>
    <row r="94" customFormat="false" ht="19.5" hidden="false" customHeight="true" outlineLevel="0" collapsed="false">
      <c r="A94" s="26" t="n">
        <v>279</v>
      </c>
      <c r="B94" s="27" t="s">
        <v>885</v>
      </c>
      <c r="C94" s="30" t="s">
        <v>263</v>
      </c>
      <c r="D94" s="39" t="n">
        <v>20</v>
      </c>
      <c r="E94" s="30" t="s">
        <v>39</v>
      </c>
      <c r="F94" s="30" t="s">
        <v>39</v>
      </c>
      <c r="G94" s="27" t="s">
        <v>549</v>
      </c>
      <c r="H94" s="40" t="s">
        <v>549</v>
      </c>
      <c r="I94" s="27" t="s">
        <v>342</v>
      </c>
      <c r="J94" s="30" t="s">
        <v>336</v>
      </c>
      <c r="K94" s="30" t="s">
        <v>111</v>
      </c>
      <c r="L94" s="26" t="s">
        <v>111</v>
      </c>
      <c r="M94" s="27" t="s">
        <v>343</v>
      </c>
      <c r="N94" s="30" t="n">
        <v>3705</v>
      </c>
      <c r="O94" s="27" t="s">
        <v>344</v>
      </c>
      <c r="P94" s="26" t="n">
        <v>3705</v>
      </c>
      <c r="Q94" s="27" t="s">
        <v>886</v>
      </c>
      <c r="R94" s="27" t="s">
        <v>648</v>
      </c>
      <c r="S94" s="27" t="s">
        <v>345</v>
      </c>
      <c r="T94" s="27" t="s">
        <v>341</v>
      </c>
      <c r="U94" s="27" t="s">
        <v>887</v>
      </c>
    </row>
    <row r="95" customFormat="false" ht="19.5" hidden="false" customHeight="true" outlineLevel="0" collapsed="false">
      <c r="A95" s="19" t="n">
        <v>280</v>
      </c>
      <c r="B95" s="15" t="s">
        <v>888</v>
      </c>
      <c r="C95" s="17" t="s">
        <v>260</v>
      </c>
      <c r="D95" s="16" t="n">
        <v>5</v>
      </c>
      <c r="E95" s="17" t="s">
        <v>39</v>
      </c>
      <c r="F95" s="17" t="s">
        <v>39</v>
      </c>
      <c r="G95" s="15" t="s">
        <v>550</v>
      </c>
      <c r="H95" s="18" t="s">
        <v>550</v>
      </c>
      <c r="I95" s="15" t="s">
        <v>342</v>
      </c>
      <c r="J95" s="17" t="s">
        <v>336</v>
      </c>
      <c r="K95" s="17" t="s">
        <v>111</v>
      </c>
      <c r="L95" s="19" t="s">
        <v>111</v>
      </c>
      <c r="M95" s="15" t="s">
        <v>343</v>
      </c>
      <c r="N95" s="17" t="n">
        <v>4798</v>
      </c>
      <c r="O95" s="15" t="s">
        <v>344</v>
      </c>
      <c r="P95" s="19" t="n">
        <v>4798</v>
      </c>
      <c r="Q95" s="15" t="s">
        <v>889</v>
      </c>
      <c r="R95" s="15" t="s">
        <v>648</v>
      </c>
      <c r="S95" s="15" t="s">
        <v>345</v>
      </c>
      <c r="T95" s="15" t="s">
        <v>341</v>
      </c>
      <c r="U95" s="15" t="s">
        <v>890</v>
      </c>
    </row>
    <row r="96" customFormat="false" ht="19.5" hidden="false" customHeight="true" outlineLevel="0" collapsed="false">
      <c r="A96" s="26" t="n">
        <v>281</v>
      </c>
      <c r="B96" s="27" t="s">
        <v>891</v>
      </c>
      <c r="C96" s="30" t="s">
        <v>263</v>
      </c>
      <c r="D96" s="39" t="n">
        <v>20</v>
      </c>
      <c r="E96" s="30" t="s">
        <v>39</v>
      </c>
      <c r="F96" s="30" t="s">
        <v>39</v>
      </c>
      <c r="G96" s="27" t="s">
        <v>527</v>
      </c>
      <c r="H96" s="40" t="s">
        <v>527</v>
      </c>
      <c r="I96" s="27" t="s">
        <v>467</v>
      </c>
      <c r="J96" s="30" t="s">
        <v>336</v>
      </c>
      <c r="K96" s="30" t="s">
        <v>528</v>
      </c>
      <c r="L96" s="26" t="s">
        <v>528</v>
      </c>
      <c r="M96" s="27" t="s">
        <v>349</v>
      </c>
      <c r="N96" s="30" t="n">
        <v>0</v>
      </c>
      <c r="O96" s="27" t="s">
        <v>339</v>
      </c>
      <c r="P96" s="26" t="s">
        <v>690</v>
      </c>
      <c r="Q96" s="27" t="s">
        <v>691</v>
      </c>
      <c r="R96" s="27" t="s">
        <v>692</v>
      </c>
      <c r="S96" s="27" t="s">
        <v>345</v>
      </c>
      <c r="T96" s="27" t="s">
        <v>341</v>
      </c>
      <c r="U96" s="27" t="s">
        <v>693</v>
      </c>
    </row>
    <row r="97" customFormat="false" ht="19.5" hidden="false" customHeight="true" outlineLevel="0" collapsed="false">
      <c r="A97" s="19" t="n">
        <v>282</v>
      </c>
      <c r="B97" s="15" t="s">
        <v>892</v>
      </c>
      <c r="C97" s="17" t="s">
        <v>263</v>
      </c>
      <c r="D97" s="16" t="n">
        <v>20</v>
      </c>
      <c r="E97" s="17" t="s">
        <v>39</v>
      </c>
      <c r="F97" s="17" t="s">
        <v>39</v>
      </c>
      <c r="G97" s="15" t="s">
        <v>556</v>
      </c>
      <c r="H97" s="18" t="s">
        <v>556</v>
      </c>
      <c r="I97" s="15" t="s">
        <v>542</v>
      </c>
      <c r="J97" s="17" t="s">
        <v>336</v>
      </c>
      <c r="K97" s="17" t="s">
        <v>557</v>
      </c>
      <c r="L97" s="19" t="s">
        <v>557</v>
      </c>
      <c r="M97" s="15" t="s">
        <v>349</v>
      </c>
      <c r="N97" s="17" t="n">
        <v>0</v>
      </c>
      <c r="O97" s="15" t="s">
        <v>339</v>
      </c>
      <c r="P97" s="19" t="s">
        <v>690</v>
      </c>
      <c r="Q97" s="15" t="s">
        <v>691</v>
      </c>
      <c r="R97" s="15" t="s">
        <v>692</v>
      </c>
      <c r="S97" s="15" t="s">
        <v>345</v>
      </c>
      <c r="T97" s="15" t="s">
        <v>341</v>
      </c>
      <c r="U97" s="15" t="s">
        <v>693</v>
      </c>
    </row>
    <row r="98" customFormat="false" ht="19.5" hidden="false" customHeight="true" outlineLevel="0" collapsed="false">
      <c r="A98" s="26" t="n">
        <v>283</v>
      </c>
      <c r="B98" s="27" t="s">
        <v>893</v>
      </c>
      <c r="C98" s="30" t="s">
        <v>263</v>
      </c>
      <c r="D98" s="39" t="n">
        <v>20</v>
      </c>
      <c r="E98" s="30" t="s">
        <v>39</v>
      </c>
      <c r="F98" s="30" t="s">
        <v>39</v>
      </c>
      <c r="G98" s="27" t="s">
        <v>556</v>
      </c>
      <c r="H98" s="40" t="s">
        <v>556</v>
      </c>
      <c r="I98" s="27" t="s">
        <v>542</v>
      </c>
      <c r="J98" s="30" t="s">
        <v>336</v>
      </c>
      <c r="K98" s="30" t="s">
        <v>557</v>
      </c>
      <c r="L98" s="26" t="s">
        <v>557</v>
      </c>
      <c r="M98" s="27" t="s">
        <v>349</v>
      </c>
      <c r="N98" s="30" t="n">
        <v>0</v>
      </c>
      <c r="O98" s="27" t="s">
        <v>339</v>
      </c>
      <c r="P98" s="26" t="s">
        <v>690</v>
      </c>
      <c r="Q98" s="27" t="s">
        <v>691</v>
      </c>
      <c r="R98" s="27" t="s">
        <v>692</v>
      </c>
      <c r="S98" s="27" t="s">
        <v>345</v>
      </c>
      <c r="T98" s="27" t="s">
        <v>341</v>
      </c>
      <c r="U98" s="27" t="s">
        <v>693</v>
      </c>
    </row>
    <row r="99" customFormat="false" ht="19.5" hidden="false" customHeight="true" outlineLevel="0" collapsed="false">
      <c r="A99" s="19" t="n">
        <v>284</v>
      </c>
      <c r="B99" s="15" t="s">
        <v>894</v>
      </c>
      <c r="C99" s="17" t="s">
        <v>263</v>
      </c>
      <c r="D99" s="16" t="n">
        <v>20</v>
      </c>
      <c r="E99" s="17" t="s">
        <v>39</v>
      </c>
      <c r="F99" s="17" t="s">
        <v>39</v>
      </c>
      <c r="G99" s="15" t="s">
        <v>540</v>
      </c>
      <c r="H99" s="18" t="s">
        <v>540</v>
      </c>
      <c r="I99" s="15" t="s">
        <v>467</v>
      </c>
      <c r="J99" s="17" t="s">
        <v>336</v>
      </c>
      <c r="K99" s="17" t="s">
        <v>159</v>
      </c>
      <c r="L99" s="19" t="s">
        <v>159</v>
      </c>
      <c r="M99" s="15" t="s">
        <v>349</v>
      </c>
      <c r="N99" s="17" t="n">
        <v>0</v>
      </c>
      <c r="O99" s="15" t="s">
        <v>339</v>
      </c>
      <c r="P99" s="19" t="s">
        <v>690</v>
      </c>
      <c r="Q99" s="15" t="s">
        <v>691</v>
      </c>
      <c r="R99" s="15" t="s">
        <v>692</v>
      </c>
      <c r="S99" s="15" t="s">
        <v>345</v>
      </c>
      <c r="T99" s="15" t="s">
        <v>341</v>
      </c>
      <c r="U99" s="15" t="s">
        <v>693</v>
      </c>
    </row>
    <row r="100" customFormat="false" ht="19.5" hidden="false" customHeight="true" outlineLevel="0" collapsed="false">
      <c r="A100" s="26" t="n">
        <v>285</v>
      </c>
      <c r="B100" s="27" t="s">
        <v>895</v>
      </c>
      <c r="C100" s="30" t="s">
        <v>263</v>
      </c>
      <c r="D100" s="39" t="n">
        <v>20</v>
      </c>
      <c r="E100" s="30" t="s">
        <v>39</v>
      </c>
      <c r="F100" s="30" t="s">
        <v>39</v>
      </c>
      <c r="G100" s="27" t="s">
        <v>558</v>
      </c>
      <c r="H100" s="40" t="s">
        <v>558</v>
      </c>
      <c r="I100" s="27" t="s">
        <v>467</v>
      </c>
      <c r="J100" s="30" t="s">
        <v>336</v>
      </c>
      <c r="K100" s="30" t="s">
        <v>159</v>
      </c>
      <c r="L100" s="26" t="s">
        <v>159</v>
      </c>
      <c r="M100" s="27" t="s">
        <v>349</v>
      </c>
      <c r="N100" s="30" t="n">
        <v>0</v>
      </c>
      <c r="O100" s="27" t="s">
        <v>339</v>
      </c>
      <c r="P100" s="26" t="s">
        <v>690</v>
      </c>
      <c r="Q100" s="27" t="s">
        <v>691</v>
      </c>
      <c r="R100" s="27" t="s">
        <v>692</v>
      </c>
      <c r="S100" s="27" t="s">
        <v>345</v>
      </c>
      <c r="T100" s="27" t="s">
        <v>341</v>
      </c>
      <c r="U100" s="27" t="s">
        <v>693</v>
      </c>
    </row>
    <row r="101" customFormat="false" ht="19.5" hidden="false" customHeight="true" outlineLevel="0" collapsed="false">
      <c r="A101" s="19" t="n">
        <v>293</v>
      </c>
      <c r="B101" s="15" t="s">
        <v>896</v>
      </c>
      <c r="C101" s="17" t="s">
        <v>263</v>
      </c>
      <c r="D101" s="16" t="n">
        <v>20</v>
      </c>
      <c r="E101" s="17" t="s">
        <v>39</v>
      </c>
      <c r="F101" s="17" t="s">
        <v>39</v>
      </c>
      <c r="G101" s="15" t="s">
        <v>568</v>
      </c>
      <c r="H101" s="18" t="s">
        <v>568</v>
      </c>
      <c r="I101" s="15" t="s">
        <v>457</v>
      </c>
      <c r="J101" s="17" t="s">
        <v>336</v>
      </c>
      <c r="K101" s="17" t="s">
        <v>159</v>
      </c>
      <c r="L101" s="19" t="s">
        <v>367</v>
      </c>
      <c r="M101" s="15" t="s">
        <v>368</v>
      </c>
      <c r="N101" s="17" t="n">
        <v>0</v>
      </c>
      <c r="O101" s="15" t="s">
        <v>369</v>
      </c>
      <c r="P101" s="19" t="s">
        <v>683</v>
      </c>
      <c r="Q101" s="15" t="s">
        <v>684</v>
      </c>
      <c r="R101" s="15" t="s">
        <v>685</v>
      </c>
      <c r="S101" s="15" t="s">
        <v>370</v>
      </c>
      <c r="T101" s="15" t="s">
        <v>371</v>
      </c>
      <c r="U101" s="15" t="s">
        <v>897</v>
      </c>
    </row>
    <row r="102" customFormat="false" ht="19.5" hidden="false" customHeight="true" outlineLevel="0" collapsed="false">
      <c r="A102" s="26" t="n">
        <v>295</v>
      </c>
      <c r="B102" s="27" t="s">
        <v>898</v>
      </c>
      <c r="C102" s="30" t="s">
        <v>260</v>
      </c>
      <c r="D102" s="39" t="n">
        <v>5</v>
      </c>
      <c r="E102" s="30" t="s">
        <v>39</v>
      </c>
      <c r="F102" s="30" t="s">
        <v>39</v>
      </c>
      <c r="G102" s="27" t="s">
        <v>568</v>
      </c>
      <c r="H102" s="40" t="s">
        <v>568</v>
      </c>
      <c r="I102" s="27" t="s">
        <v>457</v>
      </c>
      <c r="J102" s="30" t="s">
        <v>336</v>
      </c>
      <c r="K102" s="30" t="s">
        <v>159</v>
      </c>
      <c r="L102" s="26" t="s">
        <v>367</v>
      </c>
      <c r="M102" s="27" t="s">
        <v>368</v>
      </c>
      <c r="N102" s="30" t="n">
        <v>0</v>
      </c>
      <c r="O102" s="27" t="s">
        <v>369</v>
      </c>
      <c r="P102" s="26" t="s">
        <v>683</v>
      </c>
      <c r="Q102" s="27" t="s">
        <v>684</v>
      </c>
      <c r="R102" s="27" t="s">
        <v>685</v>
      </c>
      <c r="S102" s="27" t="s">
        <v>370</v>
      </c>
      <c r="T102" s="27" t="s">
        <v>371</v>
      </c>
      <c r="U102" s="27" t="s">
        <v>899</v>
      </c>
    </row>
    <row r="103" customFormat="false" ht="19.5" hidden="false" customHeight="true" outlineLevel="0" collapsed="false">
      <c r="A103" s="19" t="n">
        <v>298</v>
      </c>
      <c r="B103" s="15" t="s">
        <v>900</v>
      </c>
      <c r="C103" s="17" t="s">
        <v>263</v>
      </c>
      <c r="D103" s="16" t="n">
        <v>20</v>
      </c>
      <c r="E103" s="17" t="s">
        <v>39</v>
      </c>
      <c r="F103" s="17" t="s">
        <v>39</v>
      </c>
      <c r="G103" s="15" t="s">
        <v>570</v>
      </c>
      <c r="H103" s="18" t="s">
        <v>570</v>
      </c>
      <c r="I103" s="15" t="s">
        <v>569</v>
      </c>
      <c r="J103" s="17" t="s">
        <v>336</v>
      </c>
      <c r="K103" s="17" t="s">
        <v>442</v>
      </c>
      <c r="L103" s="19" t="s">
        <v>367</v>
      </c>
      <c r="M103" s="15" t="s">
        <v>368</v>
      </c>
      <c r="N103" s="17" t="n">
        <v>0</v>
      </c>
      <c r="O103" s="15" t="s">
        <v>369</v>
      </c>
      <c r="P103" s="19" t="s">
        <v>683</v>
      </c>
      <c r="Q103" s="15" t="s">
        <v>684</v>
      </c>
      <c r="R103" s="15" t="s">
        <v>685</v>
      </c>
      <c r="S103" s="15" t="s">
        <v>370</v>
      </c>
      <c r="T103" s="15" t="s">
        <v>371</v>
      </c>
      <c r="U103" s="15" t="s">
        <v>901</v>
      </c>
    </row>
    <row r="104" customFormat="false" ht="19.5" hidden="false" customHeight="true" outlineLevel="0" collapsed="false">
      <c r="A104" s="26" t="n">
        <v>299</v>
      </c>
      <c r="B104" s="27" t="s">
        <v>902</v>
      </c>
      <c r="C104" s="30" t="s">
        <v>903</v>
      </c>
      <c r="D104" s="39" t="n">
        <v>25</v>
      </c>
      <c r="E104" s="30" t="s">
        <v>39</v>
      </c>
      <c r="F104" s="30" t="s">
        <v>39</v>
      </c>
      <c r="G104" s="27" t="s">
        <v>117</v>
      </c>
      <c r="H104" s="40" t="s">
        <v>117</v>
      </c>
      <c r="I104" s="27" t="s">
        <v>569</v>
      </c>
      <c r="J104" s="30" t="s">
        <v>336</v>
      </c>
      <c r="K104" s="30" t="s">
        <v>442</v>
      </c>
      <c r="L104" s="26" t="s">
        <v>367</v>
      </c>
      <c r="M104" s="27" t="s">
        <v>368</v>
      </c>
      <c r="N104" s="30" t="n">
        <v>0</v>
      </c>
      <c r="O104" s="27" t="s">
        <v>369</v>
      </c>
      <c r="P104" s="26" t="s">
        <v>683</v>
      </c>
      <c r="Q104" s="27" t="s">
        <v>684</v>
      </c>
      <c r="R104" s="27" t="s">
        <v>685</v>
      </c>
      <c r="S104" s="27" t="s">
        <v>370</v>
      </c>
      <c r="T104" s="27" t="s">
        <v>371</v>
      </c>
      <c r="U104" s="27" t="s">
        <v>901</v>
      </c>
    </row>
    <row r="105" customFormat="false" ht="19.5" hidden="false" customHeight="true" outlineLevel="0" collapsed="false">
      <c r="A105" s="19" t="n">
        <v>305</v>
      </c>
      <c r="B105" s="15" t="s">
        <v>904</v>
      </c>
      <c r="C105" s="17" t="s">
        <v>903</v>
      </c>
      <c r="D105" s="16" t="n">
        <v>25</v>
      </c>
      <c r="E105" s="17" t="s">
        <v>39</v>
      </c>
      <c r="F105" s="17" t="s">
        <v>39</v>
      </c>
      <c r="G105" s="15" t="s">
        <v>573</v>
      </c>
      <c r="H105" s="18" t="s">
        <v>573</v>
      </c>
      <c r="I105" s="15" t="s">
        <v>457</v>
      </c>
      <c r="J105" s="17" t="s">
        <v>336</v>
      </c>
      <c r="K105" s="17" t="s">
        <v>442</v>
      </c>
      <c r="L105" s="19" t="s">
        <v>367</v>
      </c>
      <c r="M105" s="15" t="s">
        <v>368</v>
      </c>
      <c r="N105" s="17" t="n">
        <v>0</v>
      </c>
      <c r="O105" s="15" t="s">
        <v>369</v>
      </c>
      <c r="P105" s="19" t="s">
        <v>683</v>
      </c>
      <c r="Q105" s="15" t="s">
        <v>684</v>
      </c>
      <c r="R105" s="15" t="s">
        <v>685</v>
      </c>
      <c r="S105" s="15" t="s">
        <v>370</v>
      </c>
      <c r="T105" s="15" t="s">
        <v>371</v>
      </c>
      <c r="U105" s="15" t="s">
        <v>837</v>
      </c>
    </row>
    <row r="106" customFormat="false" ht="19.5" hidden="false" customHeight="true" outlineLevel="0" collapsed="false">
      <c r="A106" s="26" t="n">
        <v>309</v>
      </c>
      <c r="B106" s="27" t="s">
        <v>116</v>
      </c>
      <c r="C106" s="30" t="s">
        <v>905</v>
      </c>
      <c r="D106" s="39" t="n">
        <v>1</v>
      </c>
      <c r="E106" s="30" t="s">
        <v>63</v>
      </c>
      <c r="F106" s="30" t="s">
        <v>63</v>
      </c>
      <c r="G106" s="27" t="s">
        <v>117</v>
      </c>
      <c r="H106" s="40" t="s">
        <v>906</v>
      </c>
      <c r="I106" s="27" t="s">
        <v>382</v>
      </c>
      <c r="J106" s="30" t="s">
        <v>336</v>
      </c>
      <c r="K106" s="30" t="s">
        <v>118</v>
      </c>
      <c r="L106" s="26" t="s">
        <v>118</v>
      </c>
      <c r="M106" s="27" t="s">
        <v>349</v>
      </c>
      <c r="N106" s="30" t="n">
        <v>0</v>
      </c>
      <c r="O106" s="27" t="s">
        <v>339</v>
      </c>
      <c r="P106" s="26" t="s">
        <v>690</v>
      </c>
      <c r="Q106" s="27" t="s">
        <v>691</v>
      </c>
      <c r="R106" s="27" t="s">
        <v>692</v>
      </c>
      <c r="S106" s="27" t="s">
        <v>345</v>
      </c>
      <c r="T106" s="27" t="s">
        <v>341</v>
      </c>
      <c r="U106" s="27" t="s">
        <v>907</v>
      </c>
    </row>
    <row r="107" customFormat="false" ht="19.5" hidden="false" customHeight="true" outlineLevel="0" collapsed="false">
      <c r="A107" s="19" t="n">
        <v>310</v>
      </c>
      <c r="B107" s="15" t="s">
        <v>908</v>
      </c>
      <c r="C107" s="17" t="s">
        <v>905</v>
      </c>
      <c r="D107" s="16" t="n">
        <v>1</v>
      </c>
      <c r="E107" s="17" t="s">
        <v>63</v>
      </c>
      <c r="F107" s="17" t="s">
        <v>63</v>
      </c>
      <c r="G107" s="15" t="s">
        <v>117</v>
      </c>
      <c r="H107" s="18" t="s">
        <v>906</v>
      </c>
      <c r="I107" s="15" t="s">
        <v>382</v>
      </c>
      <c r="J107" s="17" t="s">
        <v>336</v>
      </c>
      <c r="K107" s="17" t="s">
        <v>118</v>
      </c>
      <c r="L107" s="19" t="s">
        <v>118</v>
      </c>
      <c r="M107" s="15" t="s">
        <v>349</v>
      </c>
      <c r="N107" s="17" t="n">
        <v>0</v>
      </c>
      <c r="O107" s="15" t="s">
        <v>339</v>
      </c>
      <c r="P107" s="19" t="s">
        <v>690</v>
      </c>
      <c r="Q107" s="15" t="s">
        <v>691</v>
      </c>
      <c r="R107" s="15" t="s">
        <v>692</v>
      </c>
      <c r="S107" s="15" t="s">
        <v>345</v>
      </c>
      <c r="T107" s="15" t="s">
        <v>341</v>
      </c>
      <c r="U107" s="15" t="s">
        <v>909</v>
      </c>
    </row>
    <row r="108" customFormat="false" ht="19.5" hidden="false" customHeight="true" outlineLevel="0" collapsed="false">
      <c r="A108" s="26" t="n">
        <v>317</v>
      </c>
      <c r="B108" s="27" t="s">
        <v>910</v>
      </c>
      <c r="C108" s="30" t="s">
        <v>263</v>
      </c>
      <c r="D108" s="39" t="n">
        <v>20</v>
      </c>
      <c r="E108" s="30" t="s">
        <v>39</v>
      </c>
      <c r="F108" s="30" t="s">
        <v>39</v>
      </c>
      <c r="G108" s="27" t="s">
        <v>579</v>
      </c>
      <c r="H108" s="40" t="s">
        <v>579</v>
      </c>
      <c r="I108" s="27" t="s">
        <v>342</v>
      </c>
      <c r="J108" s="30" t="s">
        <v>336</v>
      </c>
      <c r="K108" s="30" t="s">
        <v>111</v>
      </c>
      <c r="L108" s="26" t="s">
        <v>111</v>
      </c>
      <c r="M108" s="27" t="s">
        <v>343</v>
      </c>
      <c r="N108" s="30" t="n">
        <v>2808</v>
      </c>
      <c r="O108" s="27" t="s">
        <v>344</v>
      </c>
      <c r="P108" s="26" t="n">
        <v>2808</v>
      </c>
      <c r="Q108" s="27" t="s">
        <v>911</v>
      </c>
      <c r="R108" s="27" t="s">
        <v>648</v>
      </c>
      <c r="S108" s="27" t="s">
        <v>345</v>
      </c>
      <c r="T108" s="27" t="s">
        <v>341</v>
      </c>
      <c r="U108" s="27" t="s">
        <v>912</v>
      </c>
    </row>
    <row r="109" customFormat="false" ht="19.5" hidden="false" customHeight="true" outlineLevel="0" collapsed="false">
      <c r="A109" s="19" t="n">
        <v>319</v>
      </c>
      <c r="B109" s="15" t="s">
        <v>913</v>
      </c>
      <c r="C109" s="17" t="s">
        <v>263</v>
      </c>
      <c r="D109" s="16" t="n">
        <v>20</v>
      </c>
      <c r="E109" s="17" t="s">
        <v>39</v>
      </c>
      <c r="F109" s="17" t="s">
        <v>39</v>
      </c>
      <c r="G109" s="15" t="s">
        <v>580</v>
      </c>
      <c r="H109" s="18" t="s">
        <v>580</v>
      </c>
      <c r="I109" s="15" t="s">
        <v>342</v>
      </c>
      <c r="J109" s="17" t="s">
        <v>336</v>
      </c>
      <c r="K109" s="17" t="s">
        <v>41</v>
      </c>
      <c r="L109" s="19" t="s">
        <v>41</v>
      </c>
      <c r="M109" s="15" t="s">
        <v>343</v>
      </c>
      <c r="N109" s="17" t="n">
        <v>14207</v>
      </c>
      <c r="O109" s="15" t="s">
        <v>344</v>
      </c>
      <c r="P109" s="19" t="n">
        <v>14207</v>
      </c>
      <c r="Q109" s="15" t="s">
        <v>914</v>
      </c>
      <c r="R109" s="15" t="s">
        <v>648</v>
      </c>
      <c r="S109" s="15" t="s">
        <v>345</v>
      </c>
      <c r="T109" s="15" t="s">
        <v>341</v>
      </c>
      <c r="U109" s="15" t="s">
        <v>915</v>
      </c>
    </row>
    <row r="110" customFormat="false" ht="19.5" hidden="false" customHeight="true" outlineLevel="0" collapsed="false">
      <c r="A110" s="26" t="n">
        <v>321</v>
      </c>
      <c r="B110" s="27" t="s">
        <v>916</v>
      </c>
      <c r="C110" s="30" t="s">
        <v>763</v>
      </c>
      <c r="D110" s="39" t="n">
        <v>10</v>
      </c>
      <c r="E110" s="30" t="s">
        <v>39</v>
      </c>
      <c r="F110" s="30" t="s">
        <v>39</v>
      </c>
      <c r="G110" s="27" t="s">
        <v>582</v>
      </c>
      <c r="H110" s="40" t="s">
        <v>582</v>
      </c>
      <c r="I110" s="27" t="s">
        <v>379</v>
      </c>
      <c r="J110" s="30" t="s">
        <v>336</v>
      </c>
      <c r="K110" s="30" t="s">
        <v>140</v>
      </c>
      <c r="L110" s="26" t="s">
        <v>140</v>
      </c>
      <c r="M110" s="27" t="s">
        <v>343</v>
      </c>
      <c r="N110" s="30" t="n">
        <v>13420</v>
      </c>
      <c r="O110" s="27" t="s">
        <v>344</v>
      </c>
      <c r="P110" s="26" t="n">
        <v>13420</v>
      </c>
      <c r="Q110" s="27" t="s">
        <v>917</v>
      </c>
      <c r="R110" s="27" t="s">
        <v>648</v>
      </c>
      <c r="S110" s="27" t="s">
        <v>345</v>
      </c>
      <c r="T110" s="27" t="s">
        <v>341</v>
      </c>
      <c r="U110" s="27" t="s">
        <v>918</v>
      </c>
    </row>
    <row r="111" customFormat="false" ht="19.5" hidden="false" customHeight="true" outlineLevel="0" collapsed="false">
      <c r="A111" s="19" t="n">
        <v>330</v>
      </c>
      <c r="B111" s="15" t="s">
        <v>919</v>
      </c>
      <c r="C111" s="17" t="s">
        <v>260</v>
      </c>
      <c r="D111" s="16" t="n">
        <v>5</v>
      </c>
      <c r="E111" s="17" t="s">
        <v>39</v>
      </c>
      <c r="F111" s="17" t="s">
        <v>39</v>
      </c>
      <c r="G111" s="15" t="s">
        <v>587</v>
      </c>
      <c r="H111" s="18" t="s">
        <v>587</v>
      </c>
      <c r="I111" s="15" t="s">
        <v>356</v>
      </c>
      <c r="J111" s="17" t="s">
        <v>336</v>
      </c>
      <c r="K111" s="17" t="s">
        <v>82</v>
      </c>
      <c r="L111" s="19" t="s">
        <v>82</v>
      </c>
      <c r="M111" s="15" t="s">
        <v>343</v>
      </c>
      <c r="N111" s="17" t="n">
        <v>1419</v>
      </c>
      <c r="O111" s="15" t="s">
        <v>344</v>
      </c>
      <c r="P111" s="19" t="n">
        <v>1419</v>
      </c>
      <c r="Q111" s="15" t="s">
        <v>920</v>
      </c>
      <c r="R111" s="15" t="s">
        <v>648</v>
      </c>
      <c r="S111" s="15" t="s">
        <v>345</v>
      </c>
      <c r="T111" s="15" t="s">
        <v>341</v>
      </c>
      <c r="U111" s="15" t="s">
        <v>921</v>
      </c>
    </row>
    <row r="112" customFormat="false" ht="19.5" hidden="false" customHeight="true" outlineLevel="0" collapsed="false">
      <c r="A112" s="26" t="n">
        <v>334</v>
      </c>
      <c r="B112" s="27" t="s">
        <v>922</v>
      </c>
      <c r="C112" s="30" t="s">
        <v>751</v>
      </c>
      <c r="D112" s="39" t="n">
        <v>25</v>
      </c>
      <c r="E112" s="30" t="s">
        <v>63</v>
      </c>
      <c r="F112" s="30" t="s">
        <v>63</v>
      </c>
      <c r="G112" s="27" t="s">
        <v>117</v>
      </c>
      <c r="H112" s="40" t="s">
        <v>923</v>
      </c>
      <c r="I112" s="27" t="s">
        <v>382</v>
      </c>
      <c r="J112" s="30" t="s">
        <v>336</v>
      </c>
      <c r="K112" s="30" t="s">
        <v>159</v>
      </c>
      <c r="L112" s="26" t="s">
        <v>159</v>
      </c>
      <c r="M112" s="27" t="s">
        <v>349</v>
      </c>
      <c r="N112" s="30" t="n">
        <v>0</v>
      </c>
      <c r="O112" s="27" t="s">
        <v>339</v>
      </c>
      <c r="P112" s="26" t="s">
        <v>690</v>
      </c>
      <c r="Q112" s="27" t="s">
        <v>691</v>
      </c>
      <c r="R112" s="27" t="s">
        <v>692</v>
      </c>
      <c r="S112" s="27" t="s">
        <v>345</v>
      </c>
      <c r="T112" s="27" t="s">
        <v>341</v>
      </c>
      <c r="U112" s="27" t="s">
        <v>924</v>
      </c>
    </row>
    <row r="113" customFormat="false" ht="19.5" hidden="false" customHeight="true" outlineLevel="0" collapsed="false">
      <c r="A113" s="19" t="n">
        <v>338</v>
      </c>
      <c r="B113" s="15" t="s">
        <v>925</v>
      </c>
      <c r="C113" s="17" t="s">
        <v>263</v>
      </c>
      <c r="D113" s="16" t="n">
        <v>20</v>
      </c>
      <c r="E113" s="17" t="s">
        <v>39</v>
      </c>
      <c r="F113" s="17" t="s">
        <v>39</v>
      </c>
      <c r="G113" s="15" t="s">
        <v>605</v>
      </c>
      <c r="H113" s="18" t="s">
        <v>605</v>
      </c>
      <c r="I113" s="15" t="s">
        <v>379</v>
      </c>
      <c r="J113" s="17" t="s">
        <v>336</v>
      </c>
      <c r="K113" s="17" t="s">
        <v>140</v>
      </c>
      <c r="L113" s="19" t="s">
        <v>140</v>
      </c>
      <c r="M113" s="15" t="s">
        <v>343</v>
      </c>
      <c r="N113" s="17" t="n">
        <v>8215</v>
      </c>
      <c r="O113" s="15" t="s">
        <v>344</v>
      </c>
      <c r="P113" s="19" t="n">
        <v>8215</v>
      </c>
      <c r="Q113" s="15" t="s">
        <v>926</v>
      </c>
      <c r="R113" s="15" t="s">
        <v>648</v>
      </c>
      <c r="S113" s="15" t="s">
        <v>345</v>
      </c>
      <c r="T113" s="15" t="s">
        <v>341</v>
      </c>
      <c r="U113" s="15" t="s">
        <v>927</v>
      </c>
    </row>
    <row r="114" customFormat="false" ht="19.5" hidden="false" customHeight="true" outlineLevel="0" collapsed="false">
      <c r="A114" s="26" t="n">
        <v>346</v>
      </c>
      <c r="B114" s="27" t="s">
        <v>928</v>
      </c>
      <c r="C114" s="30" t="s">
        <v>263</v>
      </c>
      <c r="D114" s="39" t="n">
        <v>20</v>
      </c>
      <c r="E114" s="30" t="s">
        <v>39</v>
      </c>
      <c r="F114" s="30" t="s">
        <v>39</v>
      </c>
      <c r="G114" s="27" t="s">
        <v>608</v>
      </c>
      <c r="H114" s="40" t="s">
        <v>608</v>
      </c>
      <c r="I114" s="27" t="s">
        <v>342</v>
      </c>
      <c r="J114" s="30" t="s">
        <v>336</v>
      </c>
      <c r="K114" s="30" t="s">
        <v>146</v>
      </c>
      <c r="L114" s="26" t="s">
        <v>111</v>
      </c>
      <c r="M114" s="27" t="s">
        <v>343</v>
      </c>
      <c r="N114" s="30" t="n">
        <v>20920</v>
      </c>
      <c r="O114" s="27" t="s">
        <v>344</v>
      </c>
      <c r="P114" s="26" t="n">
        <v>20920</v>
      </c>
      <c r="Q114" s="27" t="s">
        <v>929</v>
      </c>
      <c r="R114" s="27" t="s">
        <v>648</v>
      </c>
      <c r="S114" s="27" t="s">
        <v>345</v>
      </c>
      <c r="T114" s="27" t="s">
        <v>341</v>
      </c>
      <c r="U114" s="27" t="s">
        <v>930</v>
      </c>
    </row>
    <row r="115" customFormat="false" ht="19.5" hidden="false" customHeight="true" outlineLevel="0" collapsed="false">
      <c r="A115" s="19" t="n">
        <v>354</v>
      </c>
      <c r="B115" s="15" t="s">
        <v>931</v>
      </c>
      <c r="C115" s="17" t="s">
        <v>263</v>
      </c>
      <c r="D115" s="16" t="n">
        <v>20</v>
      </c>
      <c r="E115" s="17" t="s">
        <v>39</v>
      </c>
      <c r="F115" s="17" t="s">
        <v>39</v>
      </c>
      <c r="G115" s="15" t="s">
        <v>611</v>
      </c>
      <c r="H115" s="18" t="s">
        <v>611</v>
      </c>
      <c r="I115" s="15" t="s">
        <v>379</v>
      </c>
      <c r="J115" s="17" t="s">
        <v>336</v>
      </c>
      <c r="K115" s="17" t="s">
        <v>140</v>
      </c>
      <c r="L115" s="19" t="s">
        <v>140</v>
      </c>
      <c r="M115" s="15" t="s">
        <v>343</v>
      </c>
      <c r="N115" s="17" t="n">
        <v>238904</v>
      </c>
      <c r="O115" s="15" t="s">
        <v>344</v>
      </c>
      <c r="P115" s="19" t="n">
        <v>238904</v>
      </c>
      <c r="Q115" s="15" t="s">
        <v>932</v>
      </c>
      <c r="R115" s="15" t="s">
        <v>648</v>
      </c>
      <c r="S115" s="15" t="s">
        <v>345</v>
      </c>
      <c r="T115" s="15" t="s">
        <v>341</v>
      </c>
      <c r="U115" s="15" t="s">
        <v>933</v>
      </c>
    </row>
    <row r="116" customFormat="false" ht="19.5" hidden="false" customHeight="true" outlineLevel="0" collapsed="false">
      <c r="A116" s="26" t="n">
        <v>360</v>
      </c>
      <c r="B116" s="27" t="s">
        <v>934</v>
      </c>
      <c r="C116" s="30" t="s">
        <v>866</v>
      </c>
      <c r="D116" s="39" t="n">
        <v>1</v>
      </c>
      <c r="E116" s="30" t="s">
        <v>39</v>
      </c>
      <c r="F116" s="30" t="s">
        <v>39</v>
      </c>
      <c r="G116" s="27" t="s">
        <v>619</v>
      </c>
      <c r="H116" s="40" t="s">
        <v>619</v>
      </c>
      <c r="I116" s="27" t="s">
        <v>382</v>
      </c>
      <c r="J116" s="30" t="s">
        <v>336</v>
      </c>
      <c r="K116" s="30" t="s">
        <v>159</v>
      </c>
      <c r="L116" s="26" t="s">
        <v>159</v>
      </c>
      <c r="M116" s="27" t="s">
        <v>349</v>
      </c>
      <c r="N116" s="30" t="n">
        <v>0</v>
      </c>
      <c r="O116" s="27" t="s">
        <v>339</v>
      </c>
      <c r="P116" s="26" t="s">
        <v>690</v>
      </c>
      <c r="Q116" s="27" t="s">
        <v>691</v>
      </c>
      <c r="R116" s="27" t="s">
        <v>692</v>
      </c>
      <c r="S116" s="27" t="s">
        <v>345</v>
      </c>
      <c r="T116" s="27" t="s">
        <v>341</v>
      </c>
      <c r="U116" s="27" t="s">
        <v>693</v>
      </c>
    </row>
    <row r="117" customFormat="false" ht="19.5" hidden="false" customHeight="true" outlineLevel="0" collapsed="false">
      <c r="A117" s="19" t="n">
        <v>361</v>
      </c>
      <c r="B117" s="15" t="s">
        <v>935</v>
      </c>
      <c r="C117" s="17" t="s">
        <v>763</v>
      </c>
      <c r="D117" s="16" t="n">
        <v>10</v>
      </c>
      <c r="E117" s="17" t="s">
        <v>39</v>
      </c>
      <c r="F117" s="17" t="s">
        <v>39</v>
      </c>
      <c r="G117" s="15" t="s">
        <v>619</v>
      </c>
      <c r="H117" s="18" t="s">
        <v>619</v>
      </c>
      <c r="I117" s="15" t="s">
        <v>382</v>
      </c>
      <c r="J117" s="17" t="s">
        <v>336</v>
      </c>
      <c r="K117" s="17" t="s">
        <v>159</v>
      </c>
      <c r="L117" s="19" t="s">
        <v>159</v>
      </c>
      <c r="M117" s="15" t="s">
        <v>349</v>
      </c>
      <c r="N117" s="17" t="n">
        <v>0</v>
      </c>
      <c r="O117" s="15" t="s">
        <v>339</v>
      </c>
      <c r="P117" s="19" t="s">
        <v>690</v>
      </c>
      <c r="Q117" s="15" t="s">
        <v>691</v>
      </c>
      <c r="R117" s="15" t="s">
        <v>692</v>
      </c>
      <c r="S117" s="15" t="s">
        <v>345</v>
      </c>
      <c r="T117" s="15" t="s">
        <v>341</v>
      </c>
      <c r="U117" s="15" t="s">
        <v>693</v>
      </c>
    </row>
    <row r="118" customFormat="false" ht="19.5" hidden="false" customHeight="true" outlineLevel="0" collapsed="false">
      <c r="A118" s="26" t="n">
        <v>362</v>
      </c>
      <c r="B118" s="27" t="s">
        <v>936</v>
      </c>
      <c r="C118" s="30" t="s">
        <v>260</v>
      </c>
      <c r="D118" s="39" t="n">
        <v>5</v>
      </c>
      <c r="E118" s="30" t="s">
        <v>39</v>
      </c>
      <c r="F118" s="30" t="s">
        <v>39</v>
      </c>
      <c r="G118" s="27" t="s">
        <v>619</v>
      </c>
      <c r="H118" s="40" t="s">
        <v>619</v>
      </c>
      <c r="I118" s="27" t="s">
        <v>382</v>
      </c>
      <c r="J118" s="30" t="s">
        <v>336</v>
      </c>
      <c r="K118" s="30" t="s">
        <v>159</v>
      </c>
      <c r="L118" s="26" t="s">
        <v>159</v>
      </c>
      <c r="M118" s="27" t="s">
        <v>349</v>
      </c>
      <c r="N118" s="30" t="n">
        <v>0</v>
      </c>
      <c r="O118" s="27" t="s">
        <v>339</v>
      </c>
      <c r="P118" s="26" t="s">
        <v>690</v>
      </c>
      <c r="Q118" s="27" t="s">
        <v>691</v>
      </c>
      <c r="R118" s="27" t="s">
        <v>692</v>
      </c>
      <c r="S118" s="27" t="s">
        <v>345</v>
      </c>
      <c r="T118" s="27" t="s">
        <v>341</v>
      </c>
      <c r="U118" s="27" t="s">
        <v>693</v>
      </c>
    </row>
    <row r="119" customFormat="false" ht="19.5" hidden="false" customHeight="true" outlineLevel="0" collapsed="false">
      <c r="A119" s="19" t="n">
        <v>364</v>
      </c>
      <c r="B119" s="15" t="s">
        <v>937</v>
      </c>
      <c r="C119" s="17" t="s">
        <v>938</v>
      </c>
      <c r="D119" s="16" t="n">
        <v>1200</v>
      </c>
      <c r="E119" s="17" t="s">
        <v>63</v>
      </c>
      <c r="F119" s="17" t="s">
        <v>63</v>
      </c>
      <c r="G119" s="15" t="s">
        <v>454</v>
      </c>
      <c r="H119" s="18" t="s">
        <v>454</v>
      </c>
      <c r="I119" s="15" t="s">
        <v>452</v>
      </c>
      <c r="J119" s="17" t="s">
        <v>336</v>
      </c>
      <c r="K119" s="17" t="s">
        <v>453</v>
      </c>
      <c r="L119" s="19" t="s">
        <v>453</v>
      </c>
      <c r="M119" s="15" t="s">
        <v>338</v>
      </c>
      <c r="N119" s="17" t="n">
        <v>0</v>
      </c>
      <c r="O119" s="15" t="s">
        <v>339</v>
      </c>
      <c r="P119" s="19" t="s">
        <v>690</v>
      </c>
      <c r="Q119" s="15" t="s">
        <v>691</v>
      </c>
      <c r="R119" s="15" t="s">
        <v>692</v>
      </c>
      <c r="S119" s="15" t="s">
        <v>340</v>
      </c>
      <c r="T119" s="15" t="s">
        <v>341</v>
      </c>
      <c r="U119" s="15" t="s">
        <v>939</v>
      </c>
    </row>
    <row r="120" customFormat="false" ht="19.5" hidden="false" customHeight="true" outlineLevel="0" collapsed="false">
      <c r="A120" s="26" t="n">
        <v>365</v>
      </c>
      <c r="B120" s="27" t="s">
        <v>940</v>
      </c>
      <c r="C120" s="30" t="s">
        <v>941</v>
      </c>
      <c r="D120" s="39" t="n">
        <v>1000</v>
      </c>
      <c r="E120" s="30" t="s">
        <v>63</v>
      </c>
      <c r="F120" s="30" t="s">
        <v>63</v>
      </c>
      <c r="G120" s="27" t="s">
        <v>400</v>
      </c>
      <c r="H120" s="40" t="s">
        <v>400</v>
      </c>
      <c r="I120" s="27" t="s">
        <v>335</v>
      </c>
      <c r="J120" s="30" t="s">
        <v>336</v>
      </c>
      <c r="K120" s="30" t="s">
        <v>337</v>
      </c>
      <c r="L120" s="26" t="s">
        <v>337</v>
      </c>
      <c r="M120" s="27" t="s">
        <v>338</v>
      </c>
      <c r="N120" s="30" t="n">
        <v>0</v>
      </c>
      <c r="O120" s="27" t="s">
        <v>339</v>
      </c>
      <c r="P120" s="26" t="s">
        <v>690</v>
      </c>
      <c r="Q120" s="27" t="s">
        <v>691</v>
      </c>
      <c r="R120" s="27" t="s">
        <v>692</v>
      </c>
      <c r="S120" s="27" t="s">
        <v>340</v>
      </c>
      <c r="T120" s="27" t="s">
        <v>341</v>
      </c>
      <c r="U120" s="27" t="s">
        <v>942</v>
      </c>
    </row>
    <row r="121" customFormat="false" ht="19.5" hidden="false" customHeight="true" outlineLevel="0" collapsed="false">
      <c r="A121" s="19" t="n">
        <v>429</v>
      </c>
      <c r="B121" s="15" t="s">
        <v>84</v>
      </c>
      <c r="C121" s="17" t="s">
        <v>263</v>
      </c>
      <c r="D121" s="16" t="n">
        <v>20</v>
      </c>
      <c r="E121" s="17" t="s">
        <v>39</v>
      </c>
      <c r="F121" s="17" t="s">
        <v>39</v>
      </c>
      <c r="G121" s="15" t="s">
        <v>70</v>
      </c>
      <c r="H121" s="18" t="s">
        <v>70</v>
      </c>
      <c r="I121" s="15" t="s">
        <v>355</v>
      </c>
      <c r="J121" s="17" t="s">
        <v>360</v>
      </c>
      <c r="K121" s="17" t="s">
        <v>82</v>
      </c>
      <c r="L121" s="19" t="s">
        <v>51</v>
      </c>
      <c r="M121" s="15" t="s">
        <v>361</v>
      </c>
      <c r="N121" s="17" t="n">
        <v>6922</v>
      </c>
      <c r="O121" s="15" t="s">
        <v>344</v>
      </c>
      <c r="P121" s="19" t="n">
        <v>6922</v>
      </c>
      <c r="Q121" s="15" t="s">
        <v>943</v>
      </c>
      <c r="R121" s="15" t="s">
        <v>648</v>
      </c>
      <c r="S121" s="15" t="s">
        <v>345</v>
      </c>
      <c r="T121" s="15" t="s">
        <v>341</v>
      </c>
      <c r="U121" s="15" t="s">
        <v>944</v>
      </c>
    </row>
    <row r="122" customFormat="false" ht="19.5" hidden="false" customHeight="true" outlineLevel="0" collapsed="false">
      <c r="A122" s="26" t="n">
        <v>460</v>
      </c>
      <c r="B122" s="27" t="s">
        <v>945</v>
      </c>
      <c r="C122" s="30" t="s">
        <v>946</v>
      </c>
      <c r="D122" s="39" t="n">
        <v>1</v>
      </c>
      <c r="E122" s="30" t="s">
        <v>63</v>
      </c>
      <c r="F122" s="30" t="s">
        <v>63</v>
      </c>
      <c r="G122" s="27" t="s">
        <v>64</v>
      </c>
      <c r="H122" s="40" t="s">
        <v>64</v>
      </c>
      <c r="I122" s="27" t="s">
        <v>356</v>
      </c>
      <c r="J122" s="30" t="s">
        <v>336</v>
      </c>
      <c r="K122" s="30" t="s">
        <v>65</v>
      </c>
      <c r="L122" s="26" t="s">
        <v>65</v>
      </c>
      <c r="M122" s="27" t="s">
        <v>343</v>
      </c>
      <c r="N122" s="30" t="n">
        <v>8311</v>
      </c>
      <c r="O122" s="27" t="s">
        <v>344</v>
      </c>
      <c r="P122" s="26" t="n">
        <v>8311</v>
      </c>
      <c r="Q122" s="27" t="s">
        <v>947</v>
      </c>
      <c r="R122" s="27" t="s">
        <v>648</v>
      </c>
      <c r="S122" s="27" t="s">
        <v>345</v>
      </c>
      <c r="T122" s="27" t="s">
        <v>341</v>
      </c>
      <c r="U122" s="27" t="s">
        <v>948</v>
      </c>
    </row>
    <row r="123" customFormat="false" ht="19.5" hidden="false" customHeight="true" outlineLevel="0" collapsed="false">
      <c r="A123" s="19" t="n">
        <v>461</v>
      </c>
      <c r="B123" s="15" t="s">
        <v>949</v>
      </c>
      <c r="C123" s="17" t="s">
        <v>272</v>
      </c>
      <c r="D123" s="16" t="n">
        <v>5</v>
      </c>
      <c r="E123" s="17" t="s">
        <v>63</v>
      </c>
      <c r="F123" s="17" t="s">
        <v>63</v>
      </c>
      <c r="G123" s="15" t="s">
        <v>358</v>
      </c>
      <c r="H123" s="18" t="s">
        <v>358</v>
      </c>
      <c r="I123" s="15" t="s">
        <v>356</v>
      </c>
      <c r="J123" s="17" t="s">
        <v>336</v>
      </c>
      <c r="K123" s="17" t="s">
        <v>65</v>
      </c>
      <c r="L123" s="19" t="s">
        <v>65</v>
      </c>
      <c r="M123" s="15" t="s">
        <v>343</v>
      </c>
      <c r="N123" s="17" t="n">
        <v>4623</v>
      </c>
      <c r="O123" s="15" t="s">
        <v>344</v>
      </c>
      <c r="P123" s="19" t="n">
        <v>4623</v>
      </c>
      <c r="Q123" s="15" t="s">
        <v>950</v>
      </c>
      <c r="R123" s="15" t="s">
        <v>648</v>
      </c>
      <c r="S123" s="15" t="s">
        <v>345</v>
      </c>
      <c r="T123" s="15" t="s">
        <v>341</v>
      </c>
      <c r="U123" s="15" t="s">
        <v>951</v>
      </c>
    </row>
    <row r="124" customFormat="false" ht="19.5" hidden="false" customHeight="true" outlineLevel="0" collapsed="false">
      <c r="A124" s="26" t="n">
        <v>462</v>
      </c>
      <c r="B124" s="27" t="s">
        <v>952</v>
      </c>
      <c r="C124" s="30" t="s">
        <v>263</v>
      </c>
      <c r="D124" s="39" t="n">
        <v>20</v>
      </c>
      <c r="E124" s="30" t="s">
        <v>39</v>
      </c>
      <c r="F124" s="30" t="s">
        <v>39</v>
      </c>
      <c r="G124" s="27" t="s">
        <v>503</v>
      </c>
      <c r="H124" s="40" t="s">
        <v>503</v>
      </c>
      <c r="I124" s="27" t="s">
        <v>342</v>
      </c>
      <c r="J124" s="30" t="s">
        <v>336</v>
      </c>
      <c r="K124" s="30" t="s">
        <v>136</v>
      </c>
      <c r="L124" s="26" t="s">
        <v>136</v>
      </c>
      <c r="M124" s="27" t="s">
        <v>343</v>
      </c>
      <c r="N124" s="30" t="n">
        <v>422</v>
      </c>
      <c r="O124" s="27" t="s">
        <v>344</v>
      </c>
      <c r="P124" s="26" t="n">
        <v>422</v>
      </c>
      <c r="Q124" s="27" t="s">
        <v>953</v>
      </c>
      <c r="R124" s="27" t="s">
        <v>648</v>
      </c>
      <c r="S124" s="27" t="s">
        <v>345</v>
      </c>
      <c r="T124" s="27" t="s">
        <v>341</v>
      </c>
      <c r="U124" s="27" t="s">
        <v>954</v>
      </c>
    </row>
    <row r="125" customFormat="false" ht="19.5" hidden="false" customHeight="true" outlineLevel="0" collapsed="false">
      <c r="A125" s="19" t="n">
        <v>463</v>
      </c>
      <c r="B125" s="15" t="s">
        <v>955</v>
      </c>
      <c r="C125" s="17" t="s">
        <v>263</v>
      </c>
      <c r="D125" s="16" t="n">
        <v>20</v>
      </c>
      <c r="E125" s="17" t="s">
        <v>39</v>
      </c>
      <c r="F125" s="17" t="s">
        <v>39</v>
      </c>
      <c r="G125" s="15" t="s">
        <v>516</v>
      </c>
      <c r="H125" s="18" t="s">
        <v>516</v>
      </c>
      <c r="I125" s="15" t="s">
        <v>379</v>
      </c>
      <c r="J125" s="17" t="s">
        <v>336</v>
      </c>
      <c r="K125" s="17" t="s">
        <v>140</v>
      </c>
      <c r="L125" s="19" t="s">
        <v>140</v>
      </c>
      <c r="M125" s="15" t="s">
        <v>343</v>
      </c>
      <c r="N125" s="17" t="n">
        <v>3422</v>
      </c>
      <c r="O125" s="15" t="s">
        <v>344</v>
      </c>
      <c r="P125" s="19" t="n">
        <v>3422</v>
      </c>
      <c r="Q125" s="15" t="s">
        <v>956</v>
      </c>
      <c r="R125" s="15" t="s">
        <v>648</v>
      </c>
      <c r="S125" s="15" t="s">
        <v>345</v>
      </c>
      <c r="T125" s="15" t="s">
        <v>341</v>
      </c>
      <c r="U125" s="15" t="s">
        <v>957</v>
      </c>
    </row>
    <row r="126" customFormat="false" ht="19.5" hidden="false" customHeight="true" outlineLevel="0" collapsed="false">
      <c r="A126" s="26" t="n">
        <v>464</v>
      </c>
      <c r="B126" s="27" t="s">
        <v>958</v>
      </c>
      <c r="C126" s="30" t="s">
        <v>263</v>
      </c>
      <c r="D126" s="39" t="n">
        <v>20</v>
      </c>
      <c r="E126" s="30" t="s">
        <v>39</v>
      </c>
      <c r="F126" s="30" t="s">
        <v>39</v>
      </c>
      <c r="G126" s="27" t="s">
        <v>446</v>
      </c>
      <c r="H126" s="40" t="s">
        <v>446</v>
      </c>
      <c r="I126" s="27" t="s">
        <v>447</v>
      </c>
      <c r="J126" s="30" t="s">
        <v>336</v>
      </c>
      <c r="K126" s="30" t="s">
        <v>111</v>
      </c>
      <c r="L126" s="26" t="s">
        <v>111</v>
      </c>
      <c r="M126" s="27" t="s">
        <v>343</v>
      </c>
      <c r="N126" s="30" t="n">
        <v>34621</v>
      </c>
      <c r="O126" s="27" t="s">
        <v>344</v>
      </c>
      <c r="P126" s="26" t="n">
        <v>34621</v>
      </c>
      <c r="Q126" s="27" t="s">
        <v>959</v>
      </c>
      <c r="R126" s="27" t="s">
        <v>648</v>
      </c>
      <c r="S126" s="27" t="s">
        <v>345</v>
      </c>
      <c r="T126" s="27" t="s">
        <v>341</v>
      </c>
      <c r="U126" s="27" t="s">
        <v>960</v>
      </c>
    </row>
    <row r="127" customFormat="false" ht="19.5" hidden="false" customHeight="true" outlineLevel="0" collapsed="false">
      <c r="A127" s="19" t="n">
        <v>465</v>
      </c>
      <c r="B127" s="15" t="s">
        <v>961</v>
      </c>
      <c r="C127" s="17" t="s">
        <v>272</v>
      </c>
      <c r="D127" s="16" t="n">
        <v>5</v>
      </c>
      <c r="E127" s="17" t="s">
        <v>63</v>
      </c>
      <c r="F127" s="17" t="s">
        <v>63</v>
      </c>
      <c r="G127" s="15" t="s">
        <v>508</v>
      </c>
      <c r="H127" s="18" t="s">
        <v>508</v>
      </c>
      <c r="I127" s="15" t="s">
        <v>342</v>
      </c>
      <c r="J127" s="17" t="s">
        <v>336</v>
      </c>
      <c r="K127" s="17" t="s">
        <v>111</v>
      </c>
      <c r="L127" s="19" t="s">
        <v>111</v>
      </c>
      <c r="M127" s="15" t="s">
        <v>343</v>
      </c>
      <c r="N127" s="17" t="n">
        <v>18022</v>
      </c>
      <c r="O127" s="15" t="s">
        <v>344</v>
      </c>
      <c r="P127" s="19" t="n">
        <v>18022</v>
      </c>
      <c r="Q127" s="15" t="s">
        <v>962</v>
      </c>
      <c r="R127" s="15" t="s">
        <v>648</v>
      </c>
      <c r="S127" s="15" t="s">
        <v>345</v>
      </c>
      <c r="T127" s="15" t="s">
        <v>341</v>
      </c>
      <c r="U127" s="15" t="s">
        <v>963</v>
      </c>
    </row>
    <row r="128" customFormat="false" ht="19.5" hidden="false" customHeight="true" outlineLevel="0" collapsed="false">
      <c r="A128" s="26" t="n">
        <v>466</v>
      </c>
      <c r="B128" s="27" t="s">
        <v>964</v>
      </c>
      <c r="C128" s="30" t="s">
        <v>751</v>
      </c>
      <c r="D128" s="39" t="n">
        <v>25</v>
      </c>
      <c r="E128" s="30" t="s">
        <v>63</v>
      </c>
      <c r="F128" s="30" t="s">
        <v>63</v>
      </c>
      <c r="G128" s="27" t="s">
        <v>127</v>
      </c>
      <c r="H128" s="40" t="s">
        <v>127</v>
      </c>
      <c r="I128" s="27" t="s">
        <v>494</v>
      </c>
      <c r="J128" s="30" t="s">
        <v>336</v>
      </c>
      <c r="K128" s="30" t="s">
        <v>128</v>
      </c>
      <c r="L128" s="26" t="s">
        <v>128</v>
      </c>
      <c r="M128" s="27" t="s">
        <v>349</v>
      </c>
      <c r="N128" s="30" t="n">
        <v>0</v>
      </c>
      <c r="O128" s="27" t="s">
        <v>339</v>
      </c>
      <c r="P128" s="26" t="s">
        <v>690</v>
      </c>
      <c r="Q128" s="27" t="s">
        <v>691</v>
      </c>
      <c r="R128" s="27" t="s">
        <v>692</v>
      </c>
      <c r="S128" s="27" t="s">
        <v>345</v>
      </c>
      <c r="T128" s="27" t="s">
        <v>341</v>
      </c>
      <c r="U128" s="27" t="s">
        <v>693</v>
      </c>
    </row>
    <row r="129" customFormat="false" ht="19.5" hidden="false" customHeight="true" outlineLevel="0" collapsed="false">
      <c r="A129" s="19" t="n">
        <v>467</v>
      </c>
      <c r="B129" s="15" t="s">
        <v>965</v>
      </c>
      <c r="C129" s="17" t="s">
        <v>263</v>
      </c>
      <c r="D129" s="16" t="n">
        <v>20</v>
      </c>
      <c r="E129" s="17" t="s">
        <v>39</v>
      </c>
      <c r="F129" s="17" t="s">
        <v>39</v>
      </c>
      <c r="G129" s="15" t="s">
        <v>500</v>
      </c>
      <c r="H129" s="18" t="s">
        <v>500</v>
      </c>
      <c r="I129" s="15" t="s">
        <v>342</v>
      </c>
      <c r="J129" s="17" t="s">
        <v>336</v>
      </c>
      <c r="K129" s="17" t="s">
        <v>146</v>
      </c>
      <c r="L129" s="19" t="s">
        <v>136</v>
      </c>
      <c r="M129" s="15" t="s">
        <v>343</v>
      </c>
      <c r="N129" s="17" t="n">
        <v>1119</v>
      </c>
      <c r="O129" s="15" t="s">
        <v>344</v>
      </c>
      <c r="P129" s="19" t="n">
        <v>1119</v>
      </c>
      <c r="Q129" s="15" t="s">
        <v>966</v>
      </c>
      <c r="R129" s="15" t="s">
        <v>648</v>
      </c>
      <c r="S129" s="15" t="s">
        <v>345</v>
      </c>
      <c r="T129" s="15" t="s">
        <v>341</v>
      </c>
      <c r="U129" s="15" t="s">
        <v>967</v>
      </c>
    </row>
    <row r="130" customFormat="false" ht="19.5" hidden="false" customHeight="true" outlineLevel="0" collapsed="false">
      <c r="A130" s="26" t="n">
        <v>468</v>
      </c>
      <c r="B130" s="27" t="s">
        <v>968</v>
      </c>
      <c r="C130" s="30" t="s">
        <v>263</v>
      </c>
      <c r="D130" s="39" t="n">
        <v>20</v>
      </c>
      <c r="E130" s="30" t="s">
        <v>39</v>
      </c>
      <c r="F130" s="30" t="s">
        <v>39</v>
      </c>
      <c r="G130" s="27" t="s">
        <v>601</v>
      </c>
      <c r="H130" s="40" t="s">
        <v>601</v>
      </c>
      <c r="I130" s="27" t="s">
        <v>342</v>
      </c>
      <c r="J130" s="30" t="s">
        <v>336</v>
      </c>
      <c r="K130" s="30" t="s">
        <v>111</v>
      </c>
      <c r="L130" s="26" t="s">
        <v>111</v>
      </c>
      <c r="M130" s="27" t="s">
        <v>343</v>
      </c>
      <c r="N130" s="30" t="n">
        <v>9920</v>
      </c>
      <c r="O130" s="27" t="s">
        <v>344</v>
      </c>
      <c r="P130" s="26" t="n">
        <v>9920</v>
      </c>
      <c r="Q130" s="27" t="s">
        <v>969</v>
      </c>
      <c r="R130" s="27" t="s">
        <v>648</v>
      </c>
      <c r="S130" s="27" t="s">
        <v>345</v>
      </c>
      <c r="T130" s="27" t="s">
        <v>341</v>
      </c>
      <c r="U130" s="27" t="s">
        <v>970</v>
      </c>
    </row>
    <row r="131" customFormat="false" ht="19.5" hidden="false" customHeight="true" outlineLevel="0" collapsed="false">
      <c r="A131" s="19" t="n">
        <v>469</v>
      </c>
      <c r="B131" s="15" t="s">
        <v>67</v>
      </c>
      <c r="C131" s="17" t="s">
        <v>266</v>
      </c>
      <c r="D131" s="16" t="n">
        <v>5</v>
      </c>
      <c r="E131" s="17" t="s">
        <v>39</v>
      </c>
      <c r="F131" s="17" t="s">
        <v>39</v>
      </c>
      <c r="G131" s="15" t="s">
        <v>44</v>
      </c>
      <c r="H131" s="18" t="s">
        <v>44</v>
      </c>
      <c r="I131" s="15" t="s">
        <v>356</v>
      </c>
      <c r="J131" s="17" t="s">
        <v>360</v>
      </c>
      <c r="K131" s="17" t="s">
        <v>51</v>
      </c>
      <c r="L131" s="19" t="s">
        <v>48</v>
      </c>
      <c r="M131" s="15" t="s">
        <v>361</v>
      </c>
      <c r="N131" s="17" t="n">
        <v>2020</v>
      </c>
      <c r="O131" s="15" t="s">
        <v>344</v>
      </c>
      <c r="P131" s="19" t="n">
        <v>2020</v>
      </c>
      <c r="Q131" s="15" t="s">
        <v>843</v>
      </c>
      <c r="R131" s="15" t="s">
        <v>648</v>
      </c>
      <c r="S131" s="15" t="s">
        <v>345</v>
      </c>
      <c r="T131" s="15" t="s">
        <v>341</v>
      </c>
      <c r="U131" s="15" t="s">
        <v>844</v>
      </c>
    </row>
    <row r="132" customFormat="false" ht="19.5" hidden="false" customHeight="true" outlineLevel="0" collapsed="false">
      <c r="A132" s="26" t="n">
        <v>470</v>
      </c>
      <c r="B132" s="27" t="s">
        <v>971</v>
      </c>
      <c r="C132" s="30" t="s">
        <v>263</v>
      </c>
      <c r="D132" s="39" t="n">
        <v>20</v>
      </c>
      <c r="E132" s="30" t="s">
        <v>39</v>
      </c>
      <c r="F132" s="30" t="s">
        <v>39</v>
      </c>
      <c r="G132" s="27" t="s">
        <v>40</v>
      </c>
      <c r="H132" s="40" t="s">
        <v>40</v>
      </c>
      <c r="I132" s="27" t="s">
        <v>342</v>
      </c>
      <c r="J132" s="30" t="s">
        <v>336</v>
      </c>
      <c r="K132" s="30" t="s">
        <v>41</v>
      </c>
      <c r="L132" s="26" t="s">
        <v>41</v>
      </c>
      <c r="M132" s="27" t="s">
        <v>343</v>
      </c>
      <c r="N132" s="30" t="n">
        <v>315</v>
      </c>
      <c r="O132" s="27" t="s">
        <v>344</v>
      </c>
      <c r="P132" s="26" t="n">
        <v>315</v>
      </c>
      <c r="Q132" s="27" t="s">
        <v>647</v>
      </c>
      <c r="R132" s="27" t="s">
        <v>648</v>
      </c>
      <c r="S132" s="27" t="s">
        <v>345</v>
      </c>
      <c r="T132" s="27" t="s">
        <v>341</v>
      </c>
      <c r="U132" s="27" t="s">
        <v>649</v>
      </c>
    </row>
    <row r="133" customFormat="false" ht="19.5" hidden="false" customHeight="true" outlineLevel="0" collapsed="false">
      <c r="A133" s="19" t="n">
        <v>471</v>
      </c>
      <c r="B133" s="15" t="s">
        <v>972</v>
      </c>
      <c r="C133" s="17" t="s">
        <v>973</v>
      </c>
      <c r="D133" s="16" t="n">
        <v>1.5</v>
      </c>
      <c r="E133" s="17" t="s">
        <v>39</v>
      </c>
      <c r="F133" s="17" t="s">
        <v>974</v>
      </c>
      <c r="G133" s="15" t="s">
        <v>593</v>
      </c>
      <c r="H133" s="18" t="s">
        <v>593</v>
      </c>
      <c r="I133" s="15" t="s">
        <v>376</v>
      </c>
      <c r="J133" s="17" t="s">
        <v>336</v>
      </c>
      <c r="K133" s="17" t="s">
        <v>142</v>
      </c>
      <c r="L133" s="19" t="s">
        <v>106</v>
      </c>
      <c r="M133" s="15" t="s">
        <v>377</v>
      </c>
      <c r="N133" s="17" t="n">
        <v>0</v>
      </c>
      <c r="O133" s="15" t="s">
        <v>339</v>
      </c>
      <c r="P133" s="19" t="s">
        <v>690</v>
      </c>
      <c r="Q133" s="15" t="s">
        <v>691</v>
      </c>
      <c r="R133" s="15" t="s">
        <v>692</v>
      </c>
      <c r="S133" s="15" t="s">
        <v>345</v>
      </c>
      <c r="T133" s="15" t="s">
        <v>341</v>
      </c>
      <c r="U133" s="15" t="s">
        <v>827</v>
      </c>
    </row>
    <row r="134" customFormat="false" ht="19.5" hidden="false" customHeight="true" outlineLevel="0" collapsed="false">
      <c r="A134" s="26" t="n">
        <v>473</v>
      </c>
      <c r="B134" s="27" t="s">
        <v>975</v>
      </c>
      <c r="C134" s="30" t="s">
        <v>263</v>
      </c>
      <c r="D134" s="39" t="n">
        <v>20</v>
      </c>
      <c r="E134" s="30" t="s">
        <v>39</v>
      </c>
      <c r="F134" s="30" t="s">
        <v>39</v>
      </c>
      <c r="G134" s="27" t="s">
        <v>506</v>
      </c>
      <c r="H134" s="40" t="s">
        <v>506</v>
      </c>
      <c r="I134" s="27" t="s">
        <v>342</v>
      </c>
      <c r="J134" s="30" t="s">
        <v>336</v>
      </c>
      <c r="K134" s="30" t="s">
        <v>111</v>
      </c>
      <c r="L134" s="26" t="s">
        <v>111</v>
      </c>
      <c r="M134" s="27" t="s">
        <v>343</v>
      </c>
      <c r="N134" s="30" t="n">
        <v>120</v>
      </c>
      <c r="O134" s="27" t="s">
        <v>344</v>
      </c>
      <c r="P134" s="26" t="n">
        <v>120</v>
      </c>
      <c r="Q134" s="27" t="s">
        <v>976</v>
      </c>
      <c r="R134" s="27" t="s">
        <v>648</v>
      </c>
      <c r="S134" s="27" t="s">
        <v>345</v>
      </c>
      <c r="T134" s="27" t="s">
        <v>341</v>
      </c>
      <c r="U134" s="27" t="s">
        <v>977</v>
      </c>
    </row>
    <row r="135" customFormat="false" ht="19.5" hidden="false" customHeight="true" outlineLevel="0" collapsed="false">
      <c r="A135" s="19" t="n">
        <v>475</v>
      </c>
      <c r="B135" s="15" t="s">
        <v>978</v>
      </c>
      <c r="C135" s="17" t="s">
        <v>272</v>
      </c>
      <c r="D135" s="16" t="n">
        <v>5</v>
      </c>
      <c r="E135" s="17" t="s">
        <v>63</v>
      </c>
      <c r="F135" s="17" t="s">
        <v>63</v>
      </c>
      <c r="G135" s="15" t="s">
        <v>470</v>
      </c>
      <c r="H135" s="18" t="s">
        <v>470</v>
      </c>
      <c r="I135" s="15" t="s">
        <v>469</v>
      </c>
      <c r="J135" s="17" t="s">
        <v>336</v>
      </c>
      <c r="K135" s="17" t="s">
        <v>82</v>
      </c>
      <c r="L135" s="19" t="s">
        <v>82</v>
      </c>
      <c r="M135" s="15" t="s">
        <v>343</v>
      </c>
      <c r="N135" s="17" t="n">
        <v>31817</v>
      </c>
      <c r="O135" s="15" t="s">
        <v>344</v>
      </c>
      <c r="P135" s="19" t="n">
        <v>31817</v>
      </c>
      <c r="Q135" s="15" t="s">
        <v>979</v>
      </c>
      <c r="R135" s="15" t="s">
        <v>648</v>
      </c>
      <c r="S135" s="15" t="s">
        <v>345</v>
      </c>
      <c r="T135" s="15" t="s">
        <v>341</v>
      </c>
      <c r="U135" s="15" t="s">
        <v>980</v>
      </c>
    </row>
    <row r="136" customFormat="false" ht="19.5" hidden="false" customHeight="true" outlineLevel="0" collapsed="false">
      <c r="A136" s="26" t="n">
        <v>516</v>
      </c>
      <c r="B136" s="27" t="s">
        <v>981</v>
      </c>
      <c r="C136" s="30" t="s">
        <v>263</v>
      </c>
      <c r="D136" s="39" t="n">
        <v>20</v>
      </c>
      <c r="E136" s="30" t="s">
        <v>39</v>
      </c>
      <c r="F136" s="30" t="s">
        <v>39</v>
      </c>
      <c r="G136" s="27" t="s">
        <v>482</v>
      </c>
      <c r="H136" s="40" t="s">
        <v>482</v>
      </c>
      <c r="I136" s="27" t="s">
        <v>342</v>
      </c>
      <c r="J136" s="30" t="s">
        <v>336</v>
      </c>
      <c r="K136" s="30" t="s">
        <v>111</v>
      </c>
      <c r="L136" s="26" t="s">
        <v>111</v>
      </c>
      <c r="M136" s="27" t="s">
        <v>343</v>
      </c>
      <c r="N136" s="30" t="n">
        <v>32322</v>
      </c>
      <c r="O136" s="27" t="s">
        <v>344</v>
      </c>
      <c r="P136" s="26" t="n">
        <v>32322</v>
      </c>
      <c r="Q136" s="27" t="s">
        <v>982</v>
      </c>
      <c r="R136" s="27" t="s">
        <v>648</v>
      </c>
      <c r="S136" s="27" t="s">
        <v>345</v>
      </c>
      <c r="T136" s="27" t="s">
        <v>341</v>
      </c>
      <c r="U136" s="27" t="s">
        <v>983</v>
      </c>
    </row>
    <row r="137" customFormat="false" ht="19.5" hidden="false" customHeight="true" outlineLevel="0" collapsed="false">
      <c r="A137" s="19" t="n">
        <v>517</v>
      </c>
      <c r="B137" s="15" t="s">
        <v>113</v>
      </c>
      <c r="C137" s="17" t="s">
        <v>260</v>
      </c>
      <c r="D137" s="16" t="n">
        <v>5</v>
      </c>
      <c r="E137" s="17" t="s">
        <v>39</v>
      </c>
      <c r="F137" s="17" t="s">
        <v>39</v>
      </c>
      <c r="G137" s="15" t="s">
        <v>44</v>
      </c>
      <c r="H137" s="18" t="s">
        <v>44</v>
      </c>
      <c r="I137" s="15" t="s">
        <v>356</v>
      </c>
      <c r="J137" s="17" t="s">
        <v>360</v>
      </c>
      <c r="K137" s="17" t="s">
        <v>51</v>
      </c>
      <c r="L137" s="19" t="s">
        <v>48</v>
      </c>
      <c r="M137" s="15" t="s">
        <v>361</v>
      </c>
      <c r="N137" s="17" t="n">
        <v>2020</v>
      </c>
      <c r="O137" s="15" t="s">
        <v>344</v>
      </c>
      <c r="P137" s="19" t="n">
        <v>2020</v>
      </c>
      <c r="Q137" s="15" t="s">
        <v>984</v>
      </c>
      <c r="R137" s="15" t="s">
        <v>648</v>
      </c>
      <c r="S137" s="15" t="s">
        <v>345</v>
      </c>
      <c r="T137" s="15" t="s">
        <v>341</v>
      </c>
      <c r="U137" s="15" t="s">
        <v>985</v>
      </c>
    </row>
    <row r="138" customFormat="false" ht="19.5" hidden="false" customHeight="true" outlineLevel="0" collapsed="false">
      <c r="A138" s="26" t="n">
        <v>533</v>
      </c>
      <c r="B138" s="27" t="s">
        <v>986</v>
      </c>
      <c r="C138" s="30" t="s">
        <v>263</v>
      </c>
      <c r="D138" s="39" t="n">
        <v>20</v>
      </c>
      <c r="E138" s="30" t="s">
        <v>39</v>
      </c>
      <c r="F138" s="30" t="s">
        <v>39</v>
      </c>
      <c r="G138" s="27" t="s">
        <v>375</v>
      </c>
      <c r="H138" s="40" t="s">
        <v>375</v>
      </c>
      <c r="I138" s="27" t="s">
        <v>342</v>
      </c>
      <c r="J138" s="30" t="s">
        <v>336</v>
      </c>
      <c r="K138" s="30" t="s">
        <v>146</v>
      </c>
      <c r="L138" s="26" t="s">
        <v>146</v>
      </c>
      <c r="M138" s="27" t="s">
        <v>343</v>
      </c>
      <c r="N138" s="30" t="n">
        <v>10018</v>
      </c>
      <c r="O138" s="27" t="s">
        <v>344</v>
      </c>
      <c r="P138" s="26" t="n">
        <v>10018</v>
      </c>
      <c r="Q138" s="27" t="s">
        <v>696</v>
      </c>
      <c r="R138" s="27" t="s">
        <v>648</v>
      </c>
      <c r="S138" s="27" t="s">
        <v>345</v>
      </c>
      <c r="T138" s="27" t="s">
        <v>341</v>
      </c>
      <c r="U138" s="27" t="s">
        <v>697</v>
      </c>
    </row>
    <row r="139" customFormat="false" ht="19.5" hidden="false" customHeight="true" outlineLevel="0" collapsed="false">
      <c r="A139" s="19" t="n">
        <v>537</v>
      </c>
      <c r="B139" s="15" t="s">
        <v>987</v>
      </c>
      <c r="C139" s="17" t="s">
        <v>988</v>
      </c>
      <c r="D139" s="16" t="n">
        <v>2</v>
      </c>
      <c r="E139" s="17" t="s">
        <v>63</v>
      </c>
      <c r="F139" s="17" t="s">
        <v>63</v>
      </c>
      <c r="G139" s="15" t="s">
        <v>423</v>
      </c>
      <c r="H139" s="18" t="s">
        <v>423</v>
      </c>
      <c r="I139" s="15" t="s">
        <v>342</v>
      </c>
      <c r="J139" s="17" t="s">
        <v>336</v>
      </c>
      <c r="K139" s="17" t="s">
        <v>111</v>
      </c>
      <c r="L139" s="19" t="s">
        <v>111</v>
      </c>
      <c r="M139" s="15" t="s">
        <v>343</v>
      </c>
      <c r="N139" s="17" t="n">
        <v>938801</v>
      </c>
      <c r="O139" s="15" t="s">
        <v>344</v>
      </c>
      <c r="P139" s="19" t="n">
        <v>938801</v>
      </c>
      <c r="Q139" s="15" t="s">
        <v>989</v>
      </c>
      <c r="R139" s="15" t="s">
        <v>648</v>
      </c>
      <c r="S139" s="15" t="s">
        <v>345</v>
      </c>
      <c r="T139" s="15" t="s">
        <v>341</v>
      </c>
      <c r="U139" s="15" t="s">
        <v>990</v>
      </c>
    </row>
    <row r="140" customFormat="false" ht="19.5" hidden="false" customHeight="true" outlineLevel="0" collapsed="false">
      <c r="A140" s="26" t="n">
        <v>541</v>
      </c>
      <c r="B140" s="27" t="s">
        <v>991</v>
      </c>
      <c r="C140" s="30" t="s">
        <v>272</v>
      </c>
      <c r="D140" s="39" t="n">
        <v>5</v>
      </c>
      <c r="E140" s="30" t="s">
        <v>63</v>
      </c>
      <c r="F140" s="30" t="s">
        <v>63</v>
      </c>
      <c r="G140" s="27" t="s">
        <v>470</v>
      </c>
      <c r="H140" s="40" t="s">
        <v>470</v>
      </c>
      <c r="I140" s="27" t="s">
        <v>469</v>
      </c>
      <c r="J140" s="30" t="s">
        <v>336</v>
      </c>
      <c r="K140" s="30" t="s">
        <v>82</v>
      </c>
      <c r="L140" s="26" t="s">
        <v>82</v>
      </c>
      <c r="M140" s="27" t="s">
        <v>343</v>
      </c>
      <c r="N140" s="30" t="n">
        <v>11320</v>
      </c>
      <c r="O140" s="27" t="s">
        <v>344</v>
      </c>
      <c r="P140" s="26" t="n">
        <v>11320</v>
      </c>
      <c r="Q140" s="27" t="s">
        <v>992</v>
      </c>
      <c r="R140" s="27" t="s">
        <v>648</v>
      </c>
      <c r="S140" s="27" t="s">
        <v>345</v>
      </c>
      <c r="T140" s="27" t="s">
        <v>341</v>
      </c>
      <c r="U140" s="27" t="s">
        <v>993</v>
      </c>
    </row>
    <row r="141" customFormat="false" ht="19.5" hidden="false" customHeight="true" outlineLevel="0" collapsed="false">
      <c r="A141" s="19" t="n">
        <v>545</v>
      </c>
      <c r="B141" s="15" t="s">
        <v>994</v>
      </c>
      <c r="C141" s="17" t="s">
        <v>938</v>
      </c>
      <c r="D141" s="16" t="n">
        <v>1200</v>
      </c>
      <c r="E141" s="17" t="s">
        <v>63</v>
      </c>
      <c r="F141" s="17" t="s">
        <v>63</v>
      </c>
      <c r="G141" s="15" t="s">
        <v>454</v>
      </c>
      <c r="H141" s="18" t="s">
        <v>454</v>
      </c>
      <c r="I141" s="15" t="s">
        <v>452</v>
      </c>
      <c r="J141" s="17" t="s">
        <v>336</v>
      </c>
      <c r="K141" s="17" t="s">
        <v>453</v>
      </c>
      <c r="L141" s="19" t="s">
        <v>453</v>
      </c>
      <c r="M141" s="15" t="s">
        <v>338</v>
      </c>
      <c r="N141" s="17" t="n">
        <v>0</v>
      </c>
      <c r="O141" s="15" t="s">
        <v>339</v>
      </c>
      <c r="P141" s="19" t="s">
        <v>690</v>
      </c>
      <c r="Q141" s="15" t="s">
        <v>691</v>
      </c>
      <c r="R141" s="15" t="s">
        <v>692</v>
      </c>
      <c r="S141" s="15" t="s">
        <v>340</v>
      </c>
      <c r="T141" s="15" t="s">
        <v>341</v>
      </c>
      <c r="U141" s="15" t="s">
        <v>939</v>
      </c>
    </row>
    <row r="142" customFormat="false" ht="19.5" hidden="false" customHeight="true" outlineLevel="0" collapsed="false">
      <c r="A142" s="26" t="n">
        <v>547</v>
      </c>
      <c r="B142" s="27" t="s">
        <v>995</v>
      </c>
      <c r="C142" s="30" t="s">
        <v>260</v>
      </c>
      <c r="D142" s="39" t="n">
        <v>5</v>
      </c>
      <c r="E142" s="30" t="s">
        <v>39</v>
      </c>
      <c r="F142" s="30" t="s">
        <v>39</v>
      </c>
      <c r="G142" s="27" t="s">
        <v>411</v>
      </c>
      <c r="H142" s="40" t="s">
        <v>411</v>
      </c>
      <c r="I142" s="27" t="s">
        <v>342</v>
      </c>
      <c r="J142" s="30" t="s">
        <v>336</v>
      </c>
      <c r="K142" s="30" t="s">
        <v>111</v>
      </c>
      <c r="L142" s="26" t="s">
        <v>111</v>
      </c>
      <c r="M142" s="27" t="s">
        <v>343</v>
      </c>
      <c r="N142" s="30" t="n">
        <v>13419</v>
      </c>
      <c r="O142" s="27" t="s">
        <v>344</v>
      </c>
      <c r="P142" s="26" t="n">
        <v>13419</v>
      </c>
      <c r="Q142" s="27" t="s">
        <v>996</v>
      </c>
      <c r="R142" s="27" t="s">
        <v>648</v>
      </c>
      <c r="S142" s="27" t="s">
        <v>345</v>
      </c>
      <c r="T142" s="27" t="s">
        <v>341</v>
      </c>
      <c r="U142" s="27" t="s">
        <v>997</v>
      </c>
    </row>
    <row r="143" customFormat="false" ht="19.5" hidden="false" customHeight="true" outlineLevel="0" collapsed="false">
      <c r="A143" s="19" t="n">
        <v>552</v>
      </c>
      <c r="B143" s="15" t="s">
        <v>998</v>
      </c>
      <c r="C143" s="17" t="s">
        <v>263</v>
      </c>
      <c r="D143" s="16" t="n">
        <v>20</v>
      </c>
      <c r="E143" s="17" t="s">
        <v>39</v>
      </c>
      <c r="F143" s="17" t="s">
        <v>39</v>
      </c>
      <c r="G143" s="15" t="s">
        <v>571</v>
      </c>
      <c r="H143" s="18" t="s">
        <v>571</v>
      </c>
      <c r="I143" s="15" t="s">
        <v>457</v>
      </c>
      <c r="J143" s="17" t="s">
        <v>336</v>
      </c>
      <c r="K143" s="17" t="s">
        <v>442</v>
      </c>
      <c r="L143" s="19" t="s">
        <v>367</v>
      </c>
      <c r="M143" s="15" t="s">
        <v>368</v>
      </c>
      <c r="N143" s="17" t="n">
        <v>0</v>
      </c>
      <c r="O143" s="15" t="s">
        <v>369</v>
      </c>
      <c r="P143" s="19" t="s">
        <v>683</v>
      </c>
      <c r="Q143" s="15" t="s">
        <v>684</v>
      </c>
      <c r="R143" s="15" t="s">
        <v>685</v>
      </c>
      <c r="S143" s="15" t="s">
        <v>370</v>
      </c>
      <c r="T143" s="15" t="s">
        <v>371</v>
      </c>
      <c r="U143" s="15" t="s">
        <v>837</v>
      </c>
    </row>
    <row r="144" customFormat="false" ht="19.5" hidden="false" customHeight="true" outlineLevel="0" collapsed="false">
      <c r="A144" s="26" t="n">
        <v>555</v>
      </c>
      <c r="B144" s="27" t="s">
        <v>999</v>
      </c>
      <c r="C144" s="30" t="s">
        <v>263</v>
      </c>
      <c r="D144" s="39" t="n">
        <v>20</v>
      </c>
      <c r="E144" s="30" t="s">
        <v>39</v>
      </c>
      <c r="F144" s="30" t="s">
        <v>39</v>
      </c>
      <c r="G144" s="27" t="s">
        <v>451</v>
      </c>
      <c r="H144" s="40" t="s">
        <v>451</v>
      </c>
      <c r="I144" s="27" t="s">
        <v>452</v>
      </c>
      <c r="J144" s="30" t="s">
        <v>336</v>
      </c>
      <c r="K144" s="30" t="s">
        <v>453</v>
      </c>
      <c r="L144" s="26" t="s">
        <v>453</v>
      </c>
      <c r="M144" s="27" t="s">
        <v>338</v>
      </c>
      <c r="N144" s="30" t="n">
        <v>0</v>
      </c>
      <c r="O144" s="27" t="s">
        <v>339</v>
      </c>
      <c r="P144" s="26" t="s">
        <v>690</v>
      </c>
      <c r="Q144" s="27" t="s">
        <v>691</v>
      </c>
      <c r="R144" s="27" t="s">
        <v>692</v>
      </c>
      <c r="S144" s="27" t="s">
        <v>340</v>
      </c>
      <c r="T144" s="27" t="s">
        <v>341</v>
      </c>
      <c r="U144" s="27" t="s">
        <v>939</v>
      </c>
    </row>
    <row r="145" customFormat="false" ht="19.5" hidden="false" customHeight="true" outlineLevel="0" collapsed="false">
      <c r="A145" s="19" t="n">
        <v>557</v>
      </c>
      <c r="B145" s="15" t="s">
        <v>1000</v>
      </c>
      <c r="C145" s="17" t="s">
        <v>263</v>
      </c>
      <c r="D145" s="16" t="n">
        <v>20</v>
      </c>
      <c r="E145" s="17" t="s">
        <v>39</v>
      </c>
      <c r="F145" s="17" t="s">
        <v>39</v>
      </c>
      <c r="G145" s="15" t="s">
        <v>40</v>
      </c>
      <c r="H145" s="18" t="s">
        <v>40</v>
      </c>
      <c r="I145" s="15" t="s">
        <v>342</v>
      </c>
      <c r="J145" s="17" t="s">
        <v>336</v>
      </c>
      <c r="K145" s="17" t="s">
        <v>41</v>
      </c>
      <c r="L145" s="19" t="s">
        <v>41</v>
      </c>
      <c r="M145" s="15" t="s">
        <v>343</v>
      </c>
      <c r="N145" s="17" t="n">
        <v>115</v>
      </c>
      <c r="O145" s="15" t="s">
        <v>344</v>
      </c>
      <c r="P145" s="19" t="n">
        <v>115</v>
      </c>
      <c r="Q145" s="15" t="s">
        <v>1001</v>
      </c>
      <c r="R145" s="15" t="s">
        <v>648</v>
      </c>
      <c r="S145" s="15" t="s">
        <v>345</v>
      </c>
      <c r="T145" s="15" t="s">
        <v>341</v>
      </c>
      <c r="U145" s="15" t="s">
        <v>1002</v>
      </c>
    </row>
    <row r="146" customFormat="false" ht="19.5" hidden="false" customHeight="true" outlineLevel="0" collapsed="false">
      <c r="A146" s="26" t="n">
        <v>558</v>
      </c>
      <c r="B146" s="27" t="s">
        <v>1003</v>
      </c>
      <c r="C146" s="30" t="s">
        <v>272</v>
      </c>
      <c r="D146" s="39" t="n">
        <v>5</v>
      </c>
      <c r="E146" s="30" t="s">
        <v>63</v>
      </c>
      <c r="F146" s="30" t="s">
        <v>63</v>
      </c>
      <c r="G146" s="27" t="s">
        <v>102</v>
      </c>
      <c r="H146" s="40" t="s">
        <v>102</v>
      </c>
      <c r="I146" s="27" t="s">
        <v>356</v>
      </c>
      <c r="J146" s="30" t="s">
        <v>336</v>
      </c>
      <c r="K146" s="30" t="s">
        <v>82</v>
      </c>
      <c r="L146" s="26" t="s">
        <v>82</v>
      </c>
      <c r="M146" s="27" t="s">
        <v>343</v>
      </c>
      <c r="N146" s="30" t="n">
        <v>31522</v>
      </c>
      <c r="O146" s="27" t="s">
        <v>344</v>
      </c>
      <c r="P146" s="26" t="n">
        <v>31522</v>
      </c>
      <c r="Q146" s="27" t="s">
        <v>876</v>
      </c>
      <c r="R146" s="27" t="s">
        <v>648</v>
      </c>
      <c r="S146" s="27" t="s">
        <v>345</v>
      </c>
      <c r="T146" s="27" t="s">
        <v>341</v>
      </c>
      <c r="U146" s="27" t="s">
        <v>1004</v>
      </c>
    </row>
    <row r="147" customFormat="false" ht="19.5" hidden="false" customHeight="true" outlineLevel="0" collapsed="false">
      <c r="A147" s="19" t="n">
        <v>560</v>
      </c>
      <c r="B147" s="15" t="s">
        <v>1005</v>
      </c>
      <c r="C147" s="17" t="s">
        <v>263</v>
      </c>
      <c r="D147" s="16" t="n">
        <v>20</v>
      </c>
      <c r="E147" s="17" t="s">
        <v>39</v>
      </c>
      <c r="F147" s="17" t="s">
        <v>39</v>
      </c>
      <c r="G147" s="15" t="s">
        <v>599</v>
      </c>
      <c r="H147" s="18" t="s">
        <v>599</v>
      </c>
      <c r="I147" s="15" t="s">
        <v>342</v>
      </c>
      <c r="J147" s="17" t="s">
        <v>336</v>
      </c>
      <c r="K147" s="17" t="s">
        <v>111</v>
      </c>
      <c r="L147" s="19" t="s">
        <v>111</v>
      </c>
      <c r="M147" s="15" t="s">
        <v>343</v>
      </c>
      <c r="N147" s="17" t="n">
        <v>34122</v>
      </c>
      <c r="O147" s="15" t="s">
        <v>344</v>
      </c>
      <c r="P147" s="19" t="n">
        <v>34122</v>
      </c>
      <c r="Q147" s="15" t="s">
        <v>1006</v>
      </c>
      <c r="R147" s="15" t="s">
        <v>648</v>
      </c>
      <c r="S147" s="15" t="s">
        <v>345</v>
      </c>
      <c r="T147" s="15" t="s">
        <v>341</v>
      </c>
      <c r="U147" s="15" t="s">
        <v>1007</v>
      </c>
    </row>
    <row r="148" customFormat="false" ht="19.5" hidden="false" customHeight="true" outlineLevel="0" collapsed="false">
      <c r="A148" s="26" t="n">
        <v>562</v>
      </c>
      <c r="B148" s="27" t="s">
        <v>1008</v>
      </c>
      <c r="C148" s="30" t="s">
        <v>272</v>
      </c>
      <c r="D148" s="39" t="n">
        <v>5</v>
      </c>
      <c r="E148" s="30" t="s">
        <v>63</v>
      </c>
      <c r="F148" s="30" t="s">
        <v>63</v>
      </c>
      <c r="G148" s="27" t="s">
        <v>448</v>
      </c>
      <c r="H148" s="40" t="s">
        <v>448</v>
      </c>
      <c r="I148" s="27" t="s">
        <v>342</v>
      </c>
      <c r="J148" s="30" t="s">
        <v>336</v>
      </c>
      <c r="K148" s="30" t="s">
        <v>146</v>
      </c>
      <c r="L148" s="26" t="s">
        <v>146</v>
      </c>
      <c r="M148" s="27" t="s">
        <v>343</v>
      </c>
      <c r="N148" s="30" t="n">
        <v>13720</v>
      </c>
      <c r="O148" s="27" t="s">
        <v>344</v>
      </c>
      <c r="P148" s="26" t="n">
        <v>13720</v>
      </c>
      <c r="Q148" s="27" t="s">
        <v>1009</v>
      </c>
      <c r="R148" s="27" t="s">
        <v>648</v>
      </c>
      <c r="S148" s="27" t="s">
        <v>345</v>
      </c>
      <c r="T148" s="27" t="s">
        <v>341</v>
      </c>
      <c r="U148" s="27" t="s">
        <v>1010</v>
      </c>
    </row>
    <row r="149" customFormat="false" ht="19.5" hidden="false" customHeight="true" outlineLevel="0" collapsed="false">
      <c r="A149" s="19" t="n">
        <v>563</v>
      </c>
      <c r="B149" s="15" t="s">
        <v>1011</v>
      </c>
      <c r="C149" s="17" t="s">
        <v>260</v>
      </c>
      <c r="D149" s="16" t="n">
        <v>5</v>
      </c>
      <c r="E149" s="17" t="s">
        <v>39</v>
      </c>
      <c r="F149" s="17" t="s">
        <v>39</v>
      </c>
      <c r="G149" s="15" t="s">
        <v>445</v>
      </c>
      <c r="H149" s="18" t="s">
        <v>445</v>
      </c>
      <c r="I149" s="15" t="s">
        <v>379</v>
      </c>
      <c r="J149" s="17" t="s">
        <v>336</v>
      </c>
      <c r="K149" s="17" t="s">
        <v>140</v>
      </c>
      <c r="L149" s="19" t="s">
        <v>140</v>
      </c>
      <c r="M149" s="15" t="s">
        <v>343</v>
      </c>
      <c r="N149" s="17" t="n">
        <v>3522</v>
      </c>
      <c r="O149" s="15" t="s">
        <v>344</v>
      </c>
      <c r="P149" s="19" t="n">
        <v>3522</v>
      </c>
      <c r="Q149" s="15" t="s">
        <v>1012</v>
      </c>
      <c r="R149" s="15" t="s">
        <v>648</v>
      </c>
      <c r="S149" s="15" t="s">
        <v>345</v>
      </c>
      <c r="T149" s="15" t="s">
        <v>341</v>
      </c>
      <c r="U149" s="15" t="s">
        <v>1013</v>
      </c>
    </row>
    <row r="150" customFormat="false" ht="19.5" hidden="false" customHeight="true" outlineLevel="0" collapsed="false">
      <c r="A150" s="26" t="n">
        <v>565</v>
      </c>
      <c r="B150" s="27" t="s">
        <v>1014</v>
      </c>
      <c r="C150" s="30" t="s">
        <v>263</v>
      </c>
      <c r="D150" s="39" t="n">
        <v>20</v>
      </c>
      <c r="E150" s="30" t="s">
        <v>39</v>
      </c>
      <c r="F150" s="30" t="s">
        <v>39</v>
      </c>
      <c r="G150" s="27" t="s">
        <v>499</v>
      </c>
      <c r="H150" s="40" t="s">
        <v>499</v>
      </c>
      <c r="I150" s="27" t="s">
        <v>342</v>
      </c>
      <c r="J150" s="30" t="s">
        <v>336</v>
      </c>
      <c r="K150" s="30" t="s">
        <v>136</v>
      </c>
      <c r="L150" s="26" t="s">
        <v>136</v>
      </c>
      <c r="M150" s="27" t="s">
        <v>343</v>
      </c>
      <c r="N150" s="30" t="n">
        <v>5417</v>
      </c>
      <c r="O150" s="27" t="s">
        <v>344</v>
      </c>
      <c r="P150" s="26" t="n">
        <v>5417</v>
      </c>
      <c r="Q150" s="27" t="s">
        <v>1015</v>
      </c>
      <c r="R150" s="27" t="s">
        <v>648</v>
      </c>
      <c r="S150" s="27" t="s">
        <v>345</v>
      </c>
      <c r="T150" s="27" t="s">
        <v>341</v>
      </c>
      <c r="U150" s="27" t="s">
        <v>1016</v>
      </c>
    </row>
    <row r="151" customFormat="false" ht="19.5" hidden="false" customHeight="true" outlineLevel="0" collapsed="false">
      <c r="A151" s="19" t="n">
        <v>566</v>
      </c>
      <c r="B151" s="15" t="s">
        <v>1017</v>
      </c>
      <c r="C151" s="17" t="s">
        <v>287</v>
      </c>
      <c r="D151" s="16" t="n">
        <v>10</v>
      </c>
      <c r="E151" s="17" t="s">
        <v>63</v>
      </c>
      <c r="F151" s="17" t="s">
        <v>63</v>
      </c>
      <c r="G151" s="15" t="s">
        <v>391</v>
      </c>
      <c r="H151" s="18" t="s">
        <v>391</v>
      </c>
      <c r="I151" s="15" t="s">
        <v>392</v>
      </c>
      <c r="J151" s="17" t="s">
        <v>336</v>
      </c>
      <c r="K151" s="17" t="s">
        <v>82</v>
      </c>
      <c r="L151" s="19" t="s">
        <v>82</v>
      </c>
      <c r="M151" s="15" t="s">
        <v>343</v>
      </c>
      <c r="N151" s="17" t="n">
        <v>0</v>
      </c>
      <c r="O151" s="15" t="s">
        <v>353</v>
      </c>
      <c r="P151" s="19" t="n">
        <v>44024</v>
      </c>
      <c r="Q151" s="15" t="s">
        <v>1018</v>
      </c>
      <c r="R151" s="15" t="s">
        <v>717</v>
      </c>
      <c r="S151" s="15" t="s">
        <v>345</v>
      </c>
      <c r="T151" s="15" t="s">
        <v>341</v>
      </c>
      <c r="U151" s="15" t="s">
        <v>1019</v>
      </c>
    </row>
    <row r="152" customFormat="false" ht="19.5" hidden="false" customHeight="true" outlineLevel="0" collapsed="false">
      <c r="A152" s="26" t="n">
        <v>567</v>
      </c>
      <c r="B152" s="27" t="s">
        <v>1020</v>
      </c>
      <c r="C152" s="30" t="s">
        <v>263</v>
      </c>
      <c r="D152" s="39" t="n">
        <v>20</v>
      </c>
      <c r="E152" s="30" t="s">
        <v>39</v>
      </c>
      <c r="F152" s="30" t="s">
        <v>39</v>
      </c>
      <c r="G152" s="27" t="s">
        <v>506</v>
      </c>
      <c r="H152" s="40" t="s">
        <v>506</v>
      </c>
      <c r="I152" s="27" t="s">
        <v>342</v>
      </c>
      <c r="J152" s="30" t="s">
        <v>336</v>
      </c>
      <c r="K152" s="30" t="s">
        <v>111</v>
      </c>
      <c r="L152" s="26" t="s">
        <v>111</v>
      </c>
      <c r="M152" s="27" t="s">
        <v>343</v>
      </c>
      <c r="N152" s="30" t="n">
        <v>40818</v>
      </c>
      <c r="O152" s="27" t="s">
        <v>344</v>
      </c>
      <c r="P152" s="26" t="n">
        <v>40818</v>
      </c>
      <c r="Q152" s="27" t="s">
        <v>1021</v>
      </c>
      <c r="R152" s="27" t="s">
        <v>648</v>
      </c>
      <c r="S152" s="27" t="s">
        <v>345</v>
      </c>
      <c r="T152" s="27" t="s">
        <v>341</v>
      </c>
      <c r="U152" s="27" t="s">
        <v>1022</v>
      </c>
    </row>
    <row r="153" customFormat="false" ht="19.5" hidden="false" customHeight="true" outlineLevel="0" collapsed="false">
      <c r="A153" s="19" t="n">
        <v>569</v>
      </c>
      <c r="B153" s="15" t="s">
        <v>1023</v>
      </c>
      <c r="C153" s="17" t="s">
        <v>260</v>
      </c>
      <c r="D153" s="16" t="n">
        <v>5</v>
      </c>
      <c r="E153" s="17" t="s">
        <v>39</v>
      </c>
      <c r="F153" s="17" t="s">
        <v>39</v>
      </c>
      <c r="G153" s="15" t="s">
        <v>378</v>
      </c>
      <c r="H153" s="18" t="s">
        <v>378</v>
      </c>
      <c r="I153" s="15" t="s">
        <v>379</v>
      </c>
      <c r="J153" s="17" t="s">
        <v>336</v>
      </c>
      <c r="K153" s="17" t="s">
        <v>140</v>
      </c>
      <c r="L153" s="19" t="s">
        <v>140</v>
      </c>
      <c r="M153" s="15" t="s">
        <v>343</v>
      </c>
      <c r="N153" s="17" t="n">
        <v>9420</v>
      </c>
      <c r="O153" s="15" t="s">
        <v>344</v>
      </c>
      <c r="P153" s="19" t="n">
        <v>9420</v>
      </c>
      <c r="Q153" s="15" t="s">
        <v>1024</v>
      </c>
      <c r="R153" s="15" t="s">
        <v>648</v>
      </c>
      <c r="S153" s="15" t="s">
        <v>345</v>
      </c>
      <c r="T153" s="15" t="s">
        <v>341</v>
      </c>
      <c r="U153" s="15" t="s">
        <v>1025</v>
      </c>
    </row>
    <row r="154" customFormat="false" ht="19.5" hidden="false" customHeight="true" outlineLevel="0" collapsed="false">
      <c r="A154" s="26" t="n">
        <v>570</v>
      </c>
      <c r="B154" s="27" t="s">
        <v>1026</v>
      </c>
      <c r="C154" s="30" t="s">
        <v>260</v>
      </c>
      <c r="D154" s="39" t="n">
        <v>5</v>
      </c>
      <c r="E154" s="30" t="s">
        <v>39</v>
      </c>
      <c r="F154" s="30" t="s">
        <v>39</v>
      </c>
      <c r="G154" s="27" t="s">
        <v>486</v>
      </c>
      <c r="H154" s="40" t="s">
        <v>486</v>
      </c>
      <c r="I154" s="27" t="s">
        <v>379</v>
      </c>
      <c r="J154" s="30" t="s">
        <v>336</v>
      </c>
      <c r="K154" s="30" t="s">
        <v>140</v>
      </c>
      <c r="L154" s="26" t="s">
        <v>140</v>
      </c>
      <c r="M154" s="27" t="s">
        <v>343</v>
      </c>
      <c r="N154" s="30" t="n">
        <v>15508</v>
      </c>
      <c r="O154" s="27" t="s">
        <v>344</v>
      </c>
      <c r="P154" s="26" t="n">
        <v>15508</v>
      </c>
      <c r="Q154" s="27" t="s">
        <v>1027</v>
      </c>
      <c r="R154" s="27" t="s">
        <v>648</v>
      </c>
      <c r="S154" s="27" t="s">
        <v>345</v>
      </c>
      <c r="T154" s="27" t="s">
        <v>341</v>
      </c>
      <c r="U154" s="27" t="s">
        <v>1028</v>
      </c>
    </row>
    <row r="155" customFormat="false" ht="19.5" hidden="false" customHeight="true" outlineLevel="0" collapsed="false">
      <c r="A155" s="19" t="n">
        <v>571</v>
      </c>
      <c r="B155" s="15" t="s">
        <v>1029</v>
      </c>
      <c r="C155" s="17" t="s">
        <v>263</v>
      </c>
      <c r="D155" s="16" t="n">
        <v>20</v>
      </c>
      <c r="E155" s="17" t="s">
        <v>39</v>
      </c>
      <c r="F155" s="17" t="s">
        <v>39</v>
      </c>
      <c r="G155" s="15" t="s">
        <v>502</v>
      </c>
      <c r="H155" s="18" t="s">
        <v>502</v>
      </c>
      <c r="I155" s="15" t="s">
        <v>342</v>
      </c>
      <c r="J155" s="17" t="s">
        <v>336</v>
      </c>
      <c r="K155" s="17" t="s">
        <v>136</v>
      </c>
      <c r="L155" s="19" t="s">
        <v>136</v>
      </c>
      <c r="M155" s="15" t="s">
        <v>343</v>
      </c>
      <c r="N155" s="17" t="n">
        <v>9621</v>
      </c>
      <c r="O155" s="15" t="s">
        <v>344</v>
      </c>
      <c r="P155" s="19" t="n">
        <v>9621</v>
      </c>
      <c r="Q155" s="15" t="s">
        <v>1030</v>
      </c>
      <c r="R155" s="15" t="s">
        <v>648</v>
      </c>
      <c r="S155" s="15" t="s">
        <v>345</v>
      </c>
      <c r="T155" s="15" t="s">
        <v>341</v>
      </c>
      <c r="U155" s="15" t="s">
        <v>1031</v>
      </c>
    </row>
    <row r="156" customFormat="false" ht="19.5" hidden="false" customHeight="true" outlineLevel="0" collapsed="false">
      <c r="A156" s="26" t="n">
        <v>573</v>
      </c>
      <c r="B156" s="27" t="s">
        <v>1032</v>
      </c>
      <c r="C156" s="30" t="s">
        <v>1033</v>
      </c>
      <c r="D156" s="39" t="n">
        <v>1</v>
      </c>
      <c r="E156" s="30" t="s">
        <v>974</v>
      </c>
      <c r="F156" s="30" t="s">
        <v>974</v>
      </c>
      <c r="G156" s="27" t="s">
        <v>105</v>
      </c>
      <c r="H156" s="40" t="s">
        <v>105</v>
      </c>
      <c r="I156" s="27" t="s">
        <v>376</v>
      </c>
      <c r="J156" s="30" t="s">
        <v>336</v>
      </c>
      <c r="K156" s="30" t="s">
        <v>106</v>
      </c>
      <c r="L156" s="26" t="s">
        <v>106</v>
      </c>
      <c r="M156" s="27" t="s">
        <v>377</v>
      </c>
      <c r="N156" s="30" t="n">
        <v>0</v>
      </c>
      <c r="O156" s="27" t="s">
        <v>339</v>
      </c>
      <c r="P156" s="26" t="s">
        <v>690</v>
      </c>
      <c r="Q156" s="27" t="s">
        <v>691</v>
      </c>
      <c r="R156" s="27" t="s">
        <v>692</v>
      </c>
      <c r="S156" s="27" t="s">
        <v>345</v>
      </c>
      <c r="T156" s="27" t="s">
        <v>341</v>
      </c>
      <c r="U156" s="27" t="s">
        <v>841</v>
      </c>
    </row>
    <row r="157" customFormat="false" ht="19.5" hidden="false" customHeight="true" outlineLevel="0" collapsed="false">
      <c r="A157" s="19" t="n">
        <v>575</v>
      </c>
      <c r="B157" s="15" t="s">
        <v>1034</v>
      </c>
      <c r="C157" s="17" t="s">
        <v>260</v>
      </c>
      <c r="D157" s="16" t="n">
        <v>5</v>
      </c>
      <c r="E157" s="17" t="s">
        <v>39</v>
      </c>
      <c r="F157" s="17" t="s">
        <v>39</v>
      </c>
      <c r="G157" s="15" t="s">
        <v>70</v>
      </c>
      <c r="H157" s="18" t="s">
        <v>70</v>
      </c>
      <c r="I157" s="15" t="s">
        <v>355</v>
      </c>
      <c r="J157" s="17" t="s">
        <v>360</v>
      </c>
      <c r="K157" s="17" t="s">
        <v>48</v>
      </c>
      <c r="L157" s="19" t="s">
        <v>48</v>
      </c>
      <c r="M157" s="15" t="s">
        <v>361</v>
      </c>
      <c r="N157" s="17" t="n">
        <v>3307</v>
      </c>
      <c r="O157" s="15" t="s">
        <v>344</v>
      </c>
      <c r="P157" s="19" t="n">
        <v>3307</v>
      </c>
      <c r="Q157" s="15" t="s">
        <v>1035</v>
      </c>
      <c r="R157" s="15" t="s">
        <v>648</v>
      </c>
      <c r="S157" s="15" t="s">
        <v>345</v>
      </c>
      <c r="T157" s="15" t="s">
        <v>341</v>
      </c>
      <c r="U157" s="15" t="s">
        <v>1036</v>
      </c>
    </row>
    <row r="158" customFormat="false" ht="19.5" hidden="false" customHeight="true" outlineLevel="0" collapsed="false">
      <c r="A158" s="26" t="n">
        <v>578</v>
      </c>
      <c r="B158" s="27" t="s">
        <v>1037</v>
      </c>
      <c r="C158" s="30" t="s">
        <v>1038</v>
      </c>
      <c r="D158" s="39" t="n">
        <v>25</v>
      </c>
      <c r="E158" s="30" t="s">
        <v>63</v>
      </c>
      <c r="F158" s="30" t="s">
        <v>63</v>
      </c>
      <c r="G158" s="27" t="s">
        <v>563</v>
      </c>
      <c r="H158" s="40" t="s">
        <v>563</v>
      </c>
      <c r="I158" s="27" t="s">
        <v>397</v>
      </c>
      <c r="J158" s="30" t="s">
        <v>336</v>
      </c>
      <c r="K158" s="30" t="s">
        <v>564</v>
      </c>
      <c r="L158" s="26" t="s">
        <v>564</v>
      </c>
      <c r="M158" s="27" t="s">
        <v>368</v>
      </c>
      <c r="N158" s="30" t="n">
        <v>0</v>
      </c>
      <c r="O158" s="27" t="s">
        <v>339</v>
      </c>
      <c r="P158" s="26" t="s">
        <v>690</v>
      </c>
      <c r="Q158" s="27" t="s">
        <v>691</v>
      </c>
      <c r="R158" s="27" t="s">
        <v>692</v>
      </c>
      <c r="S158" s="27" t="s">
        <v>340</v>
      </c>
      <c r="T158" s="27" t="s">
        <v>341</v>
      </c>
      <c r="U158" s="27" t="s">
        <v>852</v>
      </c>
    </row>
    <row r="159" customFormat="false" ht="19.5" hidden="false" customHeight="true" outlineLevel="0" collapsed="false">
      <c r="A159" s="19" t="n">
        <v>579</v>
      </c>
      <c r="B159" s="15" t="s">
        <v>1039</v>
      </c>
      <c r="C159" s="17" t="s">
        <v>260</v>
      </c>
      <c r="D159" s="16" t="n">
        <v>5</v>
      </c>
      <c r="E159" s="17" t="s">
        <v>39</v>
      </c>
      <c r="F159" s="17" t="s">
        <v>39</v>
      </c>
      <c r="G159" s="15" t="s">
        <v>445</v>
      </c>
      <c r="H159" s="18" t="s">
        <v>445</v>
      </c>
      <c r="I159" s="15" t="s">
        <v>379</v>
      </c>
      <c r="J159" s="17" t="s">
        <v>336</v>
      </c>
      <c r="K159" s="17" t="s">
        <v>140</v>
      </c>
      <c r="L159" s="19" t="s">
        <v>140</v>
      </c>
      <c r="M159" s="15" t="s">
        <v>343</v>
      </c>
      <c r="N159" s="17" t="n">
        <v>36321</v>
      </c>
      <c r="O159" s="15" t="s">
        <v>344</v>
      </c>
      <c r="P159" s="19" t="n">
        <v>36321</v>
      </c>
      <c r="Q159" s="15" t="s">
        <v>1040</v>
      </c>
      <c r="R159" s="15" t="s">
        <v>648</v>
      </c>
      <c r="S159" s="15" t="s">
        <v>345</v>
      </c>
      <c r="T159" s="15" t="s">
        <v>341</v>
      </c>
      <c r="U159" s="15" t="s">
        <v>1041</v>
      </c>
    </row>
    <row r="160" customFormat="false" ht="19.5" hidden="false" customHeight="true" outlineLevel="0" collapsed="false">
      <c r="A160" s="26" t="n">
        <v>580</v>
      </c>
      <c r="B160" s="27" t="s">
        <v>1042</v>
      </c>
      <c r="C160" s="30" t="s">
        <v>263</v>
      </c>
      <c r="D160" s="39" t="n">
        <v>20</v>
      </c>
      <c r="E160" s="30" t="s">
        <v>39</v>
      </c>
      <c r="F160" s="30" t="s">
        <v>39</v>
      </c>
      <c r="G160" s="27" t="s">
        <v>536</v>
      </c>
      <c r="H160" s="40" t="s">
        <v>536</v>
      </c>
      <c r="I160" s="27" t="s">
        <v>356</v>
      </c>
      <c r="J160" s="30" t="s">
        <v>336</v>
      </c>
      <c r="K160" s="30" t="s">
        <v>82</v>
      </c>
      <c r="L160" s="26" t="s">
        <v>82</v>
      </c>
      <c r="M160" s="27" t="s">
        <v>343</v>
      </c>
      <c r="N160" s="30" t="n">
        <v>31618</v>
      </c>
      <c r="O160" s="27" t="s">
        <v>344</v>
      </c>
      <c r="P160" s="26" t="n">
        <v>31618</v>
      </c>
      <c r="Q160" s="27" t="s">
        <v>1043</v>
      </c>
      <c r="R160" s="27" t="s">
        <v>648</v>
      </c>
      <c r="S160" s="27" t="s">
        <v>345</v>
      </c>
      <c r="T160" s="27" t="s">
        <v>341</v>
      </c>
      <c r="U160" s="27" t="s">
        <v>1044</v>
      </c>
    </row>
    <row r="161" customFormat="false" ht="19.5" hidden="false" customHeight="true" outlineLevel="0" collapsed="false">
      <c r="A161" s="19" t="n">
        <v>581</v>
      </c>
      <c r="B161" s="15" t="s">
        <v>1045</v>
      </c>
      <c r="C161" s="17" t="s">
        <v>260</v>
      </c>
      <c r="D161" s="16" t="n">
        <v>5</v>
      </c>
      <c r="E161" s="17" t="s">
        <v>39</v>
      </c>
      <c r="F161" s="17" t="s">
        <v>39</v>
      </c>
      <c r="G161" s="15" t="s">
        <v>473</v>
      </c>
      <c r="H161" s="18" t="s">
        <v>473</v>
      </c>
      <c r="I161" s="15" t="s">
        <v>379</v>
      </c>
      <c r="J161" s="17" t="s">
        <v>336</v>
      </c>
      <c r="K161" s="17" t="s">
        <v>140</v>
      </c>
      <c r="L161" s="19" t="s">
        <v>140</v>
      </c>
      <c r="M161" s="15" t="s">
        <v>343</v>
      </c>
      <c r="N161" s="17" t="n">
        <v>17219</v>
      </c>
      <c r="O161" s="15" t="s">
        <v>344</v>
      </c>
      <c r="P161" s="19" t="n">
        <v>17219</v>
      </c>
      <c r="Q161" s="15" t="s">
        <v>1046</v>
      </c>
      <c r="R161" s="15" t="s">
        <v>648</v>
      </c>
      <c r="S161" s="15" t="s">
        <v>345</v>
      </c>
      <c r="T161" s="15" t="s">
        <v>341</v>
      </c>
      <c r="U161" s="15" t="s">
        <v>1047</v>
      </c>
    </row>
    <row r="162" customFormat="false" ht="19.5" hidden="false" customHeight="true" outlineLevel="0" collapsed="false">
      <c r="A162" s="26" t="n">
        <v>582</v>
      </c>
      <c r="B162" s="27" t="s">
        <v>1048</v>
      </c>
      <c r="C162" s="30" t="s">
        <v>263</v>
      </c>
      <c r="D162" s="39" t="n">
        <v>20</v>
      </c>
      <c r="E162" s="30" t="s">
        <v>39</v>
      </c>
      <c r="F162" s="30" t="s">
        <v>39</v>
      </c>
      <c r="G162" s="27" t="s">
        <v>95</v>
      </c>
      <c r="H162" s="40" t="s">
        <v>95</v>
      </c>
      <c r="I162" s="27" t="s">
        <v>382</v>
      </c>
      <c r="J162" s="30" t="s">
        <v>336</v>
      </c>
      <c r="K162" s="30" t="s">
        <v>159</v>
      </c>
      <c r="L162" s="26" t="s">
        <v>159</v>
      </c>
      <c r="M162" s="27" t="s">
        <v>349</v>
      </c>
      <c r="N162" s="30" t="n">
        <v>0</v>
      </c>
      <c r="O162" s="27" t="s">
        <v>339</v>
      </c>
      <c r="P162" s="26" t="s">
        <v>690</v>
      </c>
      <c r="Q162" s="27" t="s">
        <v>691</v>
      </c>
      <c r="R162" s="27" t="s">
        <v>692</v>
      </c>
      <c r="S162" s="27" t="s">
        <v>345</v>
      </c>
      <c r="T162" s="27" t="s">
        <v>341</v>
      </c>
      <c r="U162" s="27" t="s">
        <v>693</v>
      </c>
    </row>
    <row r="163" customFormat="false" ht="19.5" hidden="false" customHeight="true" outlineLevel="0" collapsed="false">
      <c r="A163" s="19" t="n">
        <v>583</v>
      </c>
      <c r="B163" s="15" t="s">
        <v>1049</v>
      </c>
      <c r="C163" s="17" t="s">
        <v>1050</v>
      </c>
      <c r="D163" s="16" t="n">
        <v>1.8</v>
      </c>
      <c r="E163" s="17" t="s">
        <v>39</v>
      </c>
      <c r="F163" s="17" t="s">
        <v>39</v>
      </c>
      <c r="G163" s="15" t="s">
        <v>394</v>
      </c>
      <c r="H163" s="18" t="s">
        <v>394</v>
      </c>
      <c r="I163" s="15" t="s">
        <v>376</v>
      </c>
      <c r="J163" s="17" t="s">
        <v>336</v>
      </c>
      <c r="K163" s="17" t="s">
        <v>106</v>
      </c>
      <c r="L163" s="19" t="s">
        <v>106</v>
      </c>
      <c r="M163" s="15" t="s">
        <v>377</v>
      </c>
      <c r="N163" s="17" t="n">
        <v>0</v>
      </c>
      <c r="O163" s="15" t="s">
        <v>339</v>
      </c>
      <c r="P163" s="19" t="s">
        <v>690</v>
      </c>
      <c r="Q163" s="15" t="s">
        <v>691</v>
      </c>
      <c r="R163" s="15" t="s">
        <v>692</v>
      </c>
      <c r="S163" s="15" t="s">
        <v>345</v>
      </c>
      <c r="T163" s="15" t="s">
        <v>341</v>
      </c>
      <c r="U163" s="15" t="s">
        <v>841</v>
      </c>
    </row>
    <row r="164" customFormat="false" ht="19.5" hidden="false" customHeight="true" outlineLevel="0" collapsed="false">
      <c r="A164" s="26" t="n">
        <v>587</v>
      </c>
      <c r="B164" s="27" t="s">
        <v>1051</v>
      </c>
      <c r="C164" s="30" t="s">
        <v>260</v>
      </c>
      <c r="D164" s="39" t="n">
        <v>5</v>
      </c>
      <c r="E164" s="30" t="s">
        <v>39</v>
      </c>
      <c r="F164" s="30" t="s">
        <v>39</v>
      </c>
      <c r="G164" s="27" t="s">
        <v>468</v>
      </c>
      <c r="H164" s="40" t="s">
        <v>468</v>
      </c>
      <c r="I164" s="27" t="s">
        <v>469</v>
      </c>
      <c r="J164" s="30" t="s">
        <v>336</v>
      </c>
      <c r="K164" s="30" t="s">
        <v>82</v>
      </c>
      <c r="L164" s="26" t="s">
        <v>82</v>
      </c>
      <c r="M164" s="27" t="s">
        <v>343</v>
      </c>
      <c r="N164" s="30" t="n">
        <v>10816</v>
      </c>
      <c r="O164" s="27" t="s">
        <v>344</v>
      </c>
      <c r="P164" s="26" t="n">
        <v>10816</v>
      </c>
      <c r="Q164" s="27" t="s">
        <v>1052</v>
      </c>
      <c r="R164" s="27" t="s">
        <v>648</v>
      </c>
      <c r="S164" s="27" t="s">
        <v>345</v>
      </c>
      <c r="T164" s="27" t="s">
        <v>341</v>
      </c>
      <c r="U164" s="27" t="s">
        <v>1053</v>
      </c>
    </row>
    <row r="165" customFormat="false" ht="19.5" hidden="false" customHeight="true" outlineLevel="0" collapsed="false">
      <c r="A165" s="19" t="n">
        <v>588</v>
      </c>
      <c r="B165" s="15" t="s">
        <v>1054</v>
      </c>
      <c r="C165" s="17" t="s">
        <v>1055</v>
      </c>
      <c r="D165" s="16" t="n">
        <v>1273</v>
      </c>
      <c r="E165" s="17" t="s">
        <v>63</v>
      </c>
      <c r="F165" s="17" t="s">
        <v>63</v>
      </c>
      <c r="G165" s="15" t="s">
        <v>400</v>
      </c>
      <c r="H165" s="18" t="s">
        <v>400</v>
      </c>
      <c r="I165" s="15" t="s">
        <v>335</v>
      </c>
      <c r="J165" s="17" t="s">
        <v>336</v>
      </c>
      <c r="K165" s="17" t="s">
        <v>337</v>
      </c>
      <c r="L165" s="19" t="s">
        <v>337</v>
      </c>
      <c r="M165" s="15" t="s">
        <v>338</v>
      </c>
      <c r="N165" s="17" t="n">
        <v>0</v>
      </c>
      <c r="O165" s="15" t="s">
        <v>339</v>
      </c>
      <c r="P165" s="19" t="s">
        <v>690</v>
      </c>
      <c r="Q165" s="15" t="s">
        <v>691</v>
      </c>
      <c r="R165" s="15" t="s">
        <v>692</v>
      </c>
      <c r="S165" s="15" t="s">
        <v>340</v>
      </c>
      <c r="T165" s="15" t="s">
        <v>341</v>
      </c>
      <c r="U165" s="15" t="s">
        <v>942</v>
      </c>
    </row>
    <row r="166" customFormat="false" ht="19.5" hidden="false" customHeight="true" outlineLevel="0" collapsed="false">
      <c r="A166" s="26" t="n">
        <v>590</v>
      </c>
      <c r="B166" s="27" t="s">
        <v>1056</v>
      </c>
      <c r="C166" s="30" t="s">
        <v>1050</v>
      </c>
      <c r="D166" s="39" t="n">
        <v>1.8</v>
      </c>
      <c r="E166" s="30" t="s">
        <v>39</v>
      </c>
      <c r="F166" s="30" t="s">
        <v>39</v>
      </c>
      <c r="G166" s="27" t="s">
        <v>105</v>
      </c>
      <c r="H166" s="40" t="s">
        <v>105</v>
      </c>
      <c r="I166" s="27" t="s">
        <v>376</v>
      </c>
      <c r="J166" s="30" t="s">
        <v>336</v>
      </c>
      <c r="K166" s="30" t="s">
        <v>142</v>
      </c>
      <c r="L166" s="26" t="s">
        <v>106</v>
      </c>
      <c r="M166" s="27" t="s">
        <v>377</v>
      </c>
      <c r="N166" s="30" t="n">
        <v>0</v>
      </c>
      <c r="O166" s="27" t="s">
        <v>339</v>
      </c>
      <c r="P166" s="26" t="s">
        <v>690</v>
      </c>
      <c r="Q166" s="27" t="s">
        <v>691</v>
      </c>
      <c r="R166" s="27" t="s">
        <v>692</v>
      </c>
      <c r="S166" s="27" t="s">
        <v>345</v>
      </c>
      <c r="T166" s="27" t="s">
        <v>341</v>
      </c>
      <c r="U166" s="27" t="s">
        <v>827</v>
      </c>
    </row>
    <row r="167" customFormat="false" ht="19.5" hidden="false" customHeight="true" outlineLevel="0" collapsed="false">
      <c r="A167" s="19" t="n">
        <v>591</v>
      </c>
      <c r="B167" s="15" t="s">
        <v>1057</v>
      </c>
      <c r="C167" s="17" t="s">
        <v>263</v>
      </c>
      <c r="D167" s="16" t="n">
        <v>20</v>
      </c>
      <c r="E167" s="17" t="s">
        <v>39</v>
      </c>
      <c r="F167" s="17" t="s">
        <v>39</v>
      </c>
      <c r="G167" s="15" t="s">
        <v>536</v>
      </c>
      <c r="H167" s="18" t="s">
        <v>536</v>
      </c>
      <c r="I167" s="15" t="s">
        <v>356</v>
      </c>
      <c r="J167" s="17" t="s">
        <v>336</v>
      </c>
      <c r="K167" s="17" t="s">
        <v>82</v>
      </c>
      <c r="L167" s="19" t="s">
        <v>82</v>
      </c>
      <c r="M167" s="15" t="s">
        <v>343</v>
      </c>
      <c r="N167" s="17" t="n">
        <v>3010</v>
      </c>
      <c r="O167" s="15" t="s">
        <v>344</v>
      </c>
      <c r="P167" s="19" t="n">
        <v>3010</v>
      </c>
      <c r="Q167" s="15" t="s">
        <v>1058</v>
      </c>
      <c r="R167" s="15" t="s">
        <v>648</v>
      </c>
      <c r="S167" s="15" t="s">
        <v>345</v>
      </c>
      <c r="T167" s="15" t="s">
        <v>341</v>
      </c>
      <c r="U167" s="15" t="s">
        <v>1059</v>
      </c>
    </row>
    <row r="168" customFormat="false" ht="19.5" hidden="false" customHeight="true" outlineLevel="0" collapsed="false">
      <c r="A168" s="26" t="n">
        <v>592</v>
      </c>
      <c r="B168" s="27" t="s">
        <v>1060</v>
      </c>
      <c r="C168" s="30" t="s">
        <v>263</v>
      </c>
      <c r="D168" s="39" t="n">
        <v>20</v>
      </c>
      <c r="E168" s="30" t="s">
        <v>39</v>
      </c>
      <c r="F168" s="30" t="s">
        <v>39</v>
      </c>
      <c r="G168" s="27" t="s">
        <v>449</v>
      </c>
      <c r="H168" s="40" t="s">
        <v>449</v>
      </c>
      <c r="I168" s="27" t="s">
        <v>342</v>
      </c>
      <c r="J168" s="30" t="s">
        <v>336</v>
      </c>
      <c r="K168" s="30" t="s">
        <v>146</v>
      </c>
      <c r="L168" s="26" t="s">
        <v>146</v>
      </c>
      <c r="M168" s="27" t="s">
        <v>343</v>
      </c>
      <c r="N168" s="30" t="n">
        <v>8319</v>
      </c>
      <c r="O168" s="27" t="s">
        <v>344</v>
      </c>
      <c r="P168" s="26" t="n">
        <v>8319</v>
      </c>
      <c r="Q168" s="27" t="s">
        <v>1061</v>
      </c>
      <c r="R168" s="27" t="s">
        <v>648</v>
      </c>
      <c r="S168" s="27" t="s">
        <v>345</v>
      </c>
      <c r="T168" s="27" t="s">
        <v>341</v>
      </c>
      <c r="U168" s="27" t="s">
        <v>1062</v>
      </c>
    </row>
    <row r="169" customFormat="false" ht="19.5" hidden="false" customHeight="true" outlineLevel="0" collapsed="false">
      <c r="A169" s="19" t="n">
        <v>595</v>
      </c>
      <c r="B169" s="15" t="s">
        <v>1063</v>
      </c>
      <c r="C169" s="17" t="s">
        <v>260</v>
      </c>
      <c r="D169" s="16" t="n">
        <v>5</v>
      </c>
      <c r="E169" s="17" t="s">
        <v>39</v>
      </c>
      <c r="F169" s="17" t="s">
        <v>39</v>
      </c>
      <c r="G169" s="15" t="s">
        <v>511</v>
      </c>
      <c r="H169" s="18" t="s">
        <v>511</v>
      </c>
      <c r="I169" s="15" t="s">
        <v>342</v>
      </c>
      <c r="J169" s="17" t="s">
        <v>336</v>
      </c>
      <c r="K169" s="17" t="s">
        <v>111</v>
      </c>
      <c r="L169" s="19" t="s">
        <v>111</v>
      </c>
      <c r="M169" s="15" t="s">
        <v>343</v>
      </c>
      <c r="N169" s="17" t="n">
        <v>31222</v>
      </c>
      <c r="O169" s="15" t="s">
        <v>344</v>
      </c>
      <c r="P169" s="19" t="n">
        <v>31222</v>
      </c>
      <c r="Q169" s="15" t="s">
        <v>1064</v>
      </c>
      <c r="R169" s="15" t="s">
        <v>648</v>
      </c>
      <c r="S169" s="15" t="s">
        <v>345</v>
      </c>
      <c r="T169" s="15" t="s">
        <v>341</v>
      </c>
      <c r="U169" s="15" t="s">
        <v>1065</v>
      </c>
    </row>
    <row r="170" customFormat="false" ht="19.5" hidden="false" customHeight="true" outlineLevel="0" collapsed="false">
      <c r="A170" s="26" t="n">
        <v>596</v>
      </c>
      <c r="B170" s="27" t="s">
        <v>1066</v>
      </c>
      <c r="C170" s="30" t="s">
        <v>263</v>
      </c>
      <c r="D170" s="39" t="n">
        <v>20</v>
      </c>
      <c r="E170" s="30" t="s">
        <v>39</v>
      </c>
      <c r="F170" s="30" t="s">
        <v>39</v>
      </c>
      <c r="G170" s="27" t="s">
        <v>613</v>
      </c>
      <c r="H170" s="40" t="s">
        <v>613</v>
      </c>
      <c r="I170" s="27" t="s">
        <v>342</v>
      </c>
      <c r="J170" s="30" t="s">
        <v>336</v>
      </c>
      <c r="K170" s="30" t="s">
        <v>111</v>
      </c>
      <c r="L170" s="26" t="s">
        <v>111</v>
      </c>
      <c r="M170" s="27" t="s">
        <v>343</v>
      </c>
      <c r="N170" s="30" t="n">
        <v>17208</v>
      </c>
      <c r="O170" s="27" t="s">
        <v>344</v>
      </c>
      <c r="P170" s="26" t="n">
        <v>17208</v>
      </c>
      <c r="Q170" s="27" t="s">
        <v>1067</v>
      </c>
      <c r="R170" s="27" t="s">
        <v>648</v>
      </c>
      <c r="S170" s="27" t="s">
        <v>345</v>
      </c>
      <c r="T170" s="27" t="s">
        <v>341</v>
      </c>
      <c r="U170" s="27" t="s">
        <v>1068</v>
      </c>
    </row>
    <row r="171" customFormat="false" ht="19.5" hidden="false" customHeight="true" outlineLevel="0" collapsed="false">
      <c r="A171" s="19" t="n">
        <v>597</v>
      </c>
      <c r="B171" s="15" t="s">
        <v>1069</v>
      </c>
      <c r="C171" s="17" t="s">
        <v>260</v>
      </c>
      <c r="D171" s="16" t="n">
        <v>5</v>
      </c>
      <c r="E171" s="17" t="s">
        <v>39</v>
      </c>
      <c r="F171" s="17" t="s">
        <v>39</v>
      </c>
      <c r="G171" s="15" t="s">
        <v>480</v>
      </c>
      <c r="H171" s="18" t="s">
        <v>480</v>
      </c>
      <c r="I171" s="15" t="s">
        <v>342</v>
      </c>
      <c r="J171" s="17" t="s">
        <v>336</v>
      </c>
      <c r="K171" s="17" t="s">
        <v>479</v>
      </c>
      <c r="L171" s="19" t="s">
        <v>479</v>
      </c>
      <c r="M171" s="15" t="s">
        <v>343</v>
      </c>
      <c r="N171" s="17" t="n">
        <v>10416</v>
      </c>
      <c r="O171" s="15" t="s">
        <v>344</v>
      </c>
      <c r="P171" s="19" t="n">
        <v>10416</v>
      </c>
      <c r="Q171" s="15" t="s">
        <v>1070</v>
      </c>
      <c r="R171" s="15" t="s">
        <v>648</v>
      </c>
      <c r="S171" s="15" t="s">
        <v>345</v>
      </c>
      <c r="T171" s="15" t="s">
        <v>341</v>
      </c>
      <c r="U171" s="15" t="s">
        <v>1071</v>
      </c>
    </row>
    <row r="172" customFormat="false" ht="19.5" hidden="false" customHeight="true" outlineLevel="0" collapsed="false">
      <c r="A172" s="26" t="n">
        <v>598</v>
      </c>
      <c r="B172" s="27" t="s">
        <v>1072</v>
      </c>
      <c r="C172" s="30" t="s">
        <v>1073</v>
      </c>
      <c r="D172" s="39" t="n">
        <v>1.5</v>
      </c>
      <c r="E172" s="30" t="s">
        <v>39</v>
      </c>
      <c r="F172" s="30" t="s">
        <v>39</v>
      </c>
      <c r="G172" s="27" t="s">
        <v>105</v>
      </c>
      <c r="H172" s="40" t="s">
        <v>105</v>
      </c>
      <c r="I172" s="27" t="s">
        <v>376</v>
      </c>
      <c r="J172" s="30" t="s">
        <v>336</v>
      </c>
      <c r="K172" s="30" t="s">
        <v>140</v>
      </c>
      <c r="L172" s="26" t="s">
        <v>106</v>
      </c>
      <c r="M172" s="27" t="s">
        <v>377</v>
      </c>
      <c r="N172" s="30" t="n">
        <v>0</v>
      </c>
      <c r="O172" s="27" t="s">
        <v>339</v>
      </c>
      <c r="P172" s="26" t="s">
        <v>690</v>
      </c>
      <c r="Q172" s="27" t="s">
        <v>691</v>
      </c>
      <c r="R172" s="27" t="s">
        <v>692</v>
      </c>
      <c r="S172" s="27" t="s">
        <v>345</v>
      </c>
      <c r="T172" s="27" t="s">
        <v>341</v>
      </c>
      <c r="U172" s="27" t="s">
        <v>1074</v>
      </c>
    </row>
    <row r="173" customFormat="false" ht="19.5" hidden="false" customHeight="true" outlineLevel="0" collapsed="false">
      <c r="A173" s="19" t="n">
        <v>601</v>
      </c>
      <c r="B173" s="15" t="s">
        <v>1075</v>
      </c>
      <c r="C173" s="17" t="s">
        <v>263</v>
      </c>
      <c r="D173" s="16" t="n">
        <v>20</v>
      </c>
      <c r="E173" s="17" t="s">
        <v>39</v>
      </c>
      <c r="F173" s="17" t="s">
        <v>39</v>
      </c>
      <c r="G173" s="15" t="s">
        <v>611</v>
      </c>
      <c r="H173" s="18" t="s">
        <v>611</v>
      </c>
      <c r="I173" s="15" t="s">
        <v>379</v>
      </c>
      <c r="J173" s="17" t="s">
        <v>336</v>
      </c>
      <c r="K173" s="17" t="s">
        <v>140</v>
      </c>
      <c r="L173" s="19" t="s">
        <v>140</v>
      </c>
      <c r="M173" s="15" t="s">
        <v>343</v>
      </c>
      <c r="N173" s="17" t="n">
        <v>17921</v>
      </c>
      <c r="O173" s="15" t="s">
        <v>344</v>
      </c>
      <c r="P173" s="19" t="n">
        <v>17921</v>
      </c>
      <c r="Q173" s="15" t="s">
        <v>1076</v>
      </c>
      <c r="R173" s="15" t="s">
        <v>648</v>
      </c>
      <c r="S173" s="15" t="s">
        <v>345</v>
      </c>
      <c r="T173" s="15" t="s">
        <v>341</v>
      </c>
      <c r="U173" s="15" t="s">
        <v>1077</v>
      </c>
    </row>
    <row r="174" customFormat="false" ht="19.5" hidden="false" customHeight="true" outlineLevel="0" collapsed="false">
      <c r="A174" s="26" t="n">
        <v>602</v>
      </c>
      <c r="B174" s="27" t="s">
        <v>1078</v>
      </c>
      <c r="C174" s="30" t="s">
        <v>866</v>
      </c>
      <c r="D174" s="39" t="n">
        <v>1</v>
      </c>
      <c r="E174" s="30" t="s">
        <v>39</v>
      </c>
      <c r="F174" s="30" t="s">
        <v>39</v>
      </c>
      <c r="G174" s="27" t="s">
        <v>520</v>
      </c>
      <c r="H174" s="40" t="s">
        <v>520</v>
      </c>
      <c r="I174" s="27" t="s">
        <v>392</v>
      </c>
      <c r="J174" s="30" t="s">
        <v>336</v>
      </c>
      <c r="K174" s="30" t="s">
        <v>163</v>
      </c>
      <c r="L174" s="26" t="s">
        <v>82</v>
      </c>
      <c r="M174" s="27" t="s">
        <v>343</v>
      </c>
      <c r="N174" s="30" t="n">
        <v>0</v>
      </c>
      <c r="O174" s="27" t="s">
        <v>353</v>
      </c>
      <c r="P174" s="26" t="n">
        <v>30917</v>
      </c>
      <c r="Q174" s="27" t="s">
        <v>1079</v>
      </c>
      <c r="R174" s="27" t="s">
        <v>717</v>
      </c>
      <c r="S174" s="27" t="s">
        <v>386</v>
      </c>
      <c r="T174" s="27" t="s">
        <v>387</v>
      </c>
      <c r="U174" s="27" t="s">
        <v>1080</v>
      </c>
    </row>
    <row r="175" customFormat="false" ht="19.5" hidden="false" customHeight="true" outlineLevel="0" collapsed="false">
      <c r="A175" s="19" t="n">
        <v>604</v>
      </c>
      <c r="B175" s="15" t="s">
        <v>1081</v>
      </c>
      <c r="C175" s="17" t="s">
        <v>1082</v>
      </c>
      <c r="D175" s="16" t="n">
        <v>1000</v>
      </c>
      <c r="E175" s="17" t="s">
        <v>39</v>
      </c>
      <c r="F175" s="17" t="s">
        <v>39</v>
      </c>
      <c r="G175" s="15" t="s">
        <v>544</v>
      </c>
      <c r="H175" s="18" t="s">
        <v>544</v>
      </c>
      <c r="I175" s="15" t="s">
        <v>467</v>
      </c>
      <c r="J175" s="17" t="s">
        <v>336</v>
      </c>
      <c r="K175" s="17" t="s">
        <v>118</v>
      </c>
      <c r="L175" s="19" t="s">
        <v>118</v>
      </c>
      <c r="M175" s="15" t="s">
        <v>349</v>
      </c>
      <c r="N175" s="17" t="n">
        <v>0</v>
      </c>
      <c r="O175" s="15" t="s">
        <v>339</v>
      </c>
      <c r="P175" s="19" t="s">
        <v>690</v>
      </c>
      <c r="Q175" s="15" t="s">
        <v>691</v>
      </c>
      <c r="R175" s="15" t="s">
        <v>692</v>
      </c>
      <c r="S175" s="15" t="s">
        <v>345</v>
      </c>
      <c r="T175" s="15" t="s">
        <v>341</v>
      </c>
      <c r="U175" s="15" t="s">
        <v>693</v>
      </c>
    </row>
    <row r="176" customFormat="false" ht="19.5" hidden="false" customHeight="true" outlineLevel="0" collapsed="false">
      <c r="A176" s="26" t="n">
        <v>605</v>
      </c>
      <c r="B176" s="27" t="s">
        <v>1083</v>
      </c>
      <c r="C176" s="30" t="s">
        <v>1082</v>
      </c>
      <c r="D176" s="39" t="n">
        <v>1000</v>
      </c>
      <c r="E176" s="30" t="s">
        <v>39</v>
      </c>
      <c r="F176" s="30" t="s">
        <v>39</v>
      </c>
      <c r="G176" s="27" t="s">
        <v>594</v>
      </c>
      <c r="H176" s="40" t="s">
        <v>594</v>
      </c>
      <c r="I176" s="27" t="s">
        <v>382</v>
      </c>
      <c r="J176" s="30" t="s">
        <v>336</v>
      </c>
      <c r="K176" s="30" t="s">
        <v>159</v>
      </c>
      <c r="L176" s="26" t="s">
        <v>159</v>
      </c>
      <c r="M176" s="27" t="s">
        <v>349</v>
      </c>
      <c r="N176" s="30" t="n">
        <v>0</v>
      </c>
      <c r="O176" s="27" t="s">
        <v>339</v>
      </c>
      <c r="P176" s="26" t="s">
        <v>690</v>
      </c>
      <c r="Q176" s="27" t="s">
        <v>691</v>
      </c>
      <c r="R176" s="27" t="s">
        <v>692</v>
      </c>
      <c r="S176" s="27" t="s">
        <v>345</v>
      </c>
      <c r="T176" s="27" t="s">
        <v>341</v>
      </c>
      <c r="U176" s="27" t="s">
        <v>693</v>
      </c>
    </row>
    <row r="177" customFormat="false" ht="19.5" hidden="false" customHeight="true" outlineLevel="0" collapsed="false">
      <c r="A177" s="19" t="n">
        <v>606</v>
      </c>
      <c r="B177" s="15" t="s">
        <v>1084</v>
      </c>
      <c r="C177" s="17" t="s">
        <v>1082</v>
      </c>
      <c r="D177" s="16" t="n">
        <v>1000</v>
      </c>
      <c r="E177" s="17" t="s">
        <v>39</v>
      </c>
      <c r="F177" s="17" t="s">
        <v>39</v>
      </c>
      <c r="G177" s="15" t="s">
        <v>527</v>
      </c>
      <c r="H177" s="18" t="s">
        <v>527</v>
      </c>
      <c r="I177" s="15" t="s">
        <v>467</v>
      </c>
      <c r="J177" s="17" t="s">
        <v>336</v>
      </c>
      <c r="K177" s="17" t="s">
        <v>528</v>
      </c>
      <c r="L177" s="19" t="s">
        <v>528</v>
      </c>
      <c r="M177" s="15" t="s">
        <v>349</v>
      </c>
      <c r="N177" s="17" t="n">
        <v>0</v>
      </c>
      <c r="O177" s="15" t="s">
        <v>339</v>
      </c>
      <c r="P177" s="19" t="s">
        <v>690</v>
      </c>
      <c r="Q177" s="15" t="s">
        <v>691</v>
      </c>
      <c r="R177" s="15" t="s">
        <v>692</v>
      </c>
      <c r="S177" s="15" t="s">
        <v>345</v>
      </c>
      <c r="T177" s="15" t="s">
        <v>341</v>
      </c>
      <c r="U177" s="15" t="s">
        <v>693</v>
      </c>
    </row>
    <row r="178" customFormat="false" ht="19.5" hidden="false" customHeight="true" outlineLevel="0" collapsed="false">
      <c r="A178" s="26" t="n">
        <v>607</v>
      </c>
      <c r="B178" s="27" t="s">
        <v>1085</v>
      </c>
      <c r="C178" s="30" t="s">
        <v>263</v>
      </c>
      <c r="D178" s="39" t="n">
        <v>20</v>
      </c>
      <c r="E178" s="30" t="s">
        <v>39</v>
      </c>
      <c r="F178" s="30" t="s">
        <v>39</v>
      </c>
      <c r="G178" s="27" t="s">
        <v>545</v>
      </c>
      <c r="H178" s="40" t="s">
        <v>545</v>
      </c>
      <c r="I178" s="27" t="s">
        <v>382</v>
      </c>
      <c r="J178" s="30" t="s">
        <v>336</v>
      </c>
      <c r="K178" s="30" t="s">
        <v>159</v>
      </c>
      <c r="L178" s="26" t="s">
        <v>159</v>
      </c>
      <c r="M178" s="27" t="s">
        <v>349</v>
      </c>
      <c r="N178" s="30" t="n">
        <v>0</v>
      </c>
      <c r="O178" s="27" t="s">
        <v>339</v>
      </c>
      <c r="P178" s="26" t="s">
        <v>690</v>
      </c>
      <c r="Q178" s="27" t="s">
        <v>691</v>
      </c>
      <c r="R178" s="27" t="s">
        <v>692</v>
      </c>
      <c r="S178" s="27" t="s">
        <v>345</v>
      </c>
      <c r="T178" s="27" t="s">
        <v>341</v>
      </c>
      <c r="U178" s="27" t="s">
        <v>693</v>
      </c>
    </row>
    <row r="179" customFormat="false" ht="19.5" hidden="false" customHeight="true" outlineLevel="0" collapsed="false">
      <c r="A179" s="19" t="n">
        <v>608</v>
      </c>
      <c r="B179" s="15" t="s">
        <v>1086</v>
      </c>
      <c r="C179" s="17" t="s">
        <v>1082</v>
      </c>
      <c r="D179" s="16" t="n">
        <v>1000</v>
      </c>
      <c r="E179" s="17" t="s">
        <v>39</v>
      </c>
      <c r="F179" s="17" t="s">
        <v>39</v>
      </c>
      <c r="G179" s="15" t="s">
        <v>546</v>
      </c>
      <c r="H179" s="18" t="s">
        <v>546</v>
      </c>
      <c r="I179" s="15" t="s">
        <v>467</v>
      </c>
      <c r="J179" s="17" t="s">
        <v>336</v>
      </c>
      <c r="K179" s="17" t="s">
        <v>118</v>
      </c>
      <c r="L179" s="19" t="s">
        <v>118</v>
      </c>
      <c r="M179" s="15" t="s">
        <v>349</v>
      </c>
      <c r="N179" s="17" t="n">
        <v>0</v>
      </c>
      <c r="O179" s="15" t="s">
        <v>339</v>
      </c>
      <c r="P179" s="19" t="s">
        <v>690</v>
      </c>
      <c r="Q179" s="15" t="s">
        <v>691</v>
      </c>
      <c r="R179" s="15" t="s">
        <v>692</v>
      </c>
      <c r="S179" s="15" t="s">
        <v>345</v>
      </c>
      <c r="T179" s="15" t="s">
        <v>341</v>
      </c>
      <c r="U179" s="15" t="s">
        <v>693</v>
      </c>
    </row>
    <row r="180" customFormat="false" ht="19.5" hidden="false" customHeight="true" outlineLevel="0" collapsed="false">
      <c r="A180" s="26" t="n">
        <v>609</v>
      </c>
      <c r="B180" s="27" t="s">
        <v>1087</v>
      </c>
      <c r="C180" s="30" t="s">
        <v>263</v>
      </c>
      <c r="D180" s="39" t="n">
        <v>20</v>
      </c>
      <c r="E180" s="30" t="s">
        <v>39</v>
      </c>
      <c r="F180" s="30" t="s">
        <v>39</v>
      </c>
      <c r="G180" s="27" t="s">
        <v>545</v>
      </c>
      <c r="H180" s="40" t="s">
        <v>545</v>
      </c>
      <c r="I180" s="27" t="s">
        <v>382</v>
      </c>
      <c r="J180" s="30" t="s">
        <v>336</v>
      </c>
      <c r="K180" s="30" t="s">
        <v>159</v>
      </c>
      <c r="L180" s="26" t="s">
        <v>159</v>
      </c>
      <c r="M180" s="27" t="s">
        <v>349</v>
      </c>
      <c r="N180" s="30" t="n">
        <v>0</v>
      </c>
      <c r="O180" s="27" t="s">
        <v>339</v>
      </c>
      <c r="P180" s="26" t="s">
        <v>690</v>
      </c>
      <c r="Q180" s="27" t="s">
        <v>691</v>
      </c>
      <c r="R180" s="27" t="s">
        <v>692</v>
      </c>
      <c r="S180" s="27" t="s">
        <v>345</v>
      </c>
      <c r="T180" s="27" t="s">
        <v>341</v>
      </c>
      <c r="U180" s="27" t="s">
        <v>693</v>
      </c>
    </row>
    <row r="181" customFormat="false" ht="19.5" hidden="false" customHeight="true" outlineLevel="0" collapsed="false">
      <c r="A181" s="19" t="n">
        <v>610</v>
      </c>
      <c r="B181" s="15" t="s">
        <v>1088</v>
      </c>
      <c r="C181" s="17" t="s">
        <v>1082</v>
      </c>
      <c r="D181" s="16" t="n">
        <v>1000</v>
      </c>
      <c r="E181" s="17" t="s">
        <v>39</v>
      </c>
      <c r="F181" s="17" t="s">
        <v>39</v>
      </c>
      <c r="G181" s="15" t="s">
        <v>556</v>
      </c>
      <c r="H181" s="18" t="s">
        <v>556</v>
      </c>
      <c r="I181" s="15" t="s">
        <v>542</v>
      </c>
      <c r="J181" s="17" t="s">
        <v>336</v>
      </c>
      <c r="K181" s="17" t="s">
        <v>557</v>
      </c>
      <c r="L181" s="19" t="s">
        <v>557</v>
      </c>
      <c r="M181" s="15" t="s">
        <v>349</v>
      </c>
      <c r="N181" s="17" t="n">
        <v>0</v>
      </c>
      <c r="O181" s="15" t="s">
        <v>339</v>
      </c>
      <c r="P181" s="19" t="s">
        <v>690</v>
      </c>
      <c r="Q181" s="15" t="s">
        <v>691</v>
      </c>
      <c r="R181" s="15" t="s">
        <v>692</v>
      </c>
      <c r="S181" s="15" t="s">
        <v>345</v>
      </c>
      <c r="T181" s="15" t="s">
        <v>341</v>
      </c>
      <c r="U181" s="15" t="s">
        <v>693</v>
      </c>
    </row>
    <row r="182" customFormat="false" ht="19.5" hidden="false" customHeight="true" outlineLevel="0" collapsed="false">
      <c r="A182" s="26" t="n">
        <v>611</v>
      </c>
      <c r="B182" s="27" t="s">
        <v>1089</v>
      </c>
      <c r="C182" s="30" t="s">
        <v>260</v>
      </c>
      <c r="D182" s="39" t="n">
        <v>5</v>
      </c>
      <c r="E182" s="30" t="s">
        <v>39</v>
      </c>
      <c r="F182" s="30" t="s">
        <v>39</v>
      </c>
      <c r="G182" s="27" t="s">
        <v>383</v>
      </c>
      <c r="H182" s="40" t="s">
        <v>383</v>
      </c>
      <c r="I182" s="27" t="s">
        <v>384</v>
      </c>
      <c r="J182" s="30" t="s">
        <v>336</v>
      </c>
      <c r="K182" s="30" t="s">
        <v>142</v>
      </c>
      <c r="L182" s="26" t="s">
        <v>385</v>
      </c>
      <c r="M182" s="27" t="s">
        <v>343</v>
      </c>
      <c r="N182" s="30" t="n">
        <v>0</v>
      </c>
      <c r="O182" s="27" t="s">
        <v>339</v>
      </c>
      <c r="P182" s="26" t="s">
        <v>690</v>
      </c>
      <c r="Q182" s="27" t="s">
        <v>1090</v>
      </c>
      <c r="R182" s="27" t="s">
        <v>717</v>
      </c>
      <c r="S182" s="27" t="s">
        <v>386</v>
      </c>
      <c r="T182" s="27" t="s">
        <v>387</v>
      </c>
      <c r="U182" s="27" t="s">
        <v>1091</v>
      </c>
    </row>
    <row r="183" customFormat="false" ht="19.5" hidden="false" customHeight="true" outlineLevel="0" collapsed="false">
      <c r="A183" s="19" t="n">
        <v>612</v>
      </c>
      <c r="B183" s="15" t="s">
        <v>161</v>
      </c>
      <c r="C183" s="17" t="s">
        <v>260</v>
      </c>
      <c r="D183" s="16" t="n">
        <v>5</v>
      </c>
      <c r="E183" s="17" t="s">
        <v>39</v>
      </c>
      <c r="F183" s="17" t="s">
        <v>39</v>
      </c>
      <c r="G183" s="15" t="s">
        <v>162</v>
      </c>
      <c r="H183" s="18" t="s">
        <v>162</v>
      </c>
      <c r="I183" s="15" t="s">
        <v>390</v>
      </c>
      <c r="J183" s="17" t="s">
        <v>336</v>
      </c>
      <c r="K183" s="17" t="s">
        <v>163</v>
      </c>
      <c r="L183" s="19" t="s">
        <v>106</v>
      </c>
      <c r="M183" s="15" t="s">
        <v>377</v>
      </c>
      <c r="N183" s="17" t="n">
        <v>0</v>
      </c>
      <c r="O183" s="15" t="s">
        <v>339</v>
      </c>
      <c r="P183" s="19" t="s">
        <v>690</v>
      </c>
      <c r="Q183" s="15" t="s">
        <v>691</v>
      </c>
      <c r="R183" s="15" t="s">
        <v>692</v>
      </c>
      <c r="S183" s="15" t="s">
        <v>370</v>
      </c>
      <c r="T183" s="15" t="s">
        <v>371</v>
      </c>
      <c r="U183" s="15" t="s">
        <v>1092</v>
      </c>
    </row>
    <row r="184" customFormat="false" ht="19.5" hidden="false" customHeight="true" outlineLevel="0" collapsed="false">
      <c r="A184" s="26" t="n">
        <v>613</v>
      </c>
      <c r="B184" s="27" t="s">
        <v>1093</v>
      </c>
      <c r="C184" s="30" t="s">
        <v>946</v>
      </c>
      <c r="D184" s="39" t="n">
        <v>1</v>
      </c>
      <c r="E184" s="30" t="s">
        <v>63</v>
      </c>
      <c r="F184" s="30" t="s">
        <v>63</v>
      </c>
      <c r="G184" s="27" t="s">
        <v>423</v>
      </c>
      <c r="H184" s="40" t="s">
        <v>423</v>
      </c>
      <c r="I184" s="27" t="s">
        <v>342</v>
      </c>
      <c r="J184" s="30" t="s">
        <v>336</v>
      </c>
      <c r="K184" s="30" t="s">
        <v>111</v>
      </c>
      <c r="L184" s="26" t="s">
        <v>111</v>
      </c>
      <c r="M184" s="27" t="s">
        <v>343</v>
      </c>
      <c r="N184" s="30" t="n">
        <v>13620</v>
      </c>
      <c r="O184" s="27" t="s">
        <v>344</v>
      </c>
      <c r="P184" s="26" t="n">
        <v>13620</v>
      </c>
      <c r="Q184" s="27" t="s">
        <v>1094</v>
      </c>
      <c r="R184" s="27" t="s">
        <v>648</v>
      </c>
      <c r="S184" s="27" t="s">
        <v>345</v>
      </c>
      <c r="T184" s="27" t="s">
        <v>341</v>
      </c>
      <c r="U184" s="27" t="s">
        <v>1095</v>
      </c>
    </row>
    <row r="185" customFormat="false" ht="19.5" hidden="false" customHeight="true" outlineLevel="0" collapsed="false">
      <c r="A185" s="19" t="n">
        <v>614</v>
      </c>
      <c r="B185" s="15" t="s">
        <v>1096</v>
      </c>
      <c r="C185" s="17" t="s">
        <v>263</v>
      </c>
      <c r="D185" s="16" t="n">
        <v>20</v>
      </c>
      <c r="E185" s="17" t="s">
        <v>39</v>
      </c>
      <c r="F185" s="17" t="s">
        <v>39</v>
      </c>
      <c r="G185" s="15" t="s">
        <v>429</v>
      </c>
      <c r="H185" s="18" t="s">
        <v>429</v>
      </c>
      <c r="I185" s="15" t="s">
        <v>356</v>
      </c>
      <c r="J185" s="17" t="s">
        <v>336</v>
      </c>
      <c r="K185" s="17" t="s">
        <v>82</v>
      </c>
      <c r="L185" s="19" t="s">
        <v>82</v>
      </c>
      <c r="M185" s="15" t="s">
        <v>343</v>
      </c>
      <c r="N185" s="17" t="n">
        <v>43219</v>
      </c>
      <c r="O185" s="15" t="s">
        <v>344</v>
      </c>
      <c r="P185" s="19" t="n">
        <v>43219</v>
      </c>
      <c r="Q185" s="15" t="s">
        <v>1097</v>
      </c>
      <c r="R185" s="15" t="s">
        <v>648</v>
      </c>
      <c r="S185" s="15" t="s">
        <v>345</v>
      </c>
      <c r="T185" s="15" t="s">
        <v>341</v>
      </c>
      <c r="U185" s="15" t="s">
        <v>1098</v>
      </c>
    </row>
    <row r="186" customFormat="false" ht="19.5" hidden="false" customHeight="true" outlineLevel="0" collapsed="false">
      <c r="A186" s="26" t="n">
        <v>615</v>
      </c>
      <c r="B186" s="27" t="s">
        <v>1099</v>
      </c>
      <c r="C186" s="30" t="s">
        <v>263</v>
      </c>
      <c r="D186" s="39" t="n">
        <v>20</v>
      </c>
      <c r="E186" s="30" t="s">
        <v>39</v>
      </c>
      <c r="F186" s="30" t="s">
        <v>39</v>
      </c>
      <c r="G186" s="27" t="s">
        <v>613</v>
      </c>
      <c r="H186" s="40" t="s">
        <v>613</v>
      </c>
      <c r="I186" s="27" t="s">
        <v>342</v>
      </c>
      <c r="J186" s="30" t="s">
        <v>336</v>
      </c>
      <c r="K186" s="30" t="s">
        <v>111</v>
      </c>
      <c r="L186" s="26" t="s">
        <v>111</v>
      </c>
      <c r="M186" s="27" t="s">
        <v>343</v>
      </c>
      <c r="N186" s="30" t="n">
        <v>26820</v>
      </c>
      <c r="O186" s="27" t="s">
        <v>344</v>
      </c>
      <c r="P186" s="26" t="n">
        <v>26820</v>
      </c>
      <c r="Q186" s="27" t="s">
        <v>1100</v>
      </c>
      <c r="R186" s="27" t="s">
        <v>648</v>
      </c>
      <c r="S186" s="27" t="s">
        <v>345</v>
      </c>
      <c r="T186" s="27" t="s">
        <v>341</v>
      </c>
      <c r="U186" s="27" t="s">
        <v>1101</v>
      </c>
    </row>
    <row r="187" customFormat="false" ht="19.5" hidden="false" customHeight="true" outlineLevel="0" collapsed="false">
      <c r="A187" s="19" t="n">
        <v>616</v>
      </c>
      <c r="B187" s="15" t="s">
        <v>1102</v>
      </c>
      <c r="C187" s="17" t="s">
        <v>260</v>
      </c>
      <c r="D187" s="16" t="n">
        <v>5</v>
      </c>
      <c r="E187" s="17" t="s">
        <v>39</v>
      </c>
      <c r="F187" s="17" t="s">
        <v>39</v>
      </c>
      <c r="G187" s="15" t="s">
        <v>408</v>
      </c>
      <c r="H187" s="18" t="s">
        <v>408</v>
      </c>
      <c r="I187" s="15" t="s">
        <v>356</v>
      </c>
      <c r="J187" s="17" t="s">
        <v>336</v>
      </c>
      <c r="K187" s="17" t="s">
        <v>409</v>
      </c>
      <c r="L187" s="19" t="s">
        <v>409</v>
      </c>
      <c r="M187" s="15" t="s">
        <v>343</v>
      </c>
      <c r="N187" s="17" t="n">
        <v>3915</v>
      </c>
      <c r="O187" s="15" t="s">
        <v>344</v>
      </c>
      <c r="P187" s="19" t="n">
        <v>3915</v>
      </c>
      <c r="Q187" s="15" t="s">
        <v>1103</v>
      </c>
      <c r="R187" s="15" t="s">
        <v>648</v>
      </c>
      <c r="S187" s="15" t="s">
        <v>345</v>
      </c>
      <c r="T187" s="15" t="s">
        <v>341</v>
      </c>
      <c r="U187" s="15" t="s">
        <v>1104</v>
      </c>
    </row>
    <row r="188" customFormat="false" ht="19.5" hidden="false" customHeight="true" outlineLevel="0" collapsed="false">
      <c r="A188" s="26" t="n">
        <v>617</v>
      </c>
      <c r="B188" s="27" t="s">
        <v>1105</v>
      </c>
      <c r="C188" s="30" t="s">
        <v>260</v>
      </c>
      <c r="D188" s="39" t="n">
        <v>5</v>
      </c>
      <c r="E188" s="30" t="s">
        <v>39</v>
      </c>
      <c r="F188" s="30" t="s">
        <v>39</v>
      </c>
      <c r="G188" s="27" t="s">
        <v>411</v>
      </c>
      <c r="H188" s="40" t="s">
        <v>411</v>
      </c>
      <c r="I188" s="27" t="s">
        <v>342</v>
      </c>
      <c r="J188" s="30" t="s">
        <v>336</v>
      </c>
      <c r="K188" s="30" t="s">
        <v>111</v>
      </c>
      <c r="L188" s="26" t="s">
        <v>111</v>
      </c>
      <c r="M188" s="27" t="s">
        <v>343</v>
      </c>
      <c r="N188" s="30" t="n">
        <v>22221</v>
      </c>
      <c r="O188" s="27" t="s">
        <v>344</v>
      </c>
      <c r="P188" s="26" t="n">
        <v>22221</v>
      </c>
      <c r="Q188" s="27" t="s">
        <v>732</v>
      </c>
      <c r="R188" s="27" t="s">
        <v>648</v>
      </c>
      <c r="S188" s="27" t="s">
        <v>345</v>
      </c>
      <c r="T188" s="27" t="s">
        <v>341</v>
      </c>
      <c r="U188" s="27" t="s">
        <v>733</v>
      </c>
    </row>
    <row r="189" customFormat="false" ht="19.5" hidden="false" customHeight="true" outlineLevel="0" collapsed="false">
      <c r="A189" s="19" t="n">
        <v>618</v>
      </c>
      <c r="B189" s="15" t="s">
        <v>1106</v>
      </c>
      <c r="C189" s="17" t="s">
        <v>1107</v>
      </c>
      <c r="D189" s="16" t="n">
        <v>1</v>
      </c>
      <c r="E189" s="17" t="s">
        <v>63</v>
      </c>
      <c r="F189" s="17" t="s">
        <v>63</v>
      </c>
      <c r="G189" s="15" t="s">
        <v>381</v>
      </c>
      <c r="H189" s="18" t="s">
        <v>381</v>
      </c>
      <c r="I189" s="15" t="s">
        <v>379</v>
      </c>
      <c r="J189" s="17" t="s">
        <v>336</v>
      </c>
      <c r="K189" s="17" t="s">
        <v>140</v>
      </c>
      <c r="L189" s="19" t="s">
        <v>140</v>
      </c>
      <c r="M189" s="15" t="s">
        <v>343</v>
      </c>
      <c r="N189" s="17" t="n">
        <v>6421</v>
      </c>
      <c r="O189" s="15" t="s">
        <v>344</v>
      </c>
      <c r="P189" s="19" t="n">
        <v>6421</v>
      </c>
      <c r="Q189" s="15" t="s">
        <v>1108</v>
      </c>
      <c r="R189" s="15" t="s">
        <v>648</v>
      </c>
      <c r="S189" s="15" t="s">
        <v>345</v>
      </c>
      <c r="T189" s="15" t="s">
        <v>341</v>
      </c>
      <c r="U189" s="15" t="s">
        <v>1109</v>
      </c>
    </row>
    <row r="190" customFormat="false" ht="19.5" hidden="false" customHeight="true" outlineLevel="0" collapsed="false">
      <c r="A190" s="26" t="n">
        <v>619</v>
      </c>
      <c r="B190" s="27" t="s">
        <v>1110</v>
      </c>
      <c r="C190" s="30" t="s">
        <v>272</v>
      </c>
      <c r="D190" s="39" t="n">
        <v>5</v>
      </c>
      <c r="E190" s="30" t="s">
        <v>63</v>
      </c>
      <c r="F190" s="30" t="s">
        <v>63</v>
      </c>
      <c r="G190" s="27" t="s">
        <v>102</v>
      </c>
      <c r="H190" s="40" t="s">
        <v>102</v>
      </c>
      <c r="I190" s="27" t="s">
        <v>356</v>
      </c>
      <c r="J190" s="30" t="s">
        <v>336</v>
      </c>
      <c r="K190" s="30" t="s">
        <v>82</v>
      </c>
      <c r="L190" s="26" t="s">
        <v>82</v>
      </c>
      <c r="M190" s="27" t="s">
        <v>343</v>
      </c>
      <c r="N190" s="30" t="n">
        <v>31522</v>
      </c>
      <c r="O190" s="27" t="s">
        <v>344</v>
      </c>
      <c r="P190" s="26" t="n">
        <v>31522</v>
      </c>
      <c r="Q190" s="27" t="s">
        <v>876</v>
      </c>
      <c r="R190" s="27" t="s">
        <v>648</v>
      </c>
      <c r="S190" s="27" t="s">
        <v>345</v>
      </c>
      <c r="T190" s="27" t="s">
        <v>341</v>
      </c>
      <c r="U190" s="27" t="s">
        <v>877</v>
      </c>
    </row>
    <row r="191" customFormat="false" ht="19.5" hidden="false" customHeight="true" outlineLevel="0" collapsed="false">
      <c r="A191" s="19" t="n">
        <v>620</v>
      </c>
      <c r="B191" s="15" t="s">
        <v>1111</v>
      </c>
      <c r="C191" s="17" t="s">
        <v>1112</v>
      </c>
      <c r="D191" s="16" t="n">
        <v>1</v>
      </c>
      <c r="E191" s="17" t="s">
        <v>63</v>
      </c>
      <c r="F191" s="17" t="s">
        <v>63</v>
      </c>
      <c r="G191" s="15" t="s">
        <v>359</v>
      </c>
      <c r="H191" s="18" t="s">
        <v>359</v>
      </c>
      <c r="I191" s="15" t="s">
        <v>356</v>
      </c>
      <c r="J191" s="17" t="s">
        <v>336</v>
      </c>
      <c r="K191" s="17" t="s">
        <v>82</v>
      </c>
      <c r="L191" s="19" t="s">
        <v>82</v>
      </c>
      <c r="M191" s="15" t="s">
        <v>343</v>
      </c>
      <c r="N191" s="17" t="n">
        <v>28017</v>
      </c>
      <c r="O191" s="15" t="s">
        <v>344</v>
      </c>
      <c r="P191" s="19" t="n">
        <v>28017</v>
      </c>
      <c r="Q191" s="15" t="s">
        <v>680</v>
      </c>
      <c r="R191" s="15" t="s">
        <v>648</v>
      </c>
      <c r="S191" s="15" t="s">
        <v>345</v>
      </c>
      <c r="T191" s="15" t="s">
        <v>341</v>
      </c>
      <c r="U191" s="15" t="s">
        <v>681</v>
      </c>
    </row>
    <row r="192" customFormat="false" ht="19.5" hidden="false" customHeight="true" outlineLevel="0" collapsed="false">
      <c r="A192" s="26" t="n">
        <v>621</v>
      </c>
      <c r="B192" s="27" t="s">
        <v>1113</v>
      </c>
      <c r="C192" s="30" t="s">
        <v>272</v>
      </c>
      <c r="D192" s="39" t="n">
        <v>5</v>
      </c>
      <c r="E192" s="30" t="s">
        <v>63</v>
      </c>
      <c r="F192" s="30" t="s">
        <v>63</v>
      </c>
      <c r="G192" s="27" t="s">
        <v>484</v>
      </c>
      <c r="H192" s="40" t="s">
        <v>484</v>
      </c>
      <c r="I192" s="27" t="s">
        <v>342</v>
      </c>
      <c r="J192" s="30" t="s">
        <v>336</v>
      </c>
      <c r="K192" s="30" t="s">
        <v>111</v>
      </c>
      <c r="L192" s="26" t="s">
        <v>111</v>
      </c>
      <c r="M192" s="27" t="s">
        <v>343</v>
      </c>
      <c r="N192" s="30" t="n">
        <v>12222</v>
      </c>
      <c r="O192" s="27" t="s">
        <v>344</v>
      </c>
      <c r="P192" s="26" t="n">
        <v>12222</v>
      </c>
      <c r="Q192" s="27" t="s">
        <v>1114</v>
      </c>
      <c r="R192" s="27" t="s">
        <v>648</v>
      </c>
      <c r="S192" s="27" t="s">
        <v>345</v>
      </c>
      <c r="T192" s="27" t="s">
        <v>341</v>
      </c>
      <c r="U192" s="27" t="s">
        <v>1115</v>
      </c>
    </row>
    <row r="193" customFormat="false" ht="19.5" hidden="false" customHeight="true" outlineLevel="0" collapsed="false">
      <c r="A193" s="19" t="n">
        <v>622</v>
      </c>
      <c r="B193" s="15" t="s">
        <v>1116</v>
      </c>
      <c r="C193" s="17" t="s">
        <v>866</v>
      </c>
      <c r="D193" s="16" t="n">
        <v>1</v>
      </c>
      <c r="E193" s="17" t="s">
        <v>39</v>
      </c>
      <c r="F193" s="17" t="s">
        <v>39</v>
      </c>
      <c r="G193" s="15" t="s">
        <v>580</v>
      </c>
      <c r="H193" s="18" t="s">
        <v>580</v>
      </c>
      <c r="I193" s="15" t="s">
        <v>342</v>
      </c>
      <c r="J193" s="17" t="s">
        <v>336</v>
      </c>
      <c r="K193" s="17" t="s">
        <v>41</v>
      </c>
      <c r="L193" s="19" t="s">
        <v>41</v>
      </c>
      <c r="M193" s="15" t="s">
        <v>343</v>
      </c>
      <c r="N193" s="17" t="n">
        <v>19623</v>
      </c>
      <c r="O193" s="15" t="s">
        <v>344</v>
      </c>
      <c r="P193" s="19" t="n">
        <v>19623</v>
      </c>
      <c r="Q193" s="15" t="s">
        <v>1117</v>
      </c>
      <c r="R193" s="15" t="s">
        <v>648</v>
      </c>
      <c r="S193" s="15" t="s">
        <v>345</v>
      </c>
      <c r="T193" s="15" t="s">
        <v>341</v>
      </c>
      <c r="U193" s="15" t="s">
        <v>1118</v>
      </c>
    </row>
    <row r="194" customFormat="false" ht="19.5" hidden="false" customHeight="true" outlineLevel="0" collapsed="false">
      <c r="A194" s="26" t="n">
        <v>623</v>
      </c>
      <c r="B194" s="27" t="s">
        <v>1119</v>
      </c>
      <c r="C194" s="30" t="s">
        <v>263</v>
      </c>
      <c r="D194" s="39" t="n">
        <v>20</v>
      </c>
      <c r="E194" s="30" t="s">
        <v>39</v>
      </c>
      <c r="F194" s="30" t="s">
        <v>39</v>
      </c>
      <c r="G194" s="27" t="s">
        <v>580</v>
      </c>
      <c r="H194" s="40" t="s">
        <v>580</v>
      </c>
      <c r="I194" s="27" t="s">
        <v>342</v>
      </c>
      <c r="J194" s="30" t="s">
        <v>336</v>
      </c>
      <c r="K194" s="30" t="s">
        <v>41</v>
      </c>
      <c r="L194" s="26" t="s">
        <v>41</v>
      </c>
      <c r="M194" s="27" t="s">
        <v>343</v>
      </c>
      <c r="N194" s="30" t="n">
        <v>19623</v>
      </c>
      <c r="O194" s="27" t="s">
        <v>344</v>
      </c>
      <c r="P194" s="26" t="n">
        <v>19623</v>
      </c>
      <c r="Q194" s="27" t="s">
        <v>1117</v>
      </c>
      <c r="R194" s="27" t="s">
        <v>648</v>
      </c>
      <c r="S194" s="27" t="s">
        <v>345</v>
      </c>
      <c r="T194" s="27" t="s">
        <v>341</v>
      </c>
      <c r="U194" s="27" t="s">
        <v>1118</v>
      </c>
    </row>
    <row r="195" customFormat="false" ht="19.5" hidden="false" customHeight="true" outlineLevel="0" collapsed="false">
      <c r="A195" s="19" t="n">
        <v>624</v>
      </c>
      <c r="B195" s="15" t="s">
        <v>268</v>
      </c>
      <c r="C195" s="17" t="s">
        <v>260</v>
      </c>
      <c r="D195" s="16" t="n">
        <v>5</v>
      </c>
      <c r="E195" s="17" t="s">
        <v>39</v>
      </c>
      <c r="F195" s="17" t="s">
        <v>39</v>
      </c>
      <c r="G195" s="15" t="s">
        <v>269</v>
      </c>
      <c r="H195" s="18" t="s">
        <v>269</v>
      </c>
      <c r="I195" s="15" t="s">
        <v>356</v>
      </c>
      <c r="J195" s="17" t="s">
        <v>360</v>
      </c>
      <c r="K195" s="17" t="s">
        <v>82</v>
      </c>
      <c r="L195" s="19" t="s">
        <v>48</v>
      </c>
      <c r="M195" s="15" t="s">
        <v>361</v>
      </c>
      <c r="N195" s="17" t="n">
        <v>31422</v>
      </c>
      <c r="O195" s="15" t="s">
        <v>344</v>
      </c>
      <c r="P195" s="19" t="n">
        <v>31422</v>
      </c>
      <c r="Q195" s="15" t="s">
        <v>1120</v>
      </c>
      <c r="R195" s="15" t="s">
        <v>648</v>
      </c>
      <c r="S195" s="15" t="s">
        <v>345</v>
      </c>
      <c r="T195" s="15" t="s">
        <v>341</v>
      </c>
      <c r="U195" s="15" t="s">
        <v>1121</v>
      </c>
    </row>
    <row r="196" customFormat="false" ht="19.5" hidden="false" customHeight="true" outlineLevel="0" collapsed="false">
      <c r="A196" s="26" t="n">
        <v>824</v>
      </c>
      <c r="B196" s="27" t="s">
        <v>1122</v>
      </c>
      <c r="C196" s="30" t="s">
        <v>263</v>
      </c>
      <c r="D196" s="39" t="n">
        <v>20</v>
      </c>
      <c r="E196" s="30" t="s">
        <v>39</v>
      </c>
      <c r="F196" s="30" t="s">
        <v>39</v>
      </c>
      <c r="G196" s="27" t="s">
        <v>504</v>
      </c>
      <c r="H196" s="40" t="s">
        <v>504</v>
      </c>
      <c r="I196" s="27" t="s">
        <v>342</v>
      </c>
      <c r="J196" s="30" t="s">
        <v>336</v>
      </c>
      <c r="K196" s="30" t="s">
        <v>136</v>
      </c>
      <c r="L196" s="26" t="s">
        <v>136</v>
      </c>
      <c r="M196" s="27" t="s">
        <v>343</v>
      </c>
      <c r="N196" s="30" t="n">
        <v>10317</v>
      </c>
      <c r="O196" s="27" t="s">
        <v>344</v>
      </c>
      <c r="P196" s="26" t="n">
        <v>10317</v>
      </c>
      <c r="Q196" s="27" t="s">
        <v>1123</v>
      </c>
      <c r="R196" s="27" t="s">
        <v>648</v>
      </c>
      <c r="S196" s="27" t="s">
        <v>345</v>
      </c>
      <c r="T196" s="27" t="s">
        <v>341</v>
      </c>
      <c r="U196" s="27" t="s">
        <v>1124</v>
      </c>
    </row>
    <row r="197" customFormat="false" ht="19.5" hidden="false" customHeight="true" outlineLevel="0" collapsed="false">
      <c r="A197" s="19" t="n">
        <v>825</v>
      </c>
      <c r="B197" s="15" t="s">
        <v>860</v>
      </c>
      <c r="C197" s="17" t="s">
        <v>751</v>
      </c>
      <c r="D197" s="16" t="n">
        <v>25</v>
      </c>
      <c r="E197" s="17" t="s">
        <v>63</v>
      </c>
      <c r="F197" s="17" t="s">
        <v>63</v>
      </c>
      <c r="G197" s="15" t="s">
        <v>532</v>
      </c>
      <c r="H197" s="18" t="s">
        <v>532</v>
      </c>
      <c r="I197" s="15" t="s">
        <v>379</v>
      </c>
      <c r="J197" s="17" t="s">
        <v>336</v>
      </c>
      <c r="K197" s="17" t="s">
        <v>530</v>
      </c>
      <c r="L197" s="19" t="s">
        <v>530</v>
      </c>
      <c r="M197" s="15" t="s">
        <v>343</v>
      </c>
      <c r="N197" s="17" t="n">
        <v>6313</v>
      </c>
      <c r="O197" s="15" t="s">
        <v>344</v>
      </c>
      <c r="P197" s="19" t="n">
        <v>6313</v>
      </c>
      <c r="Q197" s="15" t="s">
        <v>861</v>
      </c>
      <c r="R197" s="15" t="s">
        <v>648</v>
      </c>
      <c r="S197" s="15" t="s">
        <v>345</v>
      </c>
      <c r="T197" s="15" t="s">
        <v>341</v>
      </c>
      <c r="U197" s="15" t="s">
        <v>862</v>
      </c>
    </row>
    <row r="198" customFormat="false" ht="19.5" hidden="false" customHeight="true" outlineLevel="0" collapsed="false">
      <c r="A198" s="26" t="n">
        <v>826</v>
      </c>
      <c r="B198" s="27" t="s">
        <v>1125</v>
      </c>
      <c r="C198" s="30" t="s">
        <v>260</v>
      </c>
      <c r="D198" s="39" t="n">
        <v>5</v>
      </c>
      <c r="E198" s="30" t="s">
        <v>39</v>
      </c>
      <c r="F198" s="30" t="s">
        <v>39</v>
      </c>
      <c r="G198" s="27" t="s">
        <v>445</v>
      </c>
      <c r="H198" s="40" t="s">
        <v>445</v>
      </c>
      <c r="I198" s="27" t="s">
        <v>379</v>
      </c>
      <c r="J198" s="30" t="s">
        <v>336</v>
      </c>
      <c r="K198" s="30" t="s">
        <v>140</v>
      </c>
      <c r="L198" s="26" t="s">
        <v>140</v>
      </c>
      <c r="M198" s="27" t="s">
        <v>343</v>
      </c>
      <c r="N198" s="30" t="n">
        <v>15716</v>
      </c>
      <c r="O198" s="27" t="s">
        <v>344</v>
      </c>
      <c r="P198" s="26" t="n">
        <v>15716</v>
      </c>
      <c r="Q198" s="27" t="s">
        <v>777</v>
      </c>
      <c r="R198" s="27" t="s">
        <v>648</v>
      </c>
      <c r="S198" s="27" t="s">
        <v>345</v>
      </c>
      <c r="T198" s="27" t="s">
        <v>341</v>
      </c>
      <c r="U198" s="27" t="s">
        <v>778</v>
      </c>
    </row>
    <row r="199" customFormat="false" ht="19.5" hidden="false" customHeight="true" outlineLevel="0" collapsed="false">
      <c r="A199" s="19" t="n">
        <v>828</v>
      </c>
      <c r="B199" s="15" t="s">
        <v>1126</v>
      </c>
      <c r="C199" s="17" t="s">
        <v>1050</v>
      </c>
      <c r="D199" s="16" t="n">
        <v>1.8</v>
      </c>
      <c r="E199" s="17" t="s">
        <v>39</v>
      </c>
      <c r="F199" s="17" t="s">
        <v>39</v>
      </c>
      <c r="G199" s="15" t="s">
        <v>394</v>
      </c>
      <c r="H199" s="18" t="s">
        <v>394</v>
      </c>
      <c r="I199" s="15" t="s">
        <v>376</v>
      </c>
      <c r="J199" s="17" t="s">
        <v>336</v>
      </c>
      <c r="K199" s="17" t="s">
        <v>106</v>
      </c>
      <c r="L199" s="19" t="s">
        <v>106</v>
      </c>
      <c r="M199" s="15" t="s">
        <v>377</v>
      </c>
      <c r="N199" s="17" t="n">
        <v>0</v>
      </c>
      <c r="O199" s="15" t="s">
        <v>339</v>
      </c>
      <c r="P199" s="19" t="s">
        <v>690</v>
      </c>
      <c r="Q199" s="15" t="s">
        <v>691</v>
      </c>
      <c r="R199" s="15" t="s">
        <v>692</v>
      </c>
      <c r="S199" s="15" t="s">
        <v>345</v>
      </c>
      <c r="T199" s="15" t="s">
        <v>341</v>
      </c>
      <c r="U199" s="15" t="s">
        <v>841</v>
      </c>
    </row>
    <row r="200" customFormat="false" ht="19.5" hidden="false" customHeight="true" outlineLevel="0" collapsed="false">
      <c r="A200" s="26" t="n">
        <v>1062</v>
      </c>
      <c r="B200" s="27" t="s">
        <v>1127</v>
      </c>
      <c r="C200" s="30" t="s">
        <v>260</v>
      </c>
      <c r="D200" s="39" t="n">
        <v>5</v>
      </c>
      <c r="E200" s="30" t="s">
        <v>39</v>
      </c>
      <c r="F200" s="30" t="s">
        <v>39</v>
      </c>
      <c r="G200" s="27" t="s">
        <v>430</v>
      </c>
      <c r="H200" s="40" t="s">
        <v>430</v>
      </c>
      <c r="I200" s="27" t="s">
        <v>356</v>
      </c>
      <c r="J200" s="30" t="s">
        <v>336</v>
      </c>
      <c r="K200" s="30" t="s">
        <v>82</v>
      </c>
      <c r="L200" s="26" t="s">
        <v>82</v>
      </c>
      <c r="M200" s="27" t="s">
        <v>343</v>
      </c>
      <c r="N200" s="30" t="n">
        <v>12812</v>
      </c>
      <c r="O200" s="27" t="s">
        <v>344</v>
      </c>
      <c r="P200" s="26" t="n">
        <v>12812</v>
      </c>
      <c r="Q200" s="27" t="s">
        <v>1128</v>
      </c>
      <c r="R200" s="27" t="s">
        <v>648</v>
      </c>
      <c r="S200" s="27" t="s">
        <v>345</v>
      </c>
      <c r="T200" s="27" t="s">
        <v>341</v>
      </c>
      <c r="U200" s="27" t="s">
        <v>1129</v>
      </c>
    </row>
    <row r="201" customFormat="false" ht="19.5" hidden="false" customHeight="true" outlineLevel="0" collapsed="false">
      <c r="A201" s="19" t="n">
        <v>1063</v>
      </c>
      <c r="B201" s="15" t="s">
        <v>1130</v>
      </c>
      <c r="C201" s="17" t="s">
        <v>260</v>
      </c>
      <c r="D201" s="16" t="n">
        <v>5</v>
      </c>
      <c r="E201" s="17" t="s">
        <v>39</v>
      </c>
      <c r="F201" s="17" t="s">
        <v>39</v>
      </c>
      <c r="G201" s="15" t="s">
        <v>483</v>
      </c>
      <c r="H201" s="18" t="s">
        <v>483</v>
      </c>
      <c r="I201" s="15" t="s">
        <v>342</v>
      </c>
      <c r="J201" s="17" t="s">
        <v>336</v>
      </c>
      <c r="K201" s="17" t="s">
        <v>111</v>
      </c>
      <c r="L201" s="19" t="s">
        <v>111</v>
      </c>
      <c r="M201" s="15" t="s">
        <v>343</v>
      </c>
      <c r="N201" s="17" t="n">
        <v>22417</v>
      </c>
      <c r="O201" s="15" t="s">
        <v>344</v>
      </c>
      <c r="P201" s="19" t="n">
        <v>22417</v>
      </c>
      <c r="Q201" s="15" t="s">
        <v>1131</v>
      </c>
      <c r="R201" s="15" t="s">
        <v>648</v>
      </c>
      <c r="S201" s="15" t="s">
        <v>345</v>
      </c>
      <c r="T201" s="15" t="s">
        <v>341</v>
      </c>
      <c r="U201" s="15" t="s">
        <v>1132</v>
      </c>
    </row>
    <row r="202" customFormat="false" ht="19.5" hidden="false" customHeight="true" outlineLevel="0" collapsed="false">
      <c r="A202" s="26" t="n">
        <v>1283</v>
      </c>
      <c r="B202" s="27" t="s">
        <v>1133</v>
      </c>
      <c r="C202" s="30" t="s">
        <v>812</v>
      </c>
      <c r="D202" s="39" t="n">
        <v>20</v>
      </c>
      <c r="E202" s="30" t="s">
        <v>63</v>
      </c>
      <c r="F202" s="30" t="s">
        <v>63</v>
      </c>
      <c r="G202" s="27" t="s">
        <v>505</v>
      </c>
      <c r="H202" s="40" t="s">
        <v>505</v>
      </c>
      <c r="I202" s="27" t="s">
        <v>342</v>
      </c>
      <c r="J202" s="30" t="s">
        <v>336</v>
      </c>
      <c r="K202" s="30" t="s">
        <v>136</v>
      </c>
      <c r="L202" s="26" t="s">
        <v>136</v>
      </c>
      <c r="M202" s="27" t="s">
        <v>343</v>
      </c>
      <c r="N202" s="30" t="n">
        <v>28520</v>
      </c>
      <c r="O202" s="27" t="s">
        <v>344</v>
      </c>
      <c r="P202" s="26" t="n">
        <v>28520</v>
      </c>
      <c r="Q202" s="27" t="s">
        <v>809</v>
      </c>
      <c r="R202" s="27" t="s">
        <v>648</v>
      </c>
      <c r="S202" s="27" t="s">
        <v>345</v>
      </c>
      <c r="T202" s="27" t="s">
        <v>341</v>
      </c>
      <c r="U202" s="27" t="s">
        <v>810</v>
      </c>
    </row>
    <row r="203" customFormat="false" ht="19.5" hidden="false" customHeight="true" outlineLevel="0" collapsed="false">
      <c r="A203" s="19" t="n">
        <v>1304</v>
      </c>
      <c r="B203" s="15" t="s">
        <v>1134</v>
      </c>
      <c r="C203" s="17" t="s">
        <v>272</v>
      </c>
      <c r="D203" s="16" t="n">
        <v>5</v>
      </c>
      <c r="E203" s="17" t="s">
        <v>63</v>
      </c>
      <c r="F203" s="17" t="s">
        <v>63</v>
      </c>
      <c r="G203" s="15" t="s">
        <v>539</v>
      </c>
      <c r="H203" s="18" t="s">
        <v>539</v>
      </c>
      <c r="I203" s="15" t="s">
        <v>382</v>
      </c>
      <c r="J203" s="17" t="s">
        <v>336</v>
      </c>
      <c r="K203" s="17" t="s">
        <v>159</v>
      </c>
      <c r="L203" s="19" t="s">
        <v>159</v>
      </c>
      <c r="M203" s="15" t="s">
        <v>349</v>
      </c>
      <c r="N203" s="17" t="n">
        <v>0</v>
      </c>
      <c r="O203" s="15" t="s">
        <v>339</v>
      </c>
      <c r="P203" s="19" t="s">
        <v>690</v>
      </c>
      <c r="Q203" s="15" t="s">
        <v>691</v>
      </c>
      <c r="R203" s="15" t="s">
        <v>692</v>
      </c>
      <c r="S203" s="15" t="s">
        <v>345</v>
      </c>
      <c r="T203" s="15" t="s">
        <v>341</v>
      </c>
      <c r="U203" s="15" t="s">
        <v>693</v>
      </c>
    </row>
    <row r="204" customFormat="false" ht="19.5" hidden="false" customHeight="true" outlineLevel="0" collapsed="false">
      <c r="A204" s="26" t="n">
        <v>1341</v>
      </c>
      <c r="B204" s="27" t="s">
        <v>1135</v>
      </c>
      <c r="C204" s="30" t="s">
        <v>812</v>
      </c>
      <c r="D204" s="39" t="n">
        <v>20</v>
      </c>
      <c r="E204" s="30" t="s">
        <v>63</v>
      </c>
      <c r="F204" s="30" t="s">
        <v>63</v>
      </c>
      <c r="G204" s="27" t="s">
        <v>505</v>
      </c>
      <c r="H204" s="40" t="s">
        <v>505</v>
      </c>
      <c r="I204" s="27" t="s">
        <v>342</v>
      </c>
      <c r="J204" s="30" t="s">
        <v>336</v>
      </c>
      <c r="K204" s="30" t="s">
        <v>136</v>
      </c>
      <c r="L204" s="26" t="s">
        <v>136</v>
      </c>
      <c r="M204" s="27" t="s">
        <v>343</v>
      </c>
      <c r="N204" s="30" t="n">
        <v>25119</v>
      </c>
      <c r="O204" s="27" t="s">
        <v>344</v>
      </c>
      <c r="P204" s="26" t="n">
        <v>25119</v>
      </c>
      <c r="Q204" s="27" t="s">
        <v>803</v>
      </c>
      <c r="R204" s="27" t="s">
        <v>648</v>
      </c>
      <c r="S204" s="27" t="s">
        <v>345</v>
      </c>
      <c r="T204" s="27" t="s">
        <v>341</v>
      </c>
      <c r="U204" s="27" t="s">
        <v>804</v>
      </c>
    </row>
    <row r="205" customFormat="false" ht="19.5" hidden="false" customHeight="true" outlineLevel="0" collapsed="false">
      <c r="A205" s="19" t="n">
        <v>1402</v>
      </c>
      <c r="B205" s="15" t="s">
        <v>1136</v>
      </c>
      <c r="C205" s="17" t="s">
        <v>763</v>
      </c>
      <c r="D205" s="16" t="n">
        <v>10</v>
      </c>
      <c r="E205" s="17" t="s">
        <v>39</v>
      </c>
      <c r="F205" s="17" t="s">
        <v>39</v>
      </c>
      <c r="G205" s="15" t="s">
        <v>529</v>
      </c>
      <c r="H205" s="18" t="s">
        <v>529</v>
      </c>
      <c r="I205" s="15" t="s">
        <v>379</v>
      </c>
      <c r="J205" s="17" t="s">
        <v>336</v>
      </c>
      <c r="K205" s="17" t="s">
        <v>530</v>
      </c>
      <c r="L205" s="19" t="s">
        <v>530</v>
      </c>
      <c r="M205" s="15" t="s">
        <v>343</v>
      </c>
      <c r="N205" s="17" t="n">
        <v>28923</v>
      </c>
      <c r="O205" s="15" t="s">
        <v>344</v>
      </c>
      <c r="P205" s="19" t="n">
        <v>28923</v>
      </c>
      <c r="Q205" s="15" t="s">
        <v>1137</v>
      </c>
      <c r="R205" s="15" t="s">
        <v>648</v>
      </c>
      <c r="S205" s="15" t="s">
        <v>345</v>
      </c>
      <c r="T205" s="15" t="s">
        <v>341</v>
      </c>
      <c r="U205" s="15" t="s">
        <v>1138</v>
      </c>
    </row>
    <row r="206" customFormat="false" ht="19.5" hidden="false" customHeight="true" outlineLevel="0" collapsed="false">
      <c r="A206" s="26" t="n">
        <v>1419</v>
      </c>
      <c r="B206" s="27" t="s">
        <v>1139</v>
      </c>
      <c r="C206" s="30" t="s">
        <v>1140</v>
      </c>
      <c r="D206" s="39" t="n">
        <v>1000</v>
      </c>
      <c r="E206" s="30" t="s">
        <v>63</v>
      </c>
      <c r="F206" s="30" t="s">
        <v>63</v>
      </c>
      <c r="G206" s="27" t="s">
        <v>575</v>
      </c>
      <c r="H206" s="40" t="s">
        <v>575</v>
      </c>
      <c r="I206" s="27" t="s">
        <v>397</v>
      </c>
      <c r="J206" s="30" t="s">
        <v>336</v>
      </c>
      <c r="K206" s="30" t="s">
        <v>576</v>
      </c>
      <c r="L206" s="26" t="s">
        <v>576</v>
      </c>
      <c r="M206" s="27" t="s">
        <v>368</v>
      </c>
      <c r="N206" s="30" t="n">
        <v>0</v>
      </c>
      <c r="O206" s="27" t="s">
        <v>339</v>
      </c>
      <c r="P206" s="26" t="s">
        <v>690</v>
      </c>
      <c r="Q206" s="27" t="s">
        <v>691</v>
      </c>
      <c r="R206" s="27" t="s">
        <v>692</v>
      </c>
      <c r="S206" s="27" t="s">
        <v>340</v>
      </c>
      <c r="T206" s="27" t="s">
        <v>341</v>
      </c>
      <c r="U206" s="27" t="s">
        <v>1141</v>
      </c>
    </row>
    <row r="207" customFormat="false" ht="19.5" hidden="false" customHeight="true" outlineLevel="0" collapsed="false">
      <c r="A207" s="19" t="n">
        <v>1427</v>
      </c>
      <c r="B207" s="15" t="s">
        <v>1142</v>
      </c>
      <c r="C207" s="17" t="s">
        <v>1143</v>
      </c>
      <c r="D207" s="16" t="n">
        <v>1</v>
      </c>
      <c r="E207" s="17" t="s">
        <v>39</v>
      </c>
      <c r="F207" s="17" t="s">
        <v>39</v>
      </c>
      <c r="G207" s="15" t="s">
        <v>461</v>
      </c>
      <c r="H207" s="18" t="s">
        <v>461</v>
      </c>
      <c r="I207" s="15" t="s">
        <v>462</v>
      </c>
      <c r="J207" s="17" t="s">
        <v>336</v>
      </c>
      <c r="K207" s="17" t="s">
        <v>463</v>
      </c>
      <c r="L207" s="19" t="s">
        <v>463</v>
      </c>
      <c r="M207" s="15" t="s">
        <v>343</v>
      </c>
      <c r="N207" s="17" t="n">
        <v>15407</v>
      </c>
      <c r="O207" s="15" t="s">
        <v>344</v>
      </c>
      <c r="P207" s="19" t="n">
        <v>15407</v>
      </c>
      <c r="Q207" s="15" t="s">
        <v>1144</v>
      </c>
      <c r="R207" s="15" t="s">
        <v>648</v>
      </c>
      <c r="S207" s="15" t="s">
        <v>345</v>
      </c>
      <c r="T207" s="15" t="s">
        <v>341</v>
      </c>
      <c r="U207" s="15" t="s">
        <v>1145</v>
      </c>
    </row>
    <row r="208" customFormat="false" ht="19.5" hidden="false" customHeight="true" outlineLevel="0" collapsed="false">
      <c r="A208" s="26" t="n">
        <v>1428</v>
      </c>
      <c r="B208" s="27" t="s">
        <v>1146</v>
      </c>
      <c r="C208" s="30" t="s">
        <v>263</v>
      </c>
      <c r="D208" s="39" t="n">
        <v>20</v>
      </c>
      <c r="E208" s="30" t="s">
        <v>39</v>
      </c>
      <c r="F208" s="30" t="s">
        <v>39</v>
      </c>
      <c r="G208" s="27" t="s">
        <v>378</v>
      </c>
      <c r="H208" s="40" t="s">
        <v>378</v>
      </c>
      <c r="I208" s="27" t="s">
        <v>379</v>
      </c>
      <c r="J208" s="30" t="s">
        <v>336</v>
      </c>
      <c r="K208" s="30" t="s">
        <v>140</v>
      </c>
      <c r="L208" s="26" t="s">
        <v>140</v>
      </c>
      <c r="M208" s="27" t="s">
        <v>343</v>
      </c>
      <c r="N208" s="30" t="n">
        <v>9420</v>
      </c>
      <c r="O208" s="27" t="s">
        <v>344</v>
      </c>
      <c r="P208" s="26" t="n">
        <v>9420</v>
      </c>
      <c r="Q208" s="27" t="s">
        <v>1024</v>
      </c>
      <c r="R208" s="27" t="s">
        <v>648</v>
      </c>
      <c r="S208" s="27" t="s">
        <v>345</v>
      </c>
      <c r="T208" s="27" t="s">
        <v>341</v>
      </c>
      <c r="U208" s="27" t="s">
        <v>1025</v>
      </c>
    </row>
    <row r="209" customFormat="false" ht="19.5" hidden="false" customHeight="true" outlineLevel="0" collapsed="false">
      <c r="A209" s="19" t="n">
        <v>1429</v>
      </c>
      <c r="B209" s="15" t="s">
        <v>1147</v>
      </c>
      <c r="C209" s="17" t="s">
        <v>812</v>
      </c>
      <c r="D209" s="16" t="n">
        <v>20</v>
      </c>
      <c r="E209" s="17" t="s">
        <v>63</v>
      </c>
      <c r="F209" s="17" t="s">
        <v>63</v>
      </c>
      <c r="G209" s="15" t="s">
        <v>365</v>
      </c>
      <c r="H209" s="18" t="s">
        <v>365</v>
      </c>
      <c r="I209" s="15" t="s">
        <v>356</v>
      </c>
      <c r="J209" s="17" t="s">
        <v>336</v>
      </c>
      <c r="K209" s="17" t="s">
        <v>82</v>
      </c>
      <c r="L209" s="19" t="s">
        <v>82</v>
      </c>
      <c r="M209" s="15" t="s">
        <v>343</v>
      </c>
      <c r="N209" s="17" t="n">
        <v>27323</v>
      </c>
      <c r="O209" s="15" t="s">
        <v>344</v>
      </c>
      <c r="P209" s="19" t="n">
        <v>27323</v>
      </c>
      <c r="Q209" s="15" t="s">
        <v>1148</v>
      </c>
      <c r="R209" s="15" t="s">
        <v>648</v>
      </c>
      <c r="S209" s="15" t="s">
        <v>345</v>
      </c>
      <c r="T209" s="15" t="s">
        <v>341</v>
      </c>
      <c r="U209" s="15" t="s">
        <v>1149</v>
      </c>
    </row>
    <row r="210" customFormat="false" ht="19.5" hidden="false" customHeight="true" outlineLevel="0" collapsed="false">
      <c r="A210" s="26" t="n">
        <v>1431</v>
      </c>
      <c r="B210" s="27" t="s">
        <v>1150</v>
      </c>
      <c r="C210" s="30" t="s">
        <v>260</v>
      </c>
      <c r="D210" s="39" t="n">
        <v>5</v>
      </c>
      <c r="E210" s="30" t="s">
        <v>39</v>
      </c>
      <c r="F210" s="30" t="s">
        <v>39</v>
      </c>
      <c r="G210" s="27" t="s">
        <v>443</v>
      </c>
      <c r="H210" s="40" t="s">
        <v>443</v>
      </c>
      <c r="I210" s="27" t="s">
        <v>355</v>
      </c>
      <c r="J210" s="30" t="s">
        <v>336</v>
      </c>
      <c r="K210" s="30" t="s">
        <v>82</v>
      </c>
      <c r="L210" s="26" t="s">
        <v>82</v>
      </c>
      <c r="M210" s="27" t="s">
        <v>343</v>
      </c>
      <c r="N210" s="30" t="n">
        <v>43818</v>
      </c>
      <c r="O210" s="27" t="s">
        <v>344</v>
      </c>
      <c r="P210" s="26" t="n">
        <v>43818</v>
      </c>
      <c r="Q210" s="27" t="s">
        <v>1151</v>
      </c>
      <c r="R210" s="27" t="s">
        <v>648</v>
      </c>
      <c r="S210" s="27" t="s">
        <v>345</v>
      </c>
      <c r="T210" s="27" t="s">
        <v>341</v>
      </c>
      <c r="U210" s="27" t="s">
        <v>1152</v>
      </c>
    </row>
    <row r="211" customFormat="false" ht="19.5" hidden="false" customHeight="true" outlineLevel="0" collapsed="false">
      <c r="A211" s="19" t="n">
        <v>1432</v>
      </c>
      <c r="B211" s="15" t="s">
        <v>1153</v>
      </c>
      <c r="C211" s="17" t="s">
        <v>263</v>
      </c>
      <c r="D211" s="16" t="n">
        <v>20</v>
      </c>
      <c r="E211" s="17" t="s">
        <v>39</v>
      </c>
      <c r="F211" s="17" t="s">
        <v>39</v>
      </c>
      <c r="G211" s="15" t="s">
        <v>534</v>
      </c>
      <c r="H211" s="18" t="s">
        <v>534</v>
      </c>
      <c r="I211" s="15" t="s">
        <v>342</v>
      </c>
      <c r="J211" s="17" t="s">
        <v>336</v>
      </c>
      <c r="K211" s="17" t="s">
        <v>111</v>
      </c>
      <c r="L211" s="19" t="s">
        <v>111</v>
      </c>
      <c r="M211" s="15" t="s">
        <v>343</v>
      </c>
      <c r="N211" s="17" t="n">
        <v>26017</v>
      </c>
      <c r="O211" s="15" t="s">
        <v>344</v>
      </c>
      <c r="P211" s="19" t="n">
        <v>26017</v>
      </c>
      <c r="Q211" s="15" t="s">
        <v>1154</v>
      </c>
      <c r="R211" s="15" t="s">
        <v>648</v>
      </c>
      <c r="S211" s="15" t="s">
        <v>345</v>
      </c>
      <c r="T211" s="15" t="s">
        <v>341</v>
      </c>
      <c r="U211" s="15" t="s">
        <v>1155</v>
      </c>
    </row>
    <row r="212" customFormat="false" ht="19.5" hidden="false" customHeight="true" outlineLevel="0" collapsed="false">
      <c r="A212" s="26" t="n">
        <v>1433</v>
      </c>
      <c r="B212" s="27" t="s">
        <v>1156</v>
      </c>
      <c r="C212" s="30" t="s">
        <v>260</v>
      </c>
      <c r="D212" s="39" t="n">
        <v>5</v>
      </c>
      <c r="E212" s="30" t="s">
        <v>39</v>
      </c>
      <c r="F212" s="30" t="s">
        <v>39</v>
      </c>
      <c r="G212" s="27" t="s">
        <v>483</v>
      </c>
      <c r="H212" s="40" t="s">
        <v>483</v>
      </c>
      <c r="I212" s="27" t="s">
        <v>342</v>
      </c>
      <c r="J212" s="30" t="s">
        <v>336</v>
      </c>
      <c r="K212" s="30" t="s">
        <v>111</v>
      </c>
      <c r="L212" s="26" t="s">
        <v>111</v>
      </c>
      <c r="M212" s="27" t="s">
        <v>343</v>
      </c>
      <c r="N212" s="30" t="n">
        <v>9823</v>
      </c>
      <c r="O212" s="27" t="s">
        <v>344</v>
      </c>
      <c r="P212" s="26" t="n">
        <v>9823</v>
      </c>
      <c r="Q212" s="27" t="s">
        <v>1157</v>
      </c>
      <c r="R212" s="27" t="s">
        <v>648</v>
      </c>
      <c r="S212" s="27" t="s">
        <v>345</v>
      </c>
      <c r="T212" s="27" t="s">
        <v>341</v>
      </c>
      <c r="U212" s="27" t="s">
        <v>1158</v>
      </c>
    </row>
    <row r="213" customFormat="false" ht="19.5" hidden="false" customHeight="true" outlineLevel="0" collapsed="false">
      <c r="A213" s="19" t="n">
        <v>1490</v>
      </c>
      <c r="B213" s="15" t="s">
        <v>1159</v>
      </c>
      <c r="C213" s="17" t="s">
        <v>751</v>
      </c>
      <c r="D213" s="16" t="n">
        <v>25</v>
      </c>
      <c r="E213" s="17" t="s">
        <v>63</v>
      </c>
      <c r="F213" s="17" t="s">
        <v>63</v>
      </c>
      <c r="G213" s="15" t="s">
        <v>541</v>
      </c>
      <c r="H213" s="18" t="s">
        <v>541</v>
      </c>
      <c r="I213" s="15" t="s">
        <v>542</v>
      </c>
      <c r="J213" s="17" t="s">
        <v>336</v>
      </c>
      <c r="K213" s="17" t="s">
        <v>543</v>
      </c>
      <c r="L213" s="19" t="s">
        <v>543</v>
      </c>
      <c r="M213" s="15" t="s">
        <v>349</v>
      </c>
      <c r="N213" s="17" t="n">
        <v>0</v>
      </c>
      <c r="O213" s="15" t="s">
        <v>339</v>
      </c>
      <c r="P213" s="19" t="s">
        <v>690</v>
      </c>
      <c r="Q213" s="15" t="s">
        <v>691</v>
      </c>
      <c r="R213" s="15" t="s">
        <v>692</v>
      </c>
      <c r="S213" s="15" t="s">
        <v>345</v>
      </c>
      <c r="T213" s="15" t="s">
        <v>341</v>
      </c>
      <c r="U213" s="15" t="s">
        <v>693</v>
      </c>
    </row>
    <row r="214" customFormat="false" ht="19.5" hidden="false" customHeight="true" outlineLevel="0" collapsed="false">
      <c r="A214" s="26" t="n">
        <v>1491</v>
      </c>
      <c r="B214" s="27" t="s">
        <v>1160</v>
      </c>
      <c r="C214" s="30" t="s">
        <v>1161</v>
      </c>
      <c r="D214" s="39" t="n">
        <v>1000</v>
      </c>
      <c r="E214" s="30" t="s">
        <v>63</v>
      </c>
      <c r="F214" s="30" t="s">
        <v>63</v>
      </c>
      <c r="G214" s="27" t="s">
        <v>400</v>
      </c>
      <c r="H214" s="40" t="s">
        <v>400</v>
      </c>
      <c r="I214" s="27" t="s">
        <v>335</v>
      </c>
      <c r="J214" s="30" t="s">
        <v>336</v>
      </c>
      <c r="K214" s="30" t="s">
        <v>337</v>
      </c>
      <c r="L214" s="26" t="s">
        <v>337</v>
      </c>
      <c r="M214" s="27" t="s">
        <v>338</v>
      </c>
      <c r="N214" s="30" t="n">
        <v>0</v>
      </c>
      <c r="O214" s="27" t="s">
        <v>339</v>
      </c>
      <c r="P214" s="26" t="s">
        <v>690</v>
      </c>
      <c r="Q214" s="27" t="s">
        <v>691</v>
      </c>
      <c r="R214" s="27" t="s">
        <v>692</v>
      </c>
      <c r="S214" s="27" t="s">
        <v>340</v>
      </c>
      <c r="T214" s="27" t="s">
        <v>341</v>
      </c>
      <c r="U214" s="27" t="s">
        <v>942</v>
      </c>
    </row>
    <row r="215" customFormat="false" ht="19.5" hidden="false" customHeight="true" outlineLevel="0" collapsed="false">
      <c r="A215" s="19" t="n">
        <v>1503</v>
      </c>
      <c r="B215" s="15" t="s">
        <v>1162</v>
      </c>
      <c r="C215" s="17" t="s">
        <v>287</v>
      </c>
      <c r="D215" s="16" t="n">
        <v>10</v>
      </c>
      <c r="E215" s="17" t="s">
        <v>63</v>
      </c>
      <c r="F215" s="17" t="s">
        <v>63</v>
      </c>
      <c r="G215" s="15" t="s">
        <v>505</v>
      </c>
      <c r="H215" s="18" t="s">
        <v>505</v>
      </c>
      <c r="I215" s="15" t="s">
        <v>342</v>
      </c>
      <c r="J215" s="17" t="s">
        <v>336</v>
      </c>
      <c r="K215" s="17" t="s">
        <v>136</v>
      </c>
      <c r="L215" s="19" t="s">
        <v>136</v>
      </c>
      <c r="M215" s="15" t="s">
        <v>343</v>
      </c>
      <c r="N215" s="17" t="n">
        <v>28520</v>
      </c>
      <c r="O215" s="15" t="s">
        <v>344</v>
      </c>
      <c r="P215" s="19" t="n">
        <v>28520</v>
      </c>
      <c r="Q215" s="15" t="s">
        <v>809</v>
      </c>
      <c r="R215" s="15" t="s">
        <v>648</v>
      </c>
      <c r="S215" s="15" t="s">
        <v>345</v>
      </c>
      <c r="T215" s="15" t="s">
        <v>341</v>
      </c>
      <c r="U215" s="15" t="s">
        <v>810</v>
      </c>
    </row>
    <row r="216" customFormat="false" ht="19.5" hidden="false" customHeight="true" outlineLevel="0" collapsed="false">
      <c r="A216" s="26" t="n">
        <v>1518</v>
      </c>
      <c r="B216" s="27" t="s">
        <v>1163</v>
      </c>
      <c r="C216" s="30" t="s">
        <v>260</v>
      </c>
      <c r="D216" s="39" t="n">
        <v>5</v>
      </c>
      <c r="E216" s="30" t="s">
        <v>39</v>
      </c>
      <c r="F216" s="30" t="s">
        <v>39</v>
      </c>
      <c r="G216" s="27" t="s">
        <v>601</v>
      </c>
      <c r="H216" s="40" t="s">
        <v>601</v>
      </c>
      <c r="I216" s="27" t="s">
        <v>342</v>
      </c>
      <c r="J216" s="30" t="s">
        <v>336</v>
      </c>
      <c r="K216" s="30" t="s">
        <v>111</v>
      </c>
      <c r="L216" s="26" t="s">
        <v>111</v>
      </c>
      <c r="M216" s="27" t="s">
        <v>343</v>
      </c>
      <c r="N216" s="30" t="n">
        <v>24823</v>
      </c>
      <c r="O216" s="27" t="s">
        <v>344</v>
      </c>
      <c r="P216" s="26" t="n">
        <v>24823</v>
      </c>
      <c r="Q216" s="27" t="s">
        <v>1164</v>
      </c>
      <c r="R216" s="27" t="s">
        <v>648</v>
      </c>
      <c r="S216" s="27" t="s">
        <v>345</v>
      </c>
      <c r="T216" s="27" t="s">
        <v>341</v>
      </c>
      <c r="U216" s="27" t="s">
        <v>1165</v>
      </c>
    </row>
    <row r="217" customFormat="false" ht="19.5" hidden="false" customHeight="true" outlineLevel="0" collapsed="false">
      <c r="A217" s="19" t="n">
        <v>1519</v>
      </c>
      <c r="B217" s="15" t="s">
        <v>1166</v>
      </c>
      <c r="C217" s="17" t="s">
        <v>260</v>
      </c>
      <c r="D217" s="16" t="n">
        <v>5</v>
      </c>
      <c r="E217" s="17" t="s">
        <v>39</v>
      </c>
      <c r="F217" s="17" t="s">
        <v>39</v>
      </c>
      <c r="G217" s="15" t="s">
        <v>110</v>
      </c>
      <c r="H217" s="18" t="s">
        <v>110</v>
      </c>
      <c r="I217" s="15" t="s">
        <v>342</v>
      </c>
      <c r="J217" s="17" t="s">
        <v>336</v>
      </c>
      <c r="K217" s="17" t="s">
        <v>111</v>
      </c>
      <c r="L217" s="19" t="s">
        <v>111</v>
      </c>
      <c r="M217" s="15" t="s">
        <v>343</v>
      </c>
      <c r="N217" s="17" t="n">
        <v>32323</v>
      </c>
      <c r="O217" s="15" t="s">
        <v>344</v>
      </c>
      <c r="P217" s="19" t="n">
        <v>32323</v>
      </c>
      <c r="Q217" s="15" t="s">
        <v>1167</v>
      </c>
      <c r="R217" s="15" t="s">
        <v>648</v>
      </c>
      <c r="S217" s="15" t="s">
        <v>345</v>
      </c>
      <c r="T217" s="15" t="s">
        <v>341</v>
      </c>
      <c r="U217" s="15" t="s">
        <v>1168</v>
      </c>
    </row>
    <row r="218" customFormat="false" ht="19.5" hidden="false" customHeight="true" outlineLevel="0" collapsed="false">
      <c r="A218" s="26" t="n">
        <v>1520</v>
      </c>
      <c r="B218" s="27" t="s">
        <v>90</v>
      </c>
      <c r="C218" s="30" t="s">
        <v>260</v>
      </c>
      <c r="D218" s="39" t="n">
        <v>5</v>
      </c>
      <c r="E218" s="30" t="s">
        <v>39</v>
      </c>
      <c r="F218" s="30" t="s">
        <v>39</v>
      </c>
      <c r="G218" s="27" t="s">
        <v>91</v>
      </c>
      <c r="H218" s="40" t="s">
        <v>91</v>
      </c>
      <c r="I218" s="27" t="s">
        <v>459</v>
      </c>
      <c r="J218" s="30" t="s">
        <v>336</v>
      </c>
      <c r="K218" s="30" t="s">
        <v>92</v>
      </c>
      <c r="L218" s="26" t="s">
        <v>419</v>
      </c>
      <c r="M218" s="27" t="s">
        <v>343</v>
      </c>
      <c r="N218" s="30" t="n">
        <v>30520</v>
      </c>
      <c r="O218" s="27" t="s">
        <v>344</v>
      </c>
      <c r="P218" s="26" t="n">
        <v>30520</v>
      </c>
      <c r="Q218" s="27" t="s">
        <v>1169</v>
      </c>
      <c r="R218" s="27" t="s">
        <v>648</v>
      </c>
      <c r="S218" s="27" t="s">
        <v>345</v>
      </c>
      <c r="T218" s="27" t="s">
        <v>341</v>
      </c>
      <c r="U218" s="27" t="s">
        <v>1170</v>
      </c>
    </row>
    <row r="219" customFormat="false" ht="19.5" hidden="false" customHeight="true" outlineLevel="0" collapsed="false">
      <c r="A219" s="19" t="n">
        <v>1534</v>
      </c>
      <c r="B219" s="15" t="s">
        <v>270</v>
      </c>
      <c r="C219" s="17" t="s">
        <v>263</v>
      </c>
      <c r="D219" s="16" t="n">
        <v>20</v>
      </c>
      <c r="E219" s="17" t="s">
        <v>39</v>
      </c>
      <c r="F219" s="17" t="s">
        <v>39</v>
      </c>
      <c r="G219" s="15" t="s">
        <v>70</v>
      </c>
      <c r="H219" s="18" t="s">
        <v>70</v>
      </c>
      <c r="I219" s="15" t="s">
        <v>355</v>
      </c>
      <c r="J219" s="17" t="s">
        <v>360</v>
      </c>
      <c r="K219" s="17" t="s">
        <v>82</v>
      </c>
      <c r="L219" s="19" t="s">
        <v>51</v>
      </c>
      <c r="M219" s="15" t="s">
        <v>361</v>
      </c>
      <c r="N219" s="17" t="n">
        <v>6922</v>
      </c>
      <c r="O219" s="15" t="s">
        <v>344</v>
      </c>
      <c r="P219" s="19" t="n">
        <v>6922</v>
      </c>
      <c r="Q219" s="15" t="s">
        <v>943</v>
      </c>
      <c r="R219" s="15" t="s">
        <v>648</v>
      </c>
      <c r="S219" s="15" t="s">
        <v>345</v>
      </c>
      <c r="T219" s="15" t="s">
        <v>341</v>
      </c>
      <c r="U219" s="15" t="s">
        <v>944</v>
      </c>
    </row>
    <row r="220" customFormat="false" ht="19.5" hidden="false" customHeight="true" outlineLevel="0" collapsed="false">
      <c r="A220" s="26" t="n">
        <v>1541</v>
      </c>
      <c r="B220" s="27" t="s">
        <v>1171</v>
      </c>
      <c r="C220" s="30" t="s">
        <v>1172</v>
      </c>
      <c r="D220" s="39" t="n">
        <v>1</v>
      </c>
      <c r="E220" s="30" t="s">
        <v>39</v>
      </c>
      <c r="F220" s="30" t="s">
        <v>39</v>
      </c>
      <c r="G220" s="27" t="s">
        <v>619</v>
      </c>
      <c r="H220" s="40" t="s">
        <v>619</v>
      </c>
      <c r="I220" s="27" t="s">
        <v>382</v>
      </c>
      <c r="J220" s="30" t="s">
        <v>336</v>
      </c>
      <c r="K220" s="30" t="s">
        <v>159</v>
      </c>
      <c r="L220" s="26" t="s">
        <v>159</v>
      </c>
      <c r="M220" s="27" t="s">
        <v>349</v>
      </c>
      <c r="N220" s="30" t="n">
        <v>0</v>
      </c>
      <c r="O220" s="27" t="s">
        <v>339</v>
      </c>
      <c r="P220" s="26" t="s">
        <v>690</v>
      </c>
      <c r="Q220" s="27" t="s">
        <v>691</v>
      </c>
      <c r="R220" s="27" t="s">
        <v>692</v>
      </c>
      <c r="S220" s="27" t="s">
        <v>345</v>
      </c>
      <c r="T220" s="27" t="s">
        <v>341</v>
      </c>
      <c r="U220" s="27" t="s">
        <v>693</v>
      </c>
    </row>
    <row r="221" customFormat="false" ht="19.5" hidden="false" customHeight="true" outlineLevel="0" collapsed="false">
      <c r="A221" s="19" t="n">
        <v>1542</v>
      </c>
      <c r="B221" s="15" t="s">
        <v>1173</v>
      </c>
      <c r="C221" s="17" t="s">
        <v>1172</v>
      </c>
      <c r="D221" s="16" t="n">
        <v>1</v>
      </c>
      <c r="E221" s="17" t="s">
        <v>39</v>
      </c>
      <c r="F221" s="17" t="s">
        <v>39</v>
      </c>
      <c r="G221" s="15" t="s">
        <v>372</v>
      </c>
      <c r="H221" s="18" t="s">
        <v>372</v>
      </c>
      <c r="I221" s="15" t="s">
        <v>366</v>
      </c>
      <c r="J221" s="17" t="s">
        <v>336</v>
      </c>
      <c r="K221" s="17" t="s">
        <v>159</v>
      </c>
      <c r="L221" s="19" t="s">
        <v>367</v>
      </c>
      <c r="M221" s="15" t="s">
        <v>368</v>
      </c>
      <c r="N221" s="17" t="n">
        <v>0</v>
      </c>
      <c r="O221" s="15" t="s">
        <v>369</v>
      </c>
      <c r="P221" s="19" t="s">
        <v>683</v>
      </c>
      <c r="Q221" s="15" t="s">
        <v>684</v>
      </c>
      <c r="R221" s="15" t="s">
        <v>685</v>
      </c>
      <c r="S221" s="15" t="s">
        <v>370</v>
      </c>
      <c r="T221" s="15" t="s">
        <v>371</v>
      </c>
      <c r="U221" s="15" t="s">
        <v>687</v>
      </c>
    </row>
    <row r="222" customFormat="false" ht="19.5" hidden="false" customHeight="true" outlineLevel="0" collapsed="false">
      <c r="A222" s="26" t="n">
        <v>1543</v>
      </c>
      <c r="B222" s="27" t="s">
        <v>1174</v>
      </c>
      <c r="C222" s="30" t="s">
        <v>1172</v>
      </c>
      <c r="D222" s="39" t="n">
        <v>1</v>
      </c>
      <c r="E222" s="30" t="s">
        <v>39</v>
      </c>
      <c r="F222" s="30" t="s">
        <v>39</v>
      </c>
      <c r="G222" s="27" t="s">
        <v>545</v>
      </c>
      <c r="H222" s="40" t="s">
        <v>545</v>
      </c>
      <c r="I222" s="27" t="s">
        <v>382</v>
      </c>
      <c r="J222" s="30" t="s">
        <v>336</v>
      </c>
      <c r="K222" s="30" t="s">
        <v>159</v>
      </c>
      <c r="L222" s="26" t="s">
        <v>159</v>
      </c>
      <c r="M222" s="27" t="s">
        <v>349</v>
      </c>
      <c r="N222" s="30" t="n">
        <v>0</v>
      </c>
      <c r="O222" s="27" t="s">
        <v>339</v>
      </c>
      <c r="P222" s="26" t="s">
        <v>690</v>
      </c>
      <c r="Q222" s="27" t="s">
        <v>691</v>
      </c>
      <c r="R222" s="27" t="s">
        <v>692</v>
      </c>
      <c r="S222" s="27" t="s">
        <v>345</v>
      </c>
      <c r="T222" s="27" t="s">
        <v>341</v>
      </c>
      <c r="U222" s="27" t="s">
        <v>693</v>
      </c>
    </row>
    <row r="223" customFormat="false" ht="19.5" hidden="false" customHeight="true" outlineLevel="0" collapsed="false">
      <c r="A223" s="19" t="n">
        <v>1544</v>
      </c>
      <c r="B223" s="15" t="s">
        <v>1175</v>
      </c>
      <c r="C223" s="17" t="s">
        <v>1172</v>
      </c>
      <c r="D223" s="16" t="n">
        <v>1</v>
      </c>
      <c r="E223" s="17" t="s">
        <v>39</v>
      </c>
      <c r="F223" s="17" t="s">
        <v>39</v>
      </c>
      <c r="G223" s="15" t="s">
        <v>541</v>
      </c>
      <c r="H223" s="18" t="s">
        <v>541</v>
      </c>
      <c r="I223" s="15" t="s">
        <v>382</v>
      </c>
      <c r="J223" s="17" t="s">
        <v>336</v>
      </c>
      <c r="K223" s="17" t="s">
        <v>159</v>
      </c>
      <c r="L223" s="19" t="s">
        <v>159</v>
      </c>
      <c r="M223" s="15" t="s">
        <v>349</v>
      </c>
      <c r="N223" s="17" t="n">
        <v>0</v>
      </c>
      <c r="O223" s="15" t="s">
        <v>339</v>
      </c>
      <c r="P223" s="19" t="s">
        <v>690</v>
      </c>
      <c r="Q223" s="15" t="s">
        <v>691</v>
      </c>
      <c r="R223" s="15" t="s">
        <v>692</v>
      </c>
      <c r="S223" s="15" t="s">
        <v>345</v>
      </c>
      <c r="T223" s="15" t="s">
        <v>341</v>
      </c>
      <c r="U223" s="15" t="s">
        <v>693</v>
      </c>
    </row>
    <row r="224" customFormat="false" ht="19.5" hidden="false" customHeight="true" outlineLevel="0" collapsed="false">
      <c r="A224" s="26" t="n">
        <v>1545</v>
      </c>
      <c r="B224" s="27" t="s">
        <v>1176</v>
      </c>
      <c r="C224" s="30" t="s">
        <v>1172</v>
      </c>
      <c r="D224" s="39" t="n">
        <v>1</v>
      </c>
      <c r="E224" s="30" t="s">
        <v>39</v>
      </c>
      <c r="F224" s="30" t="s">
        <v>39</v>
      </c>
      <c r="G224" s="27" t="s">
        <v>558</v>
      </c>
      <c r="H224" s="40" t="s">
        <v>558</v>
      </c>
      <c r="I224" s="27" t="s">
        <v>467</v>
      </c>
      <c r="J224" s="30" t="s">
        <v>336</v>
      </c>
      <c r="K224" s="30" t="s">
        <v>159</v>
      </c>
      <c r="L224" s="26" t="s">
        <v>159</v>
      </c>
      <c r="M224" s="27" t="s">
        <v>349</v>
      </c>
      <c r="N224" s="30" t="n">
        <v>0</v>
      </c>
      <c r="O224" s="27" t="s">
        <v>339</v>
      </c>
      <c r="P224" s="26" t="s">
        <v>690</v>
      </c>
      <c r="Q224" s="27" t="s">
        <v>691</v>
      </c>
      <c r="R224" s="27" t="s">
        <v>692</v>
      </c>
      <c r="S224" s="27" t="s">
        <v>345</v>
      </c>
      <c r="T224" s="27" t="s">
        <v>341</v>
      </c>
      <c r="U224" s="27" t="s">
        <v>693</v>
      </c>
    </row>
    <row r="225" customFormat="false" ht="19.5" hidden="false" customHeight="true" outlineLevel="0" collapsed="false">
      <c r="A225" s="19" t="n">
        <v>1546</v>
      </c>
      <c r="B225" s="15" t="s">
        <v>1177</v>
      </c>
      <c r="C225" s="17" t="s">
        <v>1172</v>
      </c>
      <c r="D225" s="16" t="n">
        <v>1</v>
      </c>
      <c r="E225" s="17" t="s">
        <v>39</v>
      </c>
      <c r="F225" s="17" t="s">
        <v>39</v>
      </c>
      <c r="G225" s="15" t="s">
        <v>527</v>
      </c>
      <c r="H225" s="18" t="s">
        <v>527</v>
      </c>
      <c r="I225" s="15" t="s">
        <v>467</v>
      </c>
      <c r="J225" s="17" t="s">
        <v>336</v>
      </c>
      <c r="K225" s="17" t="s">
        <v>159</v>
      </c>
      <c r="L225" s="19" t="s">
        <v>159</v>
      </c>
      <c r="M225" s="15" t="s">
        <v>349</v>
      </c>
      <c r="N225" s="17" t="n">
        <v>0</v>
      </c>
      <c r="O225" s="15" t="s">
        <v>339</v>
      </c>
      <c r="P225" s="19" t="s">
        <v>690</v>
      </c>
      <c r="Q225" s="15" t="s">
        <v>691</v>
      </c>
      <c r="R225" s="15" t="s">
        <v>692</v>
      </c>
      <c r="S225" s="15" t="s">
        <v>345</v>
      </c>
      <c r="T225" s="15" t="s">
        <v>341</v>
      </c>
      <c r="U225" s="15" t="s">
        <v>693</v>
      </c>
    </row>
    <row r="226" customFormat="false" ht="19.5" hidden="false" customHeight="true" outlineLevel="0" collapsed="false">
      <c r="A226" s="26" t="n">
        <v>1547</v>
      </c>
      <c r="B226" s="27" t="s">
        <v>1178</v>
      </c>
      <c r="C226" s="30" t="s">
        <v>1172</v>
      </c>
      <c r="D226" s="39" t="n">
        <v>1</v>
      </c>
      <c r="E226" s="30" t="s">
        <v>39</v>
      </c>
      <c r="F226" s="30" t="s">
        <v>39</v>
      </c>
      <c r="G226" s="27" t="s">
        <v>568</v>
      </c>
      <c r="H226" s="40" t="s">
        <v>568</v>
      </c>
      <c r="I226" s="27" t="s">
        <v>457</v>
      </c>
      <c r="J226" s="30" t="s">
        <v>336</v>
      </c>
      <c r="K226" s="30" t="s">
        <v>159</v>
      </c>
      <c r="L226" s="26" t="s">
        <v>367</v>
      </c>
      <c r="M226" s="27" t="s">
        <v>368</v>
      </c>
      <c r="N226" s="30" t="n">
        <v>0</v>
      </c>
      <c r="O226" s="27" t="s">
        <v>369</v>
      </c>
      <c r="P226" s="26" t="s">
        <v>683</v>
      </c>
      <c r="Q226" s="27" t="s">
        <v>684</v>
      </c>
      <c r="R226" s="27" t="s">
        <v>685</v>
      </c>
      <c r="S226" s="27" t="s">
        <v>370</v>
      </c>
      <c r="T226" s="27" t="s">
        <v>371</v>
      </c>
      <c r="U226" s="27" t="s">
        <v>1179</v>
      </c>
    </row>
    <row r="227" customFormat="false" ht="19.5" hidden="false" customHeight="true" outlineLevel="0" collapsed="false">
      <c r="A227" s="19" t="n">
        <v>1548</v>
      </c>
      <c r="B227" s="15" t="s">
        <v>1180</v>
      </c>
      <c r="C227" s="17" t="s">
        <v>1172</v>
      </c>
      <c r="D227" s="16" t="n">
        <v>1</v>
      </c>
      <c r="E227" s="17" t="s">
        <v>39</v>
      </c>
      <c r="F227" s="17" t="s">
        <v>39</v>
      </c>
      <c r="G227" s="15" t="s">
        <v>568</v>
      </c>
      <c r="H227" s="18" t="s">
        <v>568</v>
      </c>
      <c r="I227" s="15" t="s">
        <v>457</v>
      </c>
      <c r="J227" s="17" t="s">
        <v>336</v>
      </c>
      <c r="K227" s="17" t="s">
        <v>159</v>
      </c>
      <c r="L227" s="19" t="s">
        <v>367</v>
      </c>
      <c r="M227" s="15" t="s">
        <v>368</v>
      </c>
      <c r="N227" s="17" t="n">
        <v>0</v>
      </c>
      <c r="O227" s="15" t="s">
        <v>369</v>
      </c>
      <c r="P227" s="19" t="s">
        <v>683</v>
      </c>
      <c r="Q227" s="15" t="s">
        <v>684</v>
      </c>
      <c r="R227" s="15" t="s">
        <v>685</v>
      </c>
      <c r="S227" s="15" t="s">
        <v>370</v>
      </c>
      <c r="T227" s="15" t="s">
        <v>371</v>
      </c>
      <c r="U227" s="15" t="s">
        <v>1181</v>
      </c>
    </row>
    <row r="228" customFormat="false" ht="19.5" hidden="false" customHeight="true" outlineLevel="0" collapsed="false">
      <c r="A228" s="26" t="n">
        <v>1549</v>
      </c>
      <c r="B228" s="27" t="s">
        <v>1182</v>
      </c>
      <c r="C228" s="30" t="s">
        <v>1172</v>
      </c>
      <c r="D228" s="39" t="n">
        <v>1</v>
      </c>
      <c r="E228" s="30" t="s">
        <v>39</v>
      </c>
      <c r="F228" s="30" t="s">
        <v>39</v>
      </c>
      <c r="G228" s="27" t="s">
        <v>59</v>
      </c>
      <c r="H228" s="40" t="s">
        <v>59</v>
      </c>
      <c r="I228" s="27" t="s">
        <v>366</v>
      </c>
      <c r="J228" s="30" t="s">
        <v>336</v>
      </c>
      <c r="K228" s="30" t="s">
        <v>557</v>
      </c>
      <c r="L228" s="26" t="s">
        <v>367</v>
      </c>
      <c r="M228" s="27" t="s">
        <v>368</v>
      </c>
      <c r="N228" s="30" t="n">
        <v>0</v>
      </c>
      <c r="O228" s="27" t="s">
        <v>369</v>
      </c>
      <c r="P228" s="26" t="s">
        <v>683</v>
      </c>
      <c r="Q228" s="27" t="s">
        <v>684</v>
      </c>
      <c r="R228" s="27" t="s">
        <v>685</v>
      </c>
      <c r="S228" s="27" t="s">
        <v>370</v>
      </c>
      <c r="T228" s="27" t="s">
        <v>371</v>
      </c>
      <c r="U228" s="27" t="s">
        <v>686</v>
      </c>
    </row>
    <row r="229" customFormat="false" ht="19.5" hidden="false" customHeight="true" outlineLevel="0" collapsed="false">
      <c r="A229" s="19" t="n">
        <v>1550</v>
      </c>
      <c r="B229" s="15" t="s">
        <v>1183</v>
      </c>
      <c r="C229" s="17" t="s">
        <v>1172</v>
      </c>
      <c r="D229" s="16" t="n">
        <v>1</v>
      </c>
      <c r="E229" s="17" t="s">
        <v>39</v>
      </c>
      <c r="F229" s="17" t="s">
        <v>39</v>
      </c>
      <c r="G229" s="15" t="s">
        <v>541</v>
      </c>
      <c r="H229" s="18" t="s">
        <v>541</v>
      </c>
      <c r="I229" s="15" t="s">
        <v>382</v>
      </c>
      <c r="J229" s="17" t="s">
        <v>336</v>
      </c>
      <c r="K229" s="17" t="s">
        <v>159</v>
      </c>
      <c r="L229" s="19" t="s">
        <v>159</v>
      </c>
      <c r="M229" s="15" t="s">
        <v>349</v>
      </c>
      <c r="N229" s="17" t="n">
        <v>0</v>
      </c>
      <c r="O229" s="15" t="s">
        <v>339</v>
      </c>
      <c r="P229" s="19" t="s">
        <v>690</v>
      </c>
      <c r="Q229" s="15" t="s">
        <v>691</v>
      </c>
      <c r="R229" s="15" t="s">
        <v>692</v>
      </c>
      <c r="S229" s="15" t="s">
        <v>345</v>
      </c>
      <c r="T229" s="15" t="s">
        <v>341</v>
      </c>
      <c r="U229" s="15" t="s">
        <v>693</v>
      </c>
    </row>
    <row r="230" customFormat="false" ht="19.5" hidden="false" customHeight="true" outlineLevel="0" collapsed="false">
      <c r="A230" s="26" t="n">
        <v>1563</v>
      </c>
      <c r="B230" s="27" t="s">
        <v>1184</v>
      </c>
      <c r="C230" s="30" t="s">
        <v>1185</v>
      </c>
      <c r="D230" s="39" t="n">
        <v>1.8</v>
      </c>
      <c r="E230" s="30" t="s">
        <v>39</v>
      </c>
      <c r="F230" s="30" t="s">
        <v>39</v>
      </c>
      <c r="G230" s="27" t="s">
        <v>105</v>
      </c>
      <c r="H230" s="40" t="s">
        <v>105</v>
      </c>
      <c r="I230" s="27" t="s">
        <v>376</v>
      </c>
      <c r="J230" s="30" t="s">
        <v>336</v>
      </c>
      <c r="K230" s="30" t="s">
        <v>106</v>
      </c>
      <c r="L230" s="26" t="s">
        <v>106</v>
      </c>
      <c r="M230" s="27" t="s">
        <v>377</v>
      </c>
      <c r="N230" s="30" t="n">
        <v>0</v>
      </c>
      <c r="O230" s="27" t="s">
        <v>339</v>
      </c>
      <c r="P230" s="26" t="s">
        <v>690</v>
      </c>
      <c r="Q230" s="27" t="s">
        <v>691</v>
      </c>
      <c r="R230" s="27" t="s">
        <v>692</v>
      </c>
      <c r="S230" s="27" t="s">
        <v>345</v>
      </c>
      <c r="T230" s="27" t="s">
        <v>341</v>
      </c>
      <c r="U230" s="27" t="s">
        <v>841</v>
      </c>
    </row>
    <row r="231" customFormat="false" ht="19.5" hidden="false" customHeight="true" outlineLevel="0" collapsed="false">
      <c r="A231" s="19" t="n">
        <v>1564</v>
      </c>
      <c r="B231" s="15" t="s">
        <v>138</v>
      </c>
      <c r="C231" s="17" t="s">
        <v>260</v>
      </c>
      <c r="D231" s="16" t="n">
        <v>5</v>
      </c>
      <c r="E231" s="17" t="s">
        <v>39</v>
      </c>
      <c r="F231" s="17" t="s">
        <v>39</v>
      </c>
      <c r="G231" s="15" t="s">
        <v>139</v>
      </c>
      <c r="H231" s="18" t="s">
        <v>139</v>
      </c>
      <c r="I231" s="15" t="s">
        <v>389</v>
      </c>
      <c r="J231" s="17" t="s">
        <v>336</v>
      </c>
      <c r="K231" s="17" t="s">
        <v>140</v>
      </c>
      <c r="L231" s="19" t="s">
        <v>140</v>
      </c>
      <c r="M231" s="15" t="s">
        <v>343</v>
      </c>
      <c r="N231" s="17" t="n">
        <v>24117</v>
      </c>
      <c r="O231" s="15" t="s">
        <v>344</v>
      </c>
      <c r="P231" s="19" t="n">
        <v>34018</v>
      </c>
      <c r="Q231" s="15" t="s">
        <v>1186</v>
      </c>
      <c r="R231" s="15" t="s">
        <v>702</v>
      </c>
      <c r="S231" s="15" t="s">
        <v>345</v>
      </c>
      <c r="T231" s="15" t="s">
        <v>341</v>
      </c>
      <c r="U231" s="15" t="s">
        <v>1187</v>
      </c>
    </row>
    <row r="232" customFormat="false" ht="19.5" hidden="false" customHeight="true" outlineLevel="0" collapsed="false">
      <c r="A232" s="26" t="n">
        <v>1565</v>
      </c>
      <c r="B232" s="27" t="s">
        <v>1188</v>
      </c>
      <c r="C232" s="30" t="s">
        <v>1189</v>
      </c>
      <c r="D232" s="39" t="n">
        <v>5</v>
      </c>
      <c r="E232" s="30" t="s">
        <v>39</v>
      </c>
      <c r="F232" s="30" t="s">
        <v>39</v>
      </c>
      <c r="G232" s="27" t="s">
        <v>546</v>
      </c>
      <c r="H232" s="40" t="s">
        <v>546</v>
      </c>
      <c r="I232" s="27" t="s">
        <v>467</v>
      </c>
      <c r="J232" s="30" t="s">
        <v>336</v>
      </c>
      <c r="K232" s="30" t="s">
        <v>118</v>
      </c>
      <c r="L232" s="26" t="s">
        <v>118</v>
      </c>
      <c r="M232" s="27" t="s">
        <v>349</v>
      </c>
      <c r="N232" s="30" t="n">
        <v>0</v>
      </c>
      <c r="O232" s="27" t="s">
        <v>339</v>
      </c>
      <c r="P232" s="26" t="s">
        <v>690</v>
      </c>
      <c r="Q232" s="27" t="s">
        <v>691</v>
      </c>
      <c r="R232" s="27" t="s">
        <v>692</v>
      </c>
      <c r="S232" s="27" t="s">
        <v>345</v>
      </c>
      <c r="T232" s="27" t="s">
        <v>341</v>
      </c>
      <c r="U232" s="27" t="s">
        <v>693</v>
      </c>
    </row>
    <row r="233" customFormat="false" ht="19.5" hidden="false" customHeight="true" outlineLevel="0" collapsed="false">
      <c r="A233" s="19" t="n">
        <v>1572</v>
      </c>
      <c r="B233" s="15" t="s">
        <v>1190</v>
      </c>
      <c r="C233" s="17" t="s">
        <v>260</v>
      </c>
      <c r="D233" s="16" t="n">
        <v>5</v>
      </c>
      <c r="E233" s="17" t="s">
        <v>39</v>
      </c>
      <c r="F233" s="17" t="s">
        <v>39</v>
      </c>
      <c r="G233" s="15" t="s">
        <v>378</v>
      </c>
      <c r="H233" s="18" t="s">
        <v>378</v>
      </c>
      <c r="I233" s="15" t="s">
        <v>379</v>
      </c>
      <c r="J233" s="17" t="s">
        <v>336</v>
      </c>
      <c r="K233" s="17" t="s">
        <v>140</v>
      </c>
      <c r="L233" s="19" t="s">
        <v>140</v>
      </c>
      <c r="M233" s="15" t="s">
        <v>343</v>
      </c>
      <c r="N233" s="17" t="n">
        <v>9420</v>
      </c>
      <c r="O233" s="15" t="s">
        <v>344</v>
      </c>
      <c r="P233" s="19" t="n">
        <v>9420</v>
      </c>
      <c r="Q233" s="15" t="s">
        <v>1024</v>
      </c>
      <c r="R233" s="15" t="s">
        <v>648</v>
      </c>
      <c r="S233" s="15" t="s">
        <v>345</v>
      </c>
      <c r="T233" s="15" t="s">
        <v>341</v>
      </c>
      <c r="U233" s="15" t="s">
        <v>1025</v>
      </c>
    </row>
    <row r="234" customFormat="false" ht="19.5" hidden="false" customHeight="true" outlineLevel="0" collapsed="false">
      <c r="A234" s="26" t="n">
        <v>1573</v>
      </c>
      <c r="B234" s="27" t="s">
        <v>1191</v>
      </c>
      <c r="C234" s="30" t="s">
        <v>1192</v>
      </c>
      <c r="D234" s="39" t="n">
        <v>0</v>
      </c>
      <c r="E234" s="30" t="s">
        <v>39</v>
      </c>
      <c r="F234" s="30" t="s">
        <v>39</v>
      </c>
      <c r="G234" s="27" t="s">
        <v>460</v>
      </c>
      <c r="H234" s="40" t="s">
        <v>460</v>
      </c>
      <c r="I234" s="27" t="s">
        <v>363</v>
      </c>
      <c r="J234" s="30" t="s">
        <v>336</v>
      </c>
      <c r="K234" s="30" t="s">
        <v>82</v>
      </c>
      <c r="L234" s="26" t="s">
        <v>82</v>
      </c>
      <c r="M234" s="27" t="s">
        <v>352</v>
      </c>
      <c r="N234" s="30" t="n">
        <v>0</v>
      </c>
      <c r="O234" s="27" t="s">
        <v>353</v>
      </c>
      <c r="P234" s="26" t="s">
        <v>1193</v>
      </c>
      <c r="Q234" s="27" t="s">
        <v>1194</v>
      </c>
      <c r="R234" s="27" t="s">
        <v>717</v>
      </c>
      <c r="S234" s="27" t="s">
        <v>340</v>
      </c>
      <c r="T234" s="27" t="s">
        <v>341</v>
      </c>
      <c r="U234" s="27" t="s">
        <v>1195</v>
      </c>
    </row>
    <row r="235" customFormat="false" ht="19.5" hidden="false" customHeight="true" outlineLevel="0" collapsed="false">
      <c r="A235" s="19" t="n">
        <v>1574</v>
      </c>
      <c r="B235" s="15" t="s">
        <v>1196</v>
      </c>
      <c r="C235" s="17" t="s">
        <v>1192</v>
      </c>
      <c r="D235" s="16" t="n">
        <v>0</v>
      </c>
      <c r="E235" s="17" t="s">
        <v>39</v>
      </c>
      <c r="F235" s="17" t="s">
        <v>39</v>
      </c>
      <c r="G235" s="15" t="s">
        <v>604</v>
      </c>
      <c r="H235" s="18" t="s">
        <v>604</v>
      </c>
      <c r="I235" s="15" t="s">
        <v>402</v>
      </c>
      <c r="J235" s="17" t="s">
        <v>336</v>
      </c>
      <c r="K235" s="17" t="s">
        <v>140</v>
      </c>
      <c r="L235" s="19" t="s">
        <v>140</v>
      </c>
      <c r="M235" s="15" t="s">
        <v>352</v>
      </c>
      <c r="N235" s="17" t="n">
        <v>0</v>
      </c>
      <c r="O235" s="15" t="s">
        <v>353</v>
      </c>
      <c r="P235" s="19" t="n">
        <v>8215</v>
      </c>
      <c r="Q235" s="15" t="s">
        <v>1197</v>
      </c>
      <c r="R235" s="15" t="s">
        <v>717</v>
      </c>
      <c r="S235" s="15" t="s">
        <v>340</v>
      </c>
      <c r="T235" s="15" t="s">
        <v>341</v>
      </c>
      <c r="U235" s="15" t="s">
        <v>1198</v>
      </c>
    </row>
    <row r="236" customFormat="false" ht="19.5" hidden="false" customHeight="true" outlineLevel="0" collapsed="false">
      <c r="A236" s="26" t="n">
        <v>1576</v>
      </c>
      <c r="B236" s="27" t="s">
        <v>1199</v>
      </c>
      <c r="C236" s="30" t="s">
        <v>1192</v>
      </c>
      <c r="D236" s="39" t="n">
        <v>0</v>
      </c>
      <c r="E236" s="30" t="s">
        <v>39</v>
      </c>
      <c r="F236" s="30" t="s">
        <v>39</v>
      </c>
      <c r="G236" s="27" t="s">
        <v>468</v>
      </c>
      <c r="H236" s="40" t="s">
        <v>468</v>
      </c>
      <c r="I236" s="27" t="s">
        <v>363</v>
      </c>
      <c r="J236" s="30" t="s">
        <v>336</v>
      </c>
      <c r="K236" s="30" t="s">
        <v>82</v>
      </c>
      <c r="L236" s="26" t="s">
        <v>82</v>
      </c>
      <c r="M236" s="27" t="s">
        <v>352</v>
      </c>
      <c r="N236" s="30" t="n">
        <v>0</v>
      </c>
      <c r="O236" s="27" t="s">
        <v>353</v>
      </c>
      <c r="P236" s="26" t="n">
        <v>14421</v>
      </c>
      <c r="Q236" s="27" t="s">
        <v>1200</v>
      </c>
      <c r="R236" s="27" t="s">
        <v>717</v>
      </c>
      <c r="S236" s="27" t="s">
        <v>340</v>
      </c>
      <c r="T236" s="27" t="s">
        <v>341</v>
      </c>
      <c r="U236" s="27" t="s">
        <v>1201</v>
      </c>
    </row>
    <row r="237" customFormat="false" ht="19.5" hidden="false" customHeight="true" outlineLevel="0" collapsed="false">
      <c r="A237" s="19" t="n">
        <v>1577</v>
      </c>
      <c r="B237" s="15" t="s">
        <v>1202</v>
      </c>
      <c r="C237" s="17" t="s">
        <v>263</v>
      </c>
      <c r="D237" s="16" t="n">
        <v>20</v>
      </c>
      <c r="E237" s="17" t="s">
        <v>39</v>
      </c>
      <c r="F237" s="17" t="s">
        <v>39</v>
      </c>
      <c r="G237" s="15" t="s">
        <v>550</v>
      </c>
      <c r="H237" s="18" t="s">
        <v>550</v>
      </c>
      <c r="I237" s="15" t="s">
        <v>342</v>
      </c>
      <c r="J237" s="17" t="s">
        <v>336</v>
      </c>
      <c r="K237" s="17" t="s">
        <v>111</v>
      </c>
      <c r="L237" s="19" t="s">
        <v>111</v>
      </c>
      <c r="M237" s="15" t="s">
        <v>343</v>
      </c>
      <c r="N237" s="17" t="n">
        <v>4798</v>
      </c>
      <c r="O237" s="15" t="s">
        <v>344</v>
      </c>
      <c r="P237" s="19" t="n">
        <v>4798</v>
      </c>
      <c r="Q237" s="15" t="s">
        <v>889</v>
      </c>
      <c r="R237" s="15" t="s">
        <v>648</v>
      </c>
      <c r="S237" s="15" t="s">
        <v>345</v>
      </c>
      <c r="T237" s="15" t="s">
        <v>341</v>
      </c>
      <c r="U237" s="15" t="s">
        <v>890</v>
      </c>
    </row>
    <row r="238" customFormat="false" ht="19.5" hidden="false" customHeight="true" outlineLevel="0" collapsed="false">
      <c r="A238" s="26" t="n">
        <v>1578</v>
      </c>
      <c r="B238" s="27" t="s">
        <v>1203</v>
      </c>
      <c r="C238" s="30" t="s">
        <v>263</v>
      </c>
      <c r="D238" s="39" t="n">
        <v>20</v>
      </c>
      <c r="E238" s="30" t="s">
        <v>39</v>
      </c>
      <c r="F238" s="30" t="s">
        <v>39</v>
      </c>
      <c r="G238" s="27" t="s">
        <v>613</v>
      </c>
      <c r="H238" s="40" t="s">
        <v>613</v>
      </c>
      <c r="I238" s="27" t="s">
        <v>342</v>
      </c>
      <c r="J238" s="30" t="s">
        <v>336</v>
      </c>
      <c r="K238" s="30" t="s">
        <v>146</v>
      </c>
      <c r="L238" s="26" t="s">
        <v>111</v>
      </c>
      <c r="M238" s="27" t="s">
        <v>343</v>
      </c>
      <c r="N238" s="30" t="n">
        <v>11922</v>
      </c>
      <c r="O238" s="27" t="s">
        <v>344</v>
      </c>
      <c r="P238" s="26" t="n">
        <v>11922</v>
      </c>
      <c r="Q238" s="27" t="s">
        <v>1204</v>
      </c>
      <c r="R238" s="27" t="s">
        <v>648</v>
      </c>
      <c r="S238" s="27" t="s">
        <v>345</v>
      </c>
      <c r="T238" s="27" t="s">
        <v>341</v>
      </c>
      <c r="U238" s="27" t="s">
        <v>1205</v>
      </c>
    </row>
    <row r="239" customFormat="false" ht="19.5" hidden="false" customHeight="true" outlineLevel="0" collapsed="false">
      <c r="A239" s="19" t="n">
        <v>1579</v>
      </c>
      <c r="B239" s="15" t="s">
        <v>1206</v>
      </c>
      <c r="C239" s="17" t="s">
        <v>1207</v>
      </c>
      <c r="D239" s="16" t="n">
        <v>0.3</v>
      </c>
      <c r="E239" s="17" t="s">
        <v>63</v>
      </c>
      <c r="F239" s="17" t="s">
        <v>63</v>
      </c>
      <c r="G239" s="15" t="s">
        <v>423</v>
      </c>
      <c r="H239" s="18" t="s">
        <v>423</v>
      </c>
      <c r="I239" s="15" t="s">
        <v>342</v>
      </c>
      <c r="J239" s="17" t="s">
        <v>336</v>
      </c>
      <c r="K239" s="17" t="s">
        <v>111</v>
      </c>
      <c r="L239" s="19" t="s">
        <v>111</v>
      </c>
      <c r="M239" s="15" t="s">
        <v>343</v>
      </c>
      <c r="N239" s="17" t="n">
        <v>13520</v>
      </c>
      <c r="O239" s="15" t="s">
        <v>344</v>
      </c>
      <c r="P239" s="19" t="n">
        <v>13520</v>
      </c>
      <c r="Q239" s="15" t="s">
        <v>1208</v>
      </c>
      <c r="R239" s="15" t="s">
        <v>648</v>
      </c>
      <c r="S239" s="15" t="s">
        <v>345</v>
      </c>
      <c r="T239" s="15" t="s">
        <v>341</v>
      </c>
      <c r="U239" s="15" t="s">
        <v>1209</v>
      </c>
    </row>
    <row r="240" customFormat="false" ht="19.5" hidden="false" customHeight="true" outlineLevel="0" collapsed="false">
      <c r="A240" s="26" t="n">
        <v>1580</v>
      </c>
      <c r="B240" s="27" t="s">
        <v>1210</v>
      </c>
      <c r="C240" s="30" t="s">
        <v>1211</v>
      </c>
      <c r="D240" s="39" t="n">
        <v>0.3</v>
      </c>
      <c r="E240" s="30" t="s">
        <v>63</v>
      </c>
      <c r="F240" s="30" t="s">
        <v>63</v>
      </c>
      <c r="G240" s="27" t="s">
        <v>423</v>
      </c>
      <c r="H240" s="40" t="s">
        <v>423</v>
      </c>
      <c r="I240" s="27" t="s">
        <v>342</v>
      </c>
      <c r="J240" s="30" t="s">
        <v>336</v>
      </c>
      <c r="K240" s="30" t="s">
        <v>111</v>
      </c>
      <c r="L240" s="26" t="s">
        <v>111</v>
      </c>
      <c r="M240" s="27" t="s">
        <v>343</v>
      </c>
      <c r="N240" s="30" t="n">
        <v>13520</v>
      </c>
      <c r="O240" s="27" t="s">
        <v>344</v>
      </c>
      <c r="P240" s="26" t="n">
        <v>13520</v>
      </c>
      <c r="Q240" s="27" t="s">
        <v>1208</v>
      </c>
      <c r="R240" s="27" t="s">
        <v>648</v>
      </c>
      <c r="S240" s="27" t="s">
        <v>345</v>
      </c>
      <c r="T240" s="27" t="s">
        <v>341</v>
      </c>
      <c r="U240" s="27" t="s">
        <v>1209</v>
      </c>
    </row>
    <row r="241" customFormat="false" ht="19.5" hidden="false" customHeight="true" outlineLevel="0" collapsed="false">
      <c r="A241" s="19" t="n">
        <v>1581</v>
      </c>
      <c r="B241" s="15" t="s">
        <v>1212</v>
      </c>
      <c r="C241" s="17" t="s">
        <v>1211</v>
      </c>
      <c r="D241" s="16" t="n">
        <v>0.3</v>
      </c>
      <c r="E241" s="17" t="s">
        <v>63</v>
      </c>
      <c r="F241" s="17" t="s">
        <v>63</v>
      </c>
      <c r="G241" s="15" t="s">
        <v>423</v>
      </c>
      <c r="H241" s="18" t="s">
        <v>423</v>
      </c>
      <c r="I241" s="15" t="s">
        <v>342</v>
      </c>
      <c r="J241" s="17" t="s">
        <v>336</v>
      </c>
      <c r="K241" s="17" t="s">
        <v>111</v>
      </c>
      <c r="L241" s="19" t="s">
        <v>111</v>
      </c>
      <c r="M241" s="15" t="s">
        <v>343</v>
      </c>
      <c r="N241" s="17" t="n">
        <v>13520</v>
      </c>
      <c r="O241" s="15" t="s">
        <v>344</v>
      </c>
      <c r="P241" s="19" t="n">
        <v>13520</v>
      </c>
      <c r="Q241" s="15" t="s">
        <v>1208</v>
      </c>
      <c r="R241" s="15" t="s">
        <v>648</v>
      </c>
      <c r="S241" s="15" t="s">
        <v>345</v>
      </c>
      <c r="T241" s="15" t="s">
        <v>341</v>
      </c>
      <c r="U241" s="15" t="s">
        <v>1209</v>
      </c>
    </row>
    <row r="242" customFormat="false" ht="19.5" hidden="false" customHeight="true" outlineLevel="0" collapsed="false">
      <c r="A242" s="26" t="n">
        <v>1582</v>
      </c>
      <c r="B242" s="27" t="s">
        <v>1213</v>
      </c>
      <c r="C242" s="30" t="s">
        <v>260</v>
      </c>
      <c r="D242" s="39" t="n">
        <v>5</v>
      </c>
      <c r="E242" s="30" t="s">
        <v>39</v>
      </c>
      <c r="F242" s="30" t="s">
        <v>39</v>
      </c>
      <c r="G242" s="27" t="s">
        <v>613</v>
      </c>
      <c r="H242" s="40" t="s">
        <v>613</v>
      </c>
      <c r="I242" s="27" t="s">
        <v>342</v>
      </c>
      <c r="J242" s="30" t="s">
        <v>336</v>
      </c>
      <c r="K242" s="30" t="s">
        <v>146</v>
      </c>
      <c r="L242" s="26" t="s">
        <v>111</v>
      </c>
      <c r="M242" s="27" t="s">
        <v>343</v>
      </c>
      <c r="N242" s="30" t="n">
        <v>11922</v>
      </c>
      <c r="O242" s="27" t="s">
        <v>344</v>
      </c>
      <c r="P242" s="26" t="n">
        <v>11922</v>
      </c>
      <c r="Q242" s="27" t="s">
        <v>1204</v>
      </c>
      <c r="R242" s="27" t="s">
        <v>648</v>
      </c>
      <c r="S242" s="27" t="s">
        <v>345</v>
      </c>
      <c r="T242" s="27" t="s">
        <v>341</v>
      </c>
      <c r="U242" s="27" t="s">
        <v>1205</v>
      </c>
    </row>
    <row r="243" customFormat="false" ht="19.5" hidden="false" customHeight="true" outlineLevel="0" collapsed="false">
      <c r="A243" s="19" t="n">
        <v>1584</v>
      </c>
      <c r="B243" s="15" t="s">
        <v>1214</v>
      </c>
      <c r="C243" s="17" t="s">
        <v>1112</v>
      </c>
      <c r="D243" s="16" t="n">
        <v>1</v>
      </c>
      <c r="E243" s="17" t="s">
        <v>63</v>
      </c>
      <c r="F243" s="17" t="s">
        <v>63</v>
      </c>
      <c r="G243" s="15" t="s">
        <v>470</v>
      </c>
      <c r="H243" s="18" t="s">
        <v>470</v>
      </c>
      <c r="I243" s="15" t="s">
        <v>469</v>
      </c>
      <c r="J243" s="17" t="s">
        <v>336</v>
      </c>
      <c r="K243" s="17" t="s">
        <v>82</v>
      </c>
      <c r="L243" s="19" t="s">
        <v>82</v>
      </c>
      <c r="M243" s="15" t="s">
        <v>343</v>
      </c>
      <c r="N243" s="17" t="n">
        <v>11320</v>
      </c>
      <c r="O243" s="15" t="s">
        <v>344</v>
      </c>
      <c r="P243" s="19" t="n">
        <v>11320</v>
      </c>
      <c r="Q243" s="15" t="s">
        <v>992</v>
      </c>
      <c r="R243" s="15" t="s">
        <v>648</v>
      </c>
      <c r="S243" s="15" t="s">
        <v>345</v>
      </c>
      <c r="T243" s="15" t="s">
        <v>341</v>
      </c>
      <c r="U243" s="15" t="s">
        <v>993</v>
      </c>
    </row>
    <row r="244" customFormat="false" ht="19.5" hidden="false" customHeight="true" outlineLevel="0" collapsed="false">
      <c r="A244" s="26" t="n">
        <v>1587</v>
      </c>
      <c r="B244" s="27" t="s">
        <v>1215</v>
      </c>
      <c r="C244" s="30" t="s">
        <v>1192</v>
      </c>
      <c r="D244" s="39" t="n">
        <v>0</v>
      </c>
      <c r="E244" s="30" t="s">
        <v>39</v>
      </c>
      <c r="F244" s="30" t="s">
        <v>39</v>
      </c>
      <c r="G244" s="27" t="s">
        <v>417</v>
      </c>
      <c r="H244" s="40" t="s">
        <v>417</v>
      </c>
      <c r="I244" s="27" t="s">
        <v>418</v>
      </c>
      <c r="J244" s="30" t="s">
        <v>336</v>
      </c>
      <c r="K244" s="30" t="s">
        <v>419</v>
      </c>
      <c r="L244" s="26" t="s">
        <v>419</v>
      </c>
      <c r="M244" s="27" t="s">
        <v>352</v>
      </c>
      <c r="N244" s="30" t="n">
        <v>0</v>
      </c>
      <c r="O244" s="27" t="s">
        <v>344</v>
      </c>
      <c r="P244" s="26" t="n">
        <v>12621</v>
      </c>
      <c r="Q244" s="27" t="s">
        <v>1216</v>
      </c>
      <c r="R244" s="27" t="s">
        <v>1217</v>
      </c>
      <c r="S244" s="27" t="s">
        <v>340</v>
      </c>
      <c r="T244" s="27" t="s">
        <v>341</v>
      </c>
      <c r="U244" s="27" t="s">
        <v>1218</v>
      </c>
    </row>
    <row r="245" customFormat="false" ht="19.5" hidden="false" customHeight="true" outlineLevel="0" collapsed="false">
      <c r="A245" s="19" t="n">
        <v>1588</v>
      </c>
      <c r="B245" s="15" t="s">
        <v>1219</v>
      </c>
      <c r="C245" s="17" t="s">
        <v>1192</v>
      </c>
      <c r="D245" s="16" t="n">
        <v>0</v>
      </c>
      <c r="E245" s="17" t="s">
        <v>63</v>
      </c>
      <c r="F245" s="17" t="s">
        <v>63</v>
      </c>
      <c r="G245" s="15" t="s">
        <v>531</v>
      </c>
      <c r="H245" s="18" t="s">
        <v>531</v>
      </c>
      <c r="I245" s="15" t="s">
        <v>402</v>
      </c>
      <c r="J245" s="17" t="s">
        <v>336</v>
      </c>
      <c r="K245" s="17" t="s">
        <v>530</v>
      </c>
      <c r="L245" s="19" t="s">
        <v>530</v>
      </c>
      <c r="M245" s="15" t="s">
        <v>352</v>
      </c>
      <c r="N245" s="17" t="n">
        <v>12418</v>
      </c>
      <c r="O245" s="15" t="s">
        <v>344</v>
      </c>
      <c r="P245" s="19" t="n">
        <v>12418</v>
      </c>
      <c r="Q245" s="15" t="s">
        <v>1220</v>
      </c>
      <c r="R245" s="15" t="s">
        <v>648</v>
      </c>
      <c r="S245" s="15" t="s">
        <v>340</v>
      </c>
      <c r="T245" s="15" t="s">
        <v>341</v>
      </c>
      <c r="U245" s="15" t="s">
        <v>1221</v>
      </c>
    </row>
    <row r="246" customFormat="false" ht="19.5" hidden="false" customHeight="true" outlineLevel="0" collapsed="false">
      <c r="A246" s="26" t="n">
        <v>1599</v>
      </c>
      <c r="B246" s="27" t="s">
        <v>1222</v>
      </c>
      <c r="C246" s="30" t="s">
        <v>260</v>
      </c>
      <c r="D246" s="39" t="n">
        <v>5</v>
      </c>
      <c r="E246" s="30" t="s">
        <v>39</v>
      </c>
      <c r="F246" s="30" t="s">
        <v>39</v>
      </c>
      <c r="G246" s="27" t="s">
        <v>388</v>
      </c>
      <c r="H246" s="40" t="s">
        <v>388</v>
      </c>
      <c r="I246" s="27" t="s">
        <v>389</v>
      </c>
      <c r="J246" s="30" t="s">
        <v>336</v>
      </c>
      <c r="K246" s="30" t="s">
        <v>140</v>
      </c>
      <c r="L246" s="26" t="s">
        <v>140</v>
      </c>
      <c r="M246" s="27" t="s">
        <v>343</v>
      </c>
      <c r="N246" s="30" t="n">
        <v>0</v>
      </c>
      <c r="O246" s="27" t="s">
        <v>344</v>
      </c>
      <c r="P246" s="26" t="n">
        <v>43418</v>
      </c>
      <c r="Q246" s="27" t="s">
        <v>1223</v>
      </c>
      <c r="R246" s="27" t="s">
        <v>1217</v>
      </c>
      <c r="S246" s="27" t="s">
        <v>345</v>
      </c>
      <c r="T246" s="27" t="s">
        <v>341</v>
      </c>
      <c r="U246" s="27" t="s">
        <v>1224</v>
      </c>
    </row>
    <row r="247" customFormat="false" ht="19.5" hidden="false" customHeight="true" outlineLevel="0" collapsed="false">
      <c r="A247" s="19" t="n">
        <v>1600</v>
      </c>
      <c r="B247" s="15" t="s">
        <v>1225</v>
      </c>
      <c r="C247" s="17" t="s">
        <v>1226</v>
      </c>
      <c r="D247" s="16" t="n">
        <v>1</v>
      </c>
      <c r="E247" s="17" t="s">
        <v>63</v>
      </c>
      <c r="F247" s="17" t="s">
        <v>63</v>
      </c>
      <c r="G247" s="15" t="s">
        <v>117</v>
      </c>
      <c r="H247" s="18" t="s">
        <v>1227</v>
      </c>
      <c r="I247" s="15" t="s">
        <v>382</v>
      </c>
      <c r="J247" s="17" t="s">
        <v>336</v>
      </c>
      <c r="K247" s="17" t="s">
        <v>159</v>
      </c>
      <c r="L247" s="19" t="s">
        <v>159</v>
      </c>
      <c r="M247" s="15" t="s">
        <v>349</v>
      </c>
      <c r="N247" s="17" t="n">
        <v>0</v>
      </c>
      <c r="O247" s="15" t="s">
        <v>339</v>
      </c>
      <c r="P247" s="19" t="s">
        <v>690</v>
      </c>
      <c r="Q247" s="15" t="s">
        <v>691</v>
      </c>
      <c r="R247" s="15" t="s">
        <v>692</v>
      </c>
      <c r="S247" s="15" t="s">
        <v>345</v>
      </c>
      <c r="T247" s="15" t="s">
        <v>341</v>
      </c>
      <c r="U247" s="15" t="s">
        <v>1228</v>
      </c>
    </row>
    <row r="248" customFormat="false" ht="19.5" hidden="false" customHeight="true" outlineLevel="0" collapsed="false">
      <c r="A248" s="26" t="n">
        <v>1601</v>
      </c>
      <c r="B248" s="27" t="s">
        <v>1229</v>
      </c>
      <c r="C248" s="30" t="s">
        <v>1230</v>
      </c>
      <c r="D248" s="39" t="n">
        <v>20</v>
      </c>
      <c r="E248" s="30" t="s">
        <v>39</v>
      </c>
      <c r="F248" s="30" t="s">
        <v>39</v>
      </c>
      <c r="G248" s="27" t="s">
        <v>117</v>
      </c>
      <c r="H248" s="40" t="s">
        <v>1227</v>
      </c>
      <c r="I248" s="27" t="s">
        <v>382</v>
      </c>
      <c r="J248" s="30" t="s">
        <v>336</v>
      </c>
      <c r="K248" s="30" t="s">
        <v>159</v>
      </c>
      <c r="L248" s="26" t="s">
        <v>159</v>
      </c>
      <c r="M248" s="27" t="s">
        <v>349</v>
      </c>
      <c r="N248" s="30" t="n">
        <v>0</v>
      </c>
      <c r="O248" s="27" t="s">
        <v>339</v>
      </c>
      <c r="P248" s="26" t="s">
        <v>690</v>
      </c>
      <c r="Q248" s="27" t="s">
        <v>691</v>
      </c>
      <c r="R248" s="27" t="s">
        <v>692</v>
      </c>
      <c r="S248" s="27" t="s">
        <v>345</v>
      </c>
      <c r="T248" s="27" t="s">
        <v>341</v>
      </c>
      <c r="U248" s="27" t="s">
        <v>1231</v>
      </c>
    </row>
    <row r="249" customFormat="false" ht="19.5" hidden="false" customHeight="true" outlineLevel="0" collapsed="false">
      <c r="A249" s="19" t="n">
        <v>1602</v>
      </c>
      <c r="B249" s="15" t="s">
        <v>1232</v>
      </c>
      <c r="C249" s="17" t="s">
        <v>1233</v>
      </c>
      <c r="D249" s="16" t="n">
        <v>4.5</v>
      </c>
      <c r="E249" s="17" t="s">
        <v>63</v>
      </c>
      <c r="F249" s="17" t="s">
        <v>63</v>
      </c>
      <c r="G249" s="15" t="s">
        <v>117</v>
      </c>
      <c r="H249" s="18" t="s">
        <v>1234</v>
      </c>
      <c r="I249" s="15" t="s">
        <v>382</v>
      </c>
      <c r="J249" s="17" t="s">
        <v>336</v>
      </c>
      <c r="K249" s="17" t="s">
        <v>159</v>
      </c>
      <c r="L249" s="19" t="s">
        <v>159</v>
      </c>
      <c r="M249" s="15" t="s">
        <v>349</v>
      </c>
      <c r="N249" s="17" t="n">
        <v>0</v>
      </c>
      <c r="O249" s="15" t="s">
        <v>339</v>
      </c>
      <c r="P249" s="19" t="s">
        <v>690</v>
      </c>
      <c r="Q249" s="15" t="s">
        <v>691</v>
      </c>
      <c r="R249" s="15" t="s">
        <v>692</v>
      </c>
      <c r="S249" s="15" t="s">
        <v>345</v>
      </c>
      <c r="T249" s="15" t="s">
        <v>341</v>
      </c>
      <c r="U249" s="15" t="s">
        <v>1235</v>
      </c>
    </row>
    <row r="250" customFormat="false" ht="19.5" hidden="false" customHeight="true" outlineLevel="0" collapsed="false">
      <c r="A250" s="26" t="n">
        <v>1611</v>
      </c>
      <c r="B250" s="27" t="s">
        <v>1236</v>
      </c>
      <c r="C250" s="30" t="s">
        <v>1237</v>
      </c>
      <c r="D250" s="39" t="n">
        <v>1</v>
      </c>
      <c r="E250" s="30" t="s">
        <v>63</v>
      </c>
      <c r="F250" s="30" t="s">
        <v>63</v>
      </c>
      <c r="G250" s="27" t="s">
        <v>434</v>
      </c>
      <c r="H250" s="40" t="s">
        <v>434</v>
      </c>
      <c r="I250" s="27" t="s">
        <v>382</v>
      </c>
      <c r="J250" s="30" t="s">
        <v>336</v>
      </c>
      <c r="K250" s="30" t="s">
        <v>159</v>
      </c>
      <c r="L250" s="26" t="s">
        <v>159</v>
      </c>
      <c r="M250" s="27" t="s">
        <v>349</v>
      </c>
      <c r="N250" s="30" t="n">
        <v>0</v>
      </c>
      <c r="O250" s="27" t="s">
        <v>339</v>
      </c>
      <c r="P250" s="26" t="s">
        <v>690</v>
      </c>
      <c r="Q250" s="27" t="s">
        <v>691</v>
      </c>
      <c r="R250" s="27" t="s">
        <v>692</v>
      </c>
      <c r="S250" s="27" t="s">
        <v>345</v>
      </c>
      <c r="T250" s="27" t="s">
        <v>341</v>
      </c>
      <c r="U250" s="27" t="s">
        <v>693</v>
      </c>
    </row>
    <row r="251" customFormat="false" ht="19.5" hidden="false" customHeight="true" outlineLevel="0" collapsed="false">
      <c r="A251" s="19" t="n">
        <v>1612</v>
      </c>
      <c r="B251" s="15" t="s">
        <v>1238</v>
      </c>
      <c r="C251" s="17" t="s">
        <v>1237</v>
      </c>
      <c r="D251" s="16" t="n">
        <v>1</v>
      </c>
      <c r="E251" s="17" t="s">
        <v>63</v>
      </c>
      <c r="F251" s="17" t="s">
        <v>63</v>
      </c>
      <c r="G251" s="15" t="s">
        <v>434</v>
      </c>
      <c r="H251" s="18" t="s">
        <v>434</v>
      </c>
      <c r="I251" s="15" t="s">
        <v>382</v>
      </c>
      <c r="J251" s="17" t="s">
        <v>336</v>
      </c>
      <c r="K251" s="17" t="s">
        <v>159</v>
      </c>
      <c r="L251" s="19" t="s">
        <v>159</v>
      </c>
      <c r="M251" s="15" t="s">
        <v>349</v>
      </c>
      <c r="N251" s="17" t="n">
        <v>0</v>
      </c>
      <c r="O251" s="15" t="s">
        <v>339</v>
      </c>
      <c r="P251" s="19" t="s">
        <v>690</v>
      </c>
      <c r="Q251" s="15" t="s">
        <v>691</v>
      </c>
      <c r="R251" s="15" t="s">
        <v>692</v>
      </c>
      <c r="S251" s="15" t="s">
        <v>345</v>
      </c>
      <c r="T251" s="15" t="s">
        <v>341</v>
      </c>
      <c r="U251" s="15" t="s">
        <v>693</v>
      </c>
    </row>
    <row r="252" customFormat="false" ht="19.5" hidden="false" customHeight="true" outlineLevel="0" collapsed="false">
      <c r="A252" s="26" t="n">
        <v>1613</v>
      </c>
      <c r="B252" s="27" t="s">
        <v>1239</v>
      </c>
      <c r="C252" s="30" t="s">
        <v>1237</v>
      </c>
      <c r="D252" s="39" t="n">
        <v>1</v>
      </c>
      <c r="E252" s="30" t="s">
        <v>63</v>
      </c>
      <c r="F252" s="30" t="s">
        <v>63</v>
      </c>
      <c r="G252" s="27" t="s">
        <v>434</v>
      </c>
      <c r="H252" s="40" t="s">
        <v>434</v>
      </c>
      <c r="I252" s="27" t="s">
        <v>382</v>
      </c>
      <c r="J252" s="30" t="s">
        <v>336</v>
      </c>
      <c r="K252" s="30" t="s">
        <v>159</v>
      </c>
      <c r="L252" s="26" t="s">
        <v>159</v>
      </c>
      <c r="M252" s="27" t="s">
        <v>349</v>
      </c>
      <c r="N252" s="30" t="n">
        <v>0</v>
      </c>
      <c r="O252" s="27" t="s">
        <v>339</v>
      </c>
      <c r="P252" s="26" t="s">
        <v>690</v>
      </c>
      <c r="Q252" s="27" t="s">
        <v>691</v>
      </c>
      <c r="R252" s="27" t="s">
        <v>692</v>
      </c>
      <c r="S252" s="27" t="s">
        <v>345</v>
      </c>
      <c r="T252" s="27" t="s">
        <v>341</v>
      </c>
      <c r="U252" s="27" t="s">
        <v>693</v>
      </c>
    </row>
    <row r="253" customFormat="false" ht="19.5" hidden="false" customHeight="true" outlineLevel="0" collapsed="false">
      <c r="A253" s="19" t="n">
        <v>1615</v>
      </c>
      <c r="B253" s="15" t="s">
        <v>1240</v>
      </c>
      <c r="C253" s="17" t="s">
        <v>263</v>
      </c>
      <c r="D253" s="16" t="n">
        <v>20</v>
      </c>
      <c r="E253" s="17" t="s">
        <v>39</v>
      </c>
      <c r="F253" s="17" t="s">
        <v>39</v>
      </c>
      <c r="G253" s="15" t="s">
        <v>613</v>
      </c>
      <c r="H253" s="18" t="s">
        <v>613</v>
      </c>
      <c r="I253" s="15" t="s">
        <v>342</v>
      </c>
      <c r="J253" s="17" t="s">
        <v>336</v>
      </c>
      <c r="K253" s="17" t="s">
        <v>111</v>
      </c>
      <c r="L253" s="19" t="s">
        <v>111</v>
      </c>
      <c r="M253" s="15" t="s">
        <v>343</v>
      </c>
      <c r="N253" s="17" t="n">
        <v>28319</v>
      </c>
      <c r="O253" s="15" t="s">
        <v>344</v>
      </c>
      <c r="P253" s="19" t="n">
        <v>28319</v>
      </c>
      <c r="Q253" s="15" t="s">
        <v>1241</v>
      </c>
      <c r="R253" s="15" t="s">
        <v>648</v>
      </c>
      <c r="S253" s="15" t="s">
        <v>345</v>
      </c>
      <c r="T253" s="15" t="s">
        <v>341</v>
      </c>
      <c r="U253" s="15" t="s">
        <v>1242</v>
      </c>
    </row>
    <row r="254" customFormat="false" ht="19.5" hidden="false" customHeight="true" outlineLevel="0" collapsed="false">
      <c r="A254" s="26" t="n">
        <v>1617</v>
      </c>
      <c r="B254" s="27" t="s">
        <v>1243</v>
      </c>
      <c r="C254" s="30" t="s">
        <v>260</v>
      </c>
      <c r="D254" s="39" t="n">
        <v>5</v>
      </c>
      <c r="E254" s="30" t="s">
        <v>39</v>
      </c>
      <c r="F254" s="30" t="s">
        <v>39</v>
      </c>
      <c r="G254" s="27" t="s">
        <v>613</v>
      </c>
      <c r="H254" s="40" t="s">
        <v>613</v>
      </c>
      <c r="I254" s="27" t="s">
        <v>342</v>
      </c>
      <c r="J254" s="30" t="s">
        <v>336</v>
      </c>
      <c r="K254" s="30" t="s">
        <v>111</v>
      </c>
      <c r="L254" s="26" t="s">
        <v>111</v>
      </c>
      <c r="M254" s="27" t="s">
        <v>343</v>
      </c>
      <c r="N254" s="30" t="n">
        <v>17208</v>
      </c>
      <c r="O254" s="27" t="s">
        <v>344</v>
      </c>
      <c r="P254" s="26" t="n">
        <v>17208</v>
      </c>
      <c r="Q254" s="27" t="s">
        <v>1067</v>
      </c>
      <c r="R254" s="27" t="s">
        <v>648</v>
      </c>
      <c r="S254" s="27" t="s">
        <v>345</v>
      </c>
      <c r="T254" s="27" t="s">
        <v>341</v>
      </c>
      <c r="U254" s="27" t="s">
        <v>1068</v>
      </c>
    </row>
    <row r="255" customFormat="false" ht="19.5" hidden="false" customHeight="true" outlineLevel="0" collapsed="false">
      <c r="A255" s="19" t="n">
        <v>1622</v>
      </c>
      <c r="B255" s="15" t="s">
        <v>1244</v>
      </c>
      <c r="C255" s="17" t="s">
        <v>263</v>
      </c>
      <c r="D255" s="16" t="n">
        <v>20</v>
      </c>
      <c r="E255" s="17" t="s">
        <v>39</v>
      </c>
      <c r="F255" s="17" t="s">
        <v>39</v>
      </c>
      <c r="G255" s="15" t="s">
        <v>599</v>
      </c>
      <c r="H255" s="18" t="s">
        <v>599</v>
      </c>
      <c r="I255" s="15" t="s">
        <v>342</v>
      </c>
      <c r="J255" s="17" t="s">
        <v>336</v>
      </c>
      <c r="K255" s="17" t="s">
        <v>111</v>
      </c>
      <c r="L255" s="19" t="s">
        <v>111</v>
      </c>
      <c r="M255" s="15" t="s">
        <v>343</v>
      </c>
      <c r="N255" s="17" t="n">
        <v>34122</v>
      </c>
      <c r="O255" s="15" t="s">
        <v>344</v>
      </c>
      <c r="P255" s="19" t="n">
        <v>34122</v>
      </c>
      <c r="Q255" s="15" t="s">
        <v>1006</v>
      </c>
      <c r="R255" s="15" t="s">
        <v>648</v>
      </c>
      <c r="S255" s="15" t="s">
        <v>345</v>
      </c>
      <c r="T255" s="15" t="s">
        <v>341</v>
      </c>
      <c r="U255" s="15" t="s">
        <v>1245</v>
      </c>
    </row>
    <row r="256" customFormat="false" ht="19.5" hidden="false" customHeight="true" outlineLevel="0" collapsed="false">
      <c r="A256" s="26" t="n">
        <v>1625</v>
      </c>
      <c r="B256" s="27" t="s">
        <v>1246</v>
      </c>
      <c r="C256" s="30" t="s">
        <v>272</v>
      </c>
      <c r="D256" s="39" t="n">
        <v>5</v>
      </c>
      <c r="E256" s="30" t="s">
        <v>63</v>
      </c>
      <c r="F256" s="30" t="s">
        <v>63</v>
      </c>
      <c r="G256" s="27" t="s">
        <v>359</v>
      </c>
      <c r="H256" s="40" t="s">
        <v>359</v>
      </c>
      <c r="I256" s="27" t="s">
        <v>356</v>
      </c>
      <c r="J256" s="30" t="s">
        <v>336</v>
      </c>
      <c r="K256" s="30" t="s">
        <v>82</v>
      </c>
      <c r="L256" s="26" t="s">
        <v>82</v>
      </c>
      <c r="M256" s="27" t="s">
        <v>343</v>
      </c>
      <c r="N256" s="30" t="n">
        <v>20723</v>
      </c>
      <c r="O256" s="27" t="s">
        <v>344</v>
      </c>
      <c r="P256" s="26" t="n">
        <v>20723</v>
      </c>
      <c r="Q256" s="27" t="s">
        <v>1247</v>
      </c>
      <c r="R256" s="27" t="s">
        <v>648</v>
      </c>
      <c r="S256" s="27" t="s">
        <v>345</v>
      </c>
      <c r="T256" s="27" t="s">
        <v>341</v>
      </c>
      <c r="U256" s="27" t="s">
        <v>1248</v>
      </c>
    </row>
    <row r="257" customFormat="false" ht="19.5" hidden="false" customHeight="true" outlineLevel="0" collapsed="false">
      <c r="A257" s="19" t="n">
        <v>1627</v>
      </c>
      <c r="B257" s="15" t="s">
        <v>1249</v>
      </c>
      <c r="C257" s="17" t="s">
        <v>1192</v>
      </c>
      <c r="D257" s="16" t="n">
        <v>0</v>
      </c>
      <c r="E257" s="17" t="s">
        <v>39</v>
      </c>
      <c r="F257" s="17" t="s">
        <v>39</v>
      </c>
      <c r="G257" s="15" t="s">
        <v>155</v>
      </c>
      <c r="H257" s="18" t="s">
        <v>155</v>
      </c>
      <c r="I257" s="15" t="s">
        <v>413</v>
      </c>
      <c r="J257" s="17" t="s">
        <v>336</v>
      </c>
      <c r="K257" s="17" t="s">
        <v>111</v>
      </c>
      <c r="L257" s="19" t="s">
        <v>111</v>
      </c>
      <c r="M257" s="15" t="s">
        <v>352</v>
      </c>
      <c r="N257" s="17" t="n">
        <v>22921</v>
      </c>
      <c r="O257" s="15" t="s">
        <v>344</v>
      </c>
      <c r="P257" s="19" t="n">
        <v>22921</v>
      </c>
      <c r="Q257" s="15" t="s">
        <v>1250</v>
      </c>
      <c r="R257" s="15" t="s">
        <v>648</v>
      </c>
      <c r="S257" s="15" t="s">
        <v>340</v>
      </c>
      <c r="T257" s="15" t="s">
        <v>341</v>
      </c>
      <c r="U257" s="15" t="s">
        <v>1251</v>
      </c>
    </row>
    <row r="258" customFormat="false" ht="19.5" hidden="false" customHeight="true" outlineLevel="0" collapsed="false">
      <c r="A258" s="26" t="n">
        <v>1636</v>
      </c>
      <c r="B258" s="27" t="s">
        <v>1252</v>
      </c>
      <c r="C258" s="30" t="s">
        <v>1082</v>
      </c>
      <c r="D258" s="39" t="n">
        <v>1000</v>
      </c>
      <c r="E258" s="30" t="s">
        <v>39</v>
      </c>
      <c r="F258" s="30" t="s">
        <v>39</v>
      </c>
      <c r="G258" s="27" t="s">
        <v>545</v>
      </c>
      <c r="H258" s="40" t="s">
        <v>545</v>
      </c>
      <c r="I258" s="27" t="s">
        <v>382</v>
      </c>
      <c r="J258" s="30" t="s">
        <v>336</v>
      </c>
      <c r="K258" s="30" t="s">
        <v>159</v>
      </c>
      <c r="L258" s="26" t="s">
        <v>159</v>
      </c>
      <c r="M258" s="27" t="s">
        <v>349</v>
      </c>
      <c r="N258" s="30" t="n">
        <v>0</v>
      </c>
      <c r="O258" s="27" t="s">
        <v>339</v>
      </c>
      <c r="P258" s="26" t="s">
        <v>690</v>
      </c>
      <c r="Q258" s="27" t="s">
        <v>691</v>
      </c>
      <c r="R258" s="27" t="s">
        <v>692</v>
      </c>
      <c r="S258" s="27" t="s">
        <v>345</v>
      </c>
      <c r="T258" s="27" t="s">
        <v>341</v>
      </c>
      <c r="U258" s="27" t="s">
        <v>693</v>
      </c>
    </row>
    <row r="259" customFormat="false" ht="19.5" hidden="false" customHeight="true" outlineLevel="0" collapsed="false">
      <c r="A259" s="19" t="n">
        <v>1637</v>
      </c>
      <c r="B259" s="15" t="s">
        <v>1253</v>
      </c>
      <c r="C259" s="17" t="s">
        <v>1192</v>
      </c>
      <c r="D259" s="16" t="n">
        <v>0</v>
      </c>
      <c r="E259" s="17" t="s">
        <v>63</v>
      </c>
      <c r="F259" s="17" t="s">
        <v>63</v>
      </c>
      <c r="G259" s="15" t="s">
        <v>424</v>
      </c>
      <c r="H259" s="18" t="s">
        <v>424</v>
      </c>
      <c r="I259" s="15" t="s">
        <v>413</v>
      </c>
      <c r="J259" s="17" t="s">
        <v>336</v>
      </c>
      <c r="K259" s="17" t="s">
        <v>111</v>
      </c>
      <c r="L259" s="19" t="s">
        <v>111</v>
      </c>
      <c r="M259" s="15" t="s">
        <v>352</v>
      </c>
      <c r="N259" s="17" t="n">
        <v>1411</v>
      </c>
      <c r="O259" s="15" t="s">
        <v>344</v>
      </c>
      <c r="P259" s="19" t="n">
        <v>1411</v>
      </c>
      <c r="Q259" s="15" t="s">
        <v>1254</v>
      </c>
      <c r="R259" s="15" t="s">
        <v>702</v>
      </c>
      <c r="S259" s="15" t="s">
        <v>340</v>
      </c>
      <c r="T259" s="15" t="s">
        <v>341</v>
      </c>
      <c r="U259" s="15" t="s">
        <v>1255</v>
      </c>
    </row>
    <row r="260" customFormat="false" ht="19.5" hidden="false" customHeight="true" outlineLevel="0" collapsed="false">
      <c r="A260" s="26" t="n">
        <v>1638</v>
      </c>
      <c r="B260" s="27" t="s">
        <v>1256</v>
      </c>
      <c r="C260" s="30" t="s">
        <v>263</v>
      </c>
      <c r="D260" s="39" t="n">
        <v>20</v>
      </c>
      <c r="E260" s="30" t="s">
        <v>39</v>
      </c>
      <c r="F260" s="30" t="s">
        <v>39</v>
      </c>
      <c r="G260" s="27" t="s">
        <v>135</v>
      </c>
      <c r="H260" s="40" t="s">
        <v>135</v>
      </c>
      <c r="I260" s="27" t="s">
        <v>379</v>
      </c>
      <c r="J260" s="30" t="s">
        <v>336</v>
      </c>
      <c r="K260" s="30" t="s">
        <v>140</v>
      </c>
      <c r="L260" s="26" t="s">
        <v>140</v>
      </c>
      <c r="M260" s="27" t="s">
        <v>343</v>
      </c>
      <c r="N260" s="30" t="n">
        <v>28517</v>
      </c>
      <c r="O260" s="27" t="s">
        <v>344</v>
      </c>
      <c r="P260" s="26" t="n">
        <v>28517</v>
      </c>
      <c r="Q260" s="27" t="s">
        <v>1257</v>
      </c>
      <c r="R260" s="27" t="s">
        <v>648</v>
      </c>
      <c r="S260" s="27" t="s">
        <v>345</v>
      </c>
      <c r="T260" s="27" t="s">
        <v>341</v>
      </c>
      <c r="U260" s="27" t="s">
        <v>1258</v>
      </c>
    </row>
    <row r="261" customFormat="false" ht="19.5" hidden="false" customHeight="true" outlineLevel="0" collapsed="false">
      <c r="A261" s="19" t="n">
        <v>1639</v>
      </c>
      <c r="B261" s="15" t="s">
        <v>1259</v>
      </c>
      <c r="C261" s="17" t="s">
        <v>260</v>
      </c>
      <c r="D261" s="16" t="n">
        <v>5</v>
      </c>
      <c r="E261" s="17" t="s">
        <v>39</v>
      </c>
      <c r="F261" s="17" t="s">
        <v>39</v>
      </c>
      <c r="G261" s="15" t="s">
        <v>135</v>
      </c>
      <c r="H261" s="18" t="s">
        <v>135</v>
      </c>
      <c r="I261" s="15" t="s">
        <v>379</v>
      </c>
      <c r="J261" s="17" t="s">
        <v>336</v>
      </c>
      <c r="K261" s="17" t="s">
        <v>140</v>
      </c>
      <c r="L261" s="19" t="s">
        <v>140</v>
      </c>
      <c r="M261" s="15" t="s">
        <v>343</v>
      </c>
      <c r="N261" s="17" t="n">
        <v>28517</v>
      </c>
      <c r="O261" s="15" t="s">
        <v>344</v>
      </c>
      <c r="P261" s="19" t="n">
        <v>28517</v>
      </c>
      <c r="Q261" s="15" t="s">
        <v>1257</v>
      </c>
      <c r="R261" s="15" t="s">
        <v>648</v>
      </c>
      <c r="S261" s="15" t="s">
        <v>345</v>
      </c>
      <c r="T261" s="15" t="s">
        <v>341</v>
      </c>
      <c r="U261" s="15" t="s">
        <v>1258</v>
      </c>
    </row>
    <row r="262" customFormat="false" ht="19.5" hidden="false" customHeight="true" outlineLevel="0" collapsed="false">
      <c r="A262" s="26" t="n">
        <v>1640</v>
      </c>
      <c r="B262" s="27" t="s">
        <v>1260</v>
      </c>
      <c r="C262" s="30" t="s">
        <v>263</v>
      </c>
      <c r="D262" s="39" t="n">
        <v>20</v>
      </c>
      <c r="E262" s="30" t="s">
        <v>39</v>
      </c>
      <c r="F262" s="30" t="s">
        <v>39</v>
      </c>
      <c r="G262" s="27" t="s">
        <v>373</v>
      </c>
      <c r="H262" s="40" t="s">
        <v>373</v>
      </c>
      <c r="I262" s="27" t="s">
        <v>342</v>
      </c>
      <c r="J262" s="30" t="s">
        <v>336</v>
      </c>
      <c r="K262" s="30" t="s">
        <v>374</v>
      </c>
      <c r="L262" s="26" t="s">
        <v>374</v>
      </c>
      <c r="M262" s="27" t="s">
        <v>343</v>
      </c>
      <c r="N262" s="30" t="n">
        <v>16318</v>
      </c>
      <c r="O262" s="27" t="s">
        <v>344</v>
      </c>
      <c r="P262" s="26" t="n">
        <v>16318</v>
      </c>
      <c r="Q262" s="27" t="s">
        <v>1261</v>
      </c>
      <c r="R262" s="27" t="s">
        <v>648</v>
      </c>
      <c r="S262" s="27" t="s">
        <v>345</v>
      </c>
      <c r="T262" s="27" t="s">
        <v>341</v>
      </c>
      <c r="U262" s="27" t="s">
        <v>1262</v>
      </c>
    </row>
    <row r="263" customFormat="false" ht="19.5" hidden="false" customHeight="true" outlineLevel="0" collapsed="false">
      <c r="A263" s="19" t="n">
        <v>1641</v>
      </c>
      <c r="B263" s="15" t="s">
        <v>271</v>
      </c>
      <c r="C263" s="17" t="s">
        <v>272</v>
      </c>
      <c r="D263" s="16" t="n">
        <v>5</v>
      </c>
      <c r="E263" s="17" t="s">
        <v>63</v>
      </c>
      <c r="F263" s="17" t="s">
        <v>63</v>
      </c>
      <c r="G263" s="15" t="s">
        <v>78</v>
      </c>
      <c r="H263" s="18" t="s">
        <v>78</v>
      </c>
      <c r="I263" s="15" t="s">
        <v>356</v>
      </c>
      <c r="J263" s="17" t="s">
        <v>360</v>
      </c>
      <c r="K263" s="17" t="s">
        <v>82</v>
      </c>
      <c r="L263" s="19" t="s">
        <v>48</v>
      </c>
      <c r="M263" s="15" t="s">
        <v>361</v>
      </c>
      <c r="N263" s="17" t="n">
        <v>1924</v>
      </c>
      <c r="O263" s="15" t="s">
        <v>344</v>
      </c>
      <c r="P263" s="19" t="n">
        <v>1924</v>
      </c>
      <c r="Q263" s="15" t="s">
        <v>1263</v>
      </c>
      <c r="R263" s="15" t="s">
        <v>648</v>
      </c>
      <c r="S263" s="15" t="s">
        <v>345</v>
      </c>
      <c r="T263" s="15" t="s">
        <v>341</v>
      </c>
      <c r="U263" s="15" t="s">
        <v>1264</v>
      </c>
    </row>
    <row r="264" customFormat="false" ht="19.5" hidden="false" customHeight="true" outlineLevel="0" collapsed="false">
      <c r="A264" s="26" t="n">
        <v>1671</v>
      </c>
      <c r="B264" s="27" t="s">
        <v>1265</v>
      </c>
      <c r="C264" s="30" t="s">
        <v>866</v>
      </c>
      <c r="D264" s="39" t="n">
        <v>1</v>
      </c>
      <c r="E264" s="30" t="s">
        <v>39</v>
      </c>
      <c r="F264" s="30" t="s">
        <v>39</v>
      </c>
      <c r="G264" s="27" t="s">
        <v>408</v>
      </c>
      <c r="H264" s="40" t="s">
        <v>408</v>
      </c>
      <c r="I264" s="27" t="s">
        <v>356</v>
      </c>
      <c r="J264" s="30" t="s">
        <v>336</v>
      </c>
      <c r="K264" s="30" t="s">
        <v>409</v>
      </c>
      <c r="L264" s="26" t="s">
        <v>409</v>
      </c>
      <c r="M264" s="27" t="s">
        <v>343</v>
      </c>
      <c r="N264" s="30" t="n">
        <v>3915</v>
      </c>
      <c r="O264" s="27" t="s">
        <v>344</v>
      </c>
      <c r="P264" s="26" t="n">
        <v>3915</v>
      </c>
      <c r="Q264" s="27" t="s">
        <v>1103</v>
      </c>
      <c r="R264" s="27" t="s">
        <v>648</v>
      </c>
      <c r="S264" s="27" t="s">
        <v>345</v>
      </c>
      <c r="T264" s="27" t="s">
        <v>341</v>
      </c>
      <c r="U264" s="27" t="s">
        <v>1104</v>
      </c>
    </row>
    <row r="265" customFormat="false" ht="19.5" hidden="false" customHeight="true" outlineLevel="0" collapsed="false">
      <c r="A265" s="19" t="n">
        <v>1672</v>
      </c>
      <c r="B265" s="15" t="s">
        <v>1266</v>
      </c>
      <c r="C265" s="17" t="s">
        <v>1192</v>
      </c>
      <c r="D265" s="16" t="n">
        <v>0</v>
      </c>
      <c r="E265" s="17" t="s">
        <v>63</v>
      </c>
      <c r="F265" s="17" t="s">
        <v>63</v>
      </c>
      <c r="G265" s="15" t="s">
        <v>509</v>
      </c>
      <c r="H265" s="18" t="s">
        <v>509</v>
      </c>
      <c r="I265" s="15" t="s">
        <v>413</v>
      </c>
      <c r="J265" s="17" t="s">
        <v>336</v>
      </c>
      <c r="K265" s="17" t="s">
        <v>111</v>
      </c>
      <c r="L265" s="19" t="s">
        <v>111</v>
      </c>
      <c r="M265" s="15" t="s">
        <v>352</v>
      </c>
      <c r="N265" s="17" t="n">
        <v>0</v>
      </c>
      <c r="O265" s="15" t="s">
        <v>353</v>
      </c>
      <c r="P265" s="19" t="s">
        <v>1193</v>
      </c>
      <c r="Q265" s="15" t="s">
        <v>1194</v>
      </c>
      <c r="R265" s="15" t="s">
        <v>717</v>
      </c>
      <c r="S265" s="15" t="s">
        <v>340</v>
      </c>
      <c r="T265" s="15" t="s">
        <v>341</v>
      </c>
      <c r="U265" s="15" t="s">
        <v>1195</v>
      </c>
    </row>
    <row r="266" customFormat="false" ht="19.5" hidden="false" customHeight="true" outlineLevel="0" collapsed="false">
      <c r="A266" s="26" t="n">
        <v>1673</v>
      </c>
      <c r="B266" s="27" t="s">
        <v>1267</v>
      </c>
      <c r="C266" s="30" t="s">
        <v>1268</v>
      </c>
      <c r="D266" s="39" t="n">
        <v>3</v>
      </c>
      <c r="E266" s="30" t="s">
        <v>63</v>
      </c>
      <c r="F266" s="30" t="s">
        <v>63</v>
      </c>
      <c r="G266" s="27" t="s">
        <v>433</v>
      </c>
      <c r="H266" s="40" t="s">
        <v>433</v>
      </c>
      <c r="I266" s="27" t="s">
        <v>421</v>
      </c>
      <c r="J266" s="30" t="s">
        <v>336</v>
      </c>
      <c r="K266" s="30" t="s">
        <v>123</v>
      </c>
      <c r="L266" s="26" t="s">
        <v>123</v>
      </c>
      <c r="M266" s="27" t="s">
        <v>349</v>
      </c>
      <c r="N266" s="30" t="n">
        <v>0</v>
      </c>
      <c r="O266" s="27" t="s">
        <v>339</v>
      </c>
      <c r="P266" s="26" t="s">
        <v>690</v>
      </c>
      <c r="Q266" s="27" t="s">
        <v>691</v>
      </c>
      <c r="R266" s="27" t="s">
        <v>692</v>
      </c>
      <c r="S266" s="27" t="s">
        <v>345</v>
      </c>
      <c r="T266" s="27" t="s">
        <v>341</v>
      </c>
      <c r="U266" s="27" t="s">
        <v>693</v>
      </c>
    </row>
    <row r="267" customFormat="false" ht="19.5" hidden="false" customHeight="true" outlineLevel="0" collapsed="false">
      <c r="A267" s="19" t="n">
        <v>1675</v>
      </c>
      <c r="B267" s="15" t="s">
        <v>1269</v>
      </c>
      <c r="C267" s="17" t="s">
        <v>263</v>
      </c>
      <c r="D267" s="16" t="n">
        <v>20</v>
      </c>
      <c r="E267" s="17" t="s">
        <v>39</v>
      </c>
      <c r="F267" s="17" t="s">
        <v>39</v>
      </c>
      <c r="G267" s="15" t="s">
        <v>473</v>
      </c>
      <c r="H267" s="18" t="s">
        <v>473</v>
      </c>
      <c r="I267" s="15" t="s">
        <v>379</v>
      </c>
      <c r="J267" s="17" t="s">
        <v>336</v>
      </c>
      <c r="K267" s="17" t="s">
        <v>140</v>
      </c>
      <c r="L267" s="19" t="s">
        <v>140</v>
      </c>
      <c r="M267" s="15" t="s">
        <v>343</v>
      </c>
      <c r="N267" s="17" t="n">
        <v>17219</v>
      </c>
      <c r="O267" s="15" t="s">
        <v>344</v>
      </c>
      <c r="P267" s="19" t="n">
        <v>17219</v>
      </c>
      <c r="Q267" s="15" t="s">
        <v>1046</v>
      </c>
      <c r="R267" s="15" t="s">
        <v>648</v>
      </c>
      <c r="S267" s="15" t="s">
        <v>345</v>
      </c>
      <c r="T267" s="15" t="s">
        <v>341</v>
      </c>
      <c r="U267" s="15" t="s">
        <v>1047</v>
      </c>
    </row>
    <row r="268" customFormat="false" ht="19.5" hidden="false" customHeight="true" outlineLevel="0" collapsed="false">
      <c r="A268" s="26" t="n">
        <v>1676</v>
      </c>
      <c r="B268" s="27" t="s">
        <v>1270</v>
      </c>
      <c r="C268" s="30" t="s">
        <v>260</v>
      </c>
      <c r="D268" s="39" t="n">
        <v>5</v>
      </c>
      <c r="E268" s="30" t="s">
        <v>39</v>
      </c>
      <c r="F268" s="30" t="s">
        <v>39</v>
      </c>
      <c r="G268" s="27" t="s">
        <v>468</v>
      </c>
      <c r="H268" s="40" t="s">
        <v>468</v>
      </c>
      <c r="I268" s="27" t="s">
        <v>469</v>
      </c>
      <c r="J268" s="30" t="s">
        <v>336</v>
      </c>
      <c r="K268" s="30" t="s">
        <v>82</v>
      </c>
      <c r="L268" s="26" t="s">
        <v>82</v>
      </c>
      <c r="M268" s="27" t="s">
        <v>343</v>
      </c>
      <c r="N268" s="30" t="n">
        <v>14421</v>
      </c>
      <c r="O268" s="27" t="s">
        <v>344</v>
      </c>
      <c r="P268" s="26" t="n">
        <v>14421</v>
      </c>
      <c r="Q268" s="27" t="s">
        <v>1271</v>
      </c>
      <c r="R268" s="27" t="s">
        <v>648</v>
      </c>
      <c r="S268" s="27" t="s">
        <v>345</v>
      </c>
      <c r="T268" s="27" t="s">
        <v>341</v>
      </c>
      <c r="U268" s="27" t="s">
        <v>1272</v>
      </c>
    </row>
    <row r="269" customFormat="false" ht="19.5" hidden="false" customHeight="true" outlineLevel="0" collapsed="false">
      <c r="A269" s="19" t="n">
        <v>1680</v>
      </c>
      <c r="B269" s="15" t="s">
        <v>1273</v>
      </c>
      <c r="C269" s="17" t="s">
        <v>263</v>
      </c>
      <c r="D269" s="16" t="n">
        <v>20</v>
      </c>
      <c r="E269" s="17" t="s">
        <v>39</v>
      </c>
      <c r="F269" s="17" t="s">
        <v>39</v>
      </c>
      <c r="G269" s="15" t="s">
        <v>460</v>
      </c>
      <c r="H269" s="18" t="s">
        <v>460</v>
      </c>
      <c r="I269" s="15" t="s">
        <v>356</v>
      </c>
      <c r="J269" s="17" t="s">
        <v>336</v>
      </c>
      <c r="K269" s="17" t="s">
        <v>82</v>
      </c>
      <c r="L269" s="19" t="s">
        <v>82</v>
      </c>
      <c r="M269" s="15" t="s">
        <v>343</v>
      </c>
      <c r="N269" s="17" t="n">
        <v>14024</v>
      </c>
      <c r="O269" s="15" t="s">
        <v>344</v>
      </c>
      <c r="P269" s="19" t="n">
        <v>14024</v>
      </c>
      <c r="Q269" s="15" t="s">
        <v>1274</v>
      </c>
      <c r="R269" s="15" t="s">
        <v>648</v>
      </c>
      <c r="S269" s="15" t="s">
        <v>345</v>
      </c>
      <c r="T269" s="15" t="s">
        <v>341</v>
      </c>
      <c r="U269" s="15" t="s">
        <v>1275</v>
      </c>
    </row>
    <row r="270" customFormat="false" ht="19.5" hidden="false" customHeight="true" outlineLevel="0" collapsed="false">
      <c r="A270" s="26" t="n">
        <v>1681</v>
      </c>
      <c r="B270" s="27" t="s">
        <v>1276</v>
      </c>
      <c r="C270" s="30" t="s">
        <v>854</v>
      </c>
      <c r="D270" s="39" t="n">
        <v>15</v>
      </c>
      <c r="E270" s="30" t="s">
        <v>63</v>
      </c>
      <c r="F270" s="30" t="s">
        <v>63</v>
      </c>
      <c r="G270" s="27" t="s">
        <v>531</v>
      </c>
      <c r="H270" s="40" t="s">
        <v>531</v>
      </c>
      <c r="I270" s="27" t="s">
        <v>379</v>
      </c>
      <c r="J270" s="30" t="s">
        <v>336</v>
      </c>
      <c r="K270" s="30" t="s">
        <v>530</v>
      </c>
      <c r="L270" s="26" t="s">
        <v>530</v>
      </c>
      <c r="M270" s="27" t="s">
        <v>343</v>
      </c>
      <c r="N270" s="30" t="n">
        <v>2004</v>
      </c>
      <c r="O270" s="27" t="s">
        <v>344</v>
      </c>
      <c r="P270" s="26" t="n">
        <v>2004</v>
      </c>
      <c r="Q270" s="27" t="s">
        <v>1277</v>
      </c>
      <c r="R270" s="27" t="s">
        <v>648</v>
      </c>
      <c r="S270" s="27" t="s">
        <v>345</v>
      </c>
      <c r="T270" s="27" t="s">
        <v>341</v>
      </c>
      <c r="U270" s="27" t="s">
        <v>1278</v>
      </c>
    </row>
    <row r="271" customFormat="false" ht="19.5" hidden="false" customHeight="true" outlineLevel="0" collapsed="false">
      <c r="A271" s="19" t="n">
        <v>1682</v>
      </c>
      <c r="B271" s="15" t="s">
        <v>1279</v>
      </c>
      <c r="C271" s="17" t="s">
        <v>272</v>
      </c>
      <c r="D271" s="16" t="n">
        <v>5</v>
      </c>
      <c r="E271" s="17" t="s">
        <v>63</v>
      </c>
      <c r="F271" s="17" t="s">
        <v>63</v>
      </c>
      <c r="G271" s="15" t="s">
        <v>509</v>
      </c>
      <c r="H271" s="18" t="s">
        <v>509</v>
      </c>
      <c r="I271" s="15" t="s">
        <v>342</v>
      </c>
      <c r="J271" s="17" t="s">
        <v>336</v>
      </c>
      <c r="K271" s="17" t="s">
        <v>111</v>
      </c>
      <c r="L271" s="19" t="s">
        <v>111</v>
      </c>
      <c r="M271" s="15" t="s">
        <v>343</v>
      </c>
      <c r="N271" s="17" t="n">
        <v>7124</v>
      </c>
      <c r="O271" s="15" t="s">
        <v>344</v>
      </c>
      <c r="P271" s="19" t="n">
        <v>7124</v>
      </c>
      <c r="Q271" s="15" t="s">
        <v>1280</v>
      </c>
      <c r="R271" s="15" t="s">
        <v>648</v>
      </c>
      <c r="S271" s="15" t="s">
        <v>345</v>
      </c>
      <c r="T271" s="15" t="s">
        <v>341</v>
      </c>
      <c r="U271" s="15" t="s">
        <v>1281</v>
      </c>
    </row>
    <row r="272" customFormat="false" ht="19.5" hidden="false" customHeight="true" outlineLevel="0" collapsed="false">
      <c r="A272" s="26" t="n">
        <v>1684</v>
      </c>
      <c r="B272" s="27" t="s">
        <v>1282</v>
      </c>
      <c r="C272" s="30" t="s">
        <v>263</v>
      </c>
      <c r="D272" s="39" t="n">
        <v>20</v>
      </c>
      <c r="E272" s="30" t="s">
        <v>39</v>
      </c>
      <c r="F272" s="30" t="s">
        <v>39</v>
      </c>
      <c r="G272" s="27" t="s">
        <v>580</v>
      </c>
      <c r="H272" s="40" t="s">
        <v>580</v>
      </c>
      <c r="I272" s="27" t="s">
        <v>342</v>
      </c>
      <c r="J272" s="30" t="s">
        <v>336</v>
      </c>
      <c r="K272" s="30" t="s">
        <v>41</v>
      </c>
      <c r="L272" s="26" t="s">
        <v>41</v>
      </c>
      <c r="M272" s="27" t="s">
        <v>343</v>
      </c>
      <c r="N272" s="30" t="n">
        <v>16407</v>
      </c>
      <c r="O272" s="27" t="s">
        <v>344</v>
      </c>
      <c r="P272" s="26" t="n">
        <v>16407</v>
      </c>
      <c r="Q272" s="27" t="s">
        <v>1283</v>
      </c>
      <c r="R272" s="27" t="s">
        <v>648</v>
      </c>
      <c r="S272" s="27" t="s">
        <v>345</v>
      </c>
      <c r="T272" s="27" t="s">
        <v>341</v>
      </c>
      <c r="U272" s="27" t="s">
        <v>1284</v>
      </c>
    </row>
    <row r="273" customFormat="false" ht="19.5" hidden="false" customHeight="true" outlineLevel="0" collapsed="false">
      <c r="A273" s="19" t="n">
        <v>1686</v>
      </c>
      <c r="B273" s="15" t="s">
        <v>1285</v>
      </c>
      <c r="C273" s="17" t="s">
        <v>260</v>
      </c>
      <c r="D273" s="16" t="n">
        <v>5</v>
      </c>
      <c r="E273" s="17" t="s">
        <v>39</v>
      </c>
      <c r="F273" s="17" t="s">
        <v>39</v>
      </c>
      <c r="G273" s="15" t="s">
        <v>604</v>
      </c>
      <c r="H273" s="18" t="s">
        <v>604</v>
      </c>
      <c r="I273" s="15" t="s">
        <v>379</v>
      </c>
      <c r="J273" s="17" t="s">
        <v>336</v>
      </c>
      <c r="K273" s="17" t="s">
        <v>140</v>
      </c>
      <c r="L273" s="19" t="s">
        <v>140</v>
      </c>
      <c r="M273" s="15" t="s">
        <v>343</v>
      </c>
      <c r="N273" s="17" t="n">
        <v>22023</v>
      </c>
      <c r="O273" s="15" t="s">
        <v>344</v>
      </c>
      <c r="P273" s="19" t="n">
        <v>22023</v>
      </c>
      <c r="Q273" s="15" t="s">
        <v>1286</v>
      </c>
      <c r="R273" s="15" t="s">
        <v>648</v>
      </c>
      <c r="S273" s="15" t="s">
        <v>345</v>
      </c>
      <c r="T273" s="15" t="s">
        <v>341</v>
      </c>
      <c r="U273" s="15" t="s">
        <v>1287</v>
      </c>
    </row>
    <row r="274" customFormat="false" ht="19.5" hidden="false" customHeight="true" outlineLevel="0" collapsed="false">
      <c r="A274" s="26" t="n">
        <v>1687</v>
      </c>
      <c r="B274" s="27" t="s">
        <v>1288</v>
      </c>
      <c r="C274" s="30" t="s">
        <v>263</v>
      </c>
      <c r="D274" s="39" t="n">
        <v>20</v>
      </c>
      <c r="E274" s="30" t="s">
        <v>39</v>
      </c>
      <c r="F274" s="30" t="s">
        <v>39</v>
      </c>
      <c r="G274" s="27" t="s">
        <v>604</v>
      </c>
      <c r="H274" s="40" t="s">
        <v>604</v>
      </c>
      <c r="I274" s="27" t="s">
        <v>379</v>
      </c>
      <c r="J274" s="30" t="s">
        <v>336</v>
      </c>
      <c r="K274" s="30" t="s">
        <v>140</v>
      </c>
      <c r="L274" s="26" t="s">
        <v>140</v>
      </c>
      <c r="M274" s="27" t="s">
        <v>343</v>
      </c>
      <c r="N274" s="30" t="n">
        <v>22023</v>
      </c>
      <c r="O274" s="27" t="s">
        <v>344</v>
      </c>
      <c r="P274" s="26" t="n">
        <v>22023</v>
      </c>
      <c r="Q274" s="27" t="s">
        <v>1286</v>
      </c>
      <c r="R274" s="27" t="s">
        <v>648</v>
      </c>
      <c r="S274" s="27" t="s">
        <v>345</v>
      </c>
      <c r="T274" s="27" t="s">
        <v>341</v>
      </c>
      <c r="U274" s="27" t="s">
        <v>1287</v>
      </c>
    </row>
    <row r="275" customFormat="false" ht="19.5" hidden="false" customHeight="true" outlineLevel="0" collapsed="false">
      <c r="A275" s="19" t="n">
        <v>1692</v>
      </c>
      <c r="B275" s="15" t="s">
        <v>1289</v>
      </c>
      <c r="C275" s="17" t="s">
        <v>263</v>
      </c>
      <c r="D275" s="16" t="n">
        <v>20</v>
      </c>
      <c r="E275" s="17" t="s">
        <v>39</v>
      </c>
      <c r="F275" s="17" t="s">
        <v>39</v>
      </c>
      <c r="G275" s="15" t="s">
        <v>536</v>
      </c>
      <c r="H275" s="18" t="s">
        <v>536</v>
      </c>
      <c r="I275" s="15" t="s">
        <v>356</v>
      </c>
      <c r="J275" s="17" t="s">
        <v>336</v>
      </c>
      <c r="K275" s="17" t="s">
        <v>82</v>
      </c>
      <c r="L275" s="19" t="s">
        <v>82</v>
      </c>
      <c r="M275" s="15" t="s">
        <v>343</v>
      </c>
      <c r="N275" s="17" t="n">
        <v>10010</v>
      </c>
      <c r="O275" s="15" t="s">
        <v>344</v>
      </c>
      <c r="P275" s="19" t="n">
        <v>10010</v>
      </c>
      <c r="Q275" s="15" t="s">
        <v>1290</v>
      </c>
      <c r="R275" s="15" t="s">
        <v>648</v>
      </c>
      <c r="S275" s="15" t="s">
        <v>345</v>
      </c>
      <c r="T275" s="15" t="s">
        <v>341</v>
      </c>
      <c r="U275" s="15" t="s">
        <v>1291</v>
      </c>
    </row>
    <row r="276" customFormat="false" ht="19.5" hidden="false" customHeight="true" outlineLevel="0" collapsed="false">
      <c r="A276" s="26" t="n">
        <v>1695</v>
      </c>
      <c r="B276" s="27" t="s">
        <v>1292</v>
      </c>
      <c r="C276" s="30" t="s">
        <v>1172</v>
      </c>
      <c r="D276" s="39" t="n">
        <v>1</v>
      </c>
      <c r="E276" s="30" t="s">
        <v>39</v>
      </c>
      <c r="F276" s="30" t="s">
        <v>39</v>
      </c>
      <c r="G276" s="27" t="s">
        <v>59</v>
      </c>
      <c r="H276" s="40" t="s">
        <v>59</v>
      </c>
      <c r="I276" s="27" t="s">
        <v>366</v>
      </c>
      <c r="J276" s="30" t="s">
        <v>336</v>
      </c>
      <c r="K276" s="30" t="s">
        <v>543</v>
      </c>
      <c r="L276" s="26" t="s">
        <v>367</v>
      </c>
      <c r="M276" s="27" t="s">
        <v>368</v>
      </c>
      <c r="N276" s="30" t="n">
        <v>0</v>
      </c>
      <c r="O276" s="27" t="s">
        <v>369</v>
      </c>
      <c r="P276" s="26" t="s">
        <v>683</v>
      </c>
      <c r="Q276" s="27" t="s">
        <v>684</v>
      </c>
      <c r="R276" s="27" t="s">
        <v>685</v>
      </c>
      <c r="S276" s="27" t="s">
        <v>370</v>
      </c>
      <c r="T276" s="27" t="s">
        <v>371</v>
      </c>
      <c r="U276" s="27" t="s">
        <v>1293</v>
      </c>
    </row>
    <row r="277" customFormat="false" ht="19.5" hidden="false" customHeight="true" outlineLevel="0" collapsed="false">
      <c r="A277" s="19" t="n">
        <v>1697</v>
      </c>
      <c r="B277" s="15" t="s">
        <v>1294</v>
      </c>
      <c r="C277" s="17" t="s">
        <v>263</v>
      </c>
      <c r="D277" s="16" t="n">
        <v>20</v>
      </c>
      <c r="E277" s="17" t="s">
        <v>39</v>
      </c>
      <c r="F277" s="17" t="s">
        <v>39</v>
      </c>
      <c r="G277" s="15" t="s">
        <v>417</v>
      </c>
      <c r="H277" s="18" t="s">
        <v>417</v>
      </c>
      <c r="I277" s="15" t="s">
        <v>459</v>
      </c>
      <c r="J277" s="17" t="s">
        <v>336</v>
      </c>
      <c r="K277" s="17" t="s">
        <v>140</v>
      </c>
      <c r="L277" s="19" t="s">
        <v>419</v>
      </c>
      <c r="M277" s="15" t="s">
        <v>343</v>
      </c>
      <c r="N277" s="17" t="n">
        <v>12621</v>
      </c>
      <c r="O277" s="15" t="s">
        <v>344</v>
      </c>
      <c r="P277" s="19" t="n">
        <v>12621</v>
      </c>
      <c r="Q277" s="15" t="s">
        <v>1295</v>
      </c>
      <c r="R277" s="15" t="s">
        <v>648</v>
      </c>
      <c r="S277" s="15" t="s">
        <v>345</v>
      </c>
      <c r="T277" s="15" t="s">
        <v>341</v>
      </c>
      <c r="U277" s="15" t="s">
        <v>1296</v>
      </c>
    </row>
    <row r="278" customFormat="false" ht="19.5" hidden="false" customHeight="true" outlineLevel="0" collapsed="false">
      <c r="A278" s="26" t="n">
        <v>1720</v>
      </c>
      <c r="B278" s="27" t="s">
        <v>1297</v>
      </c>
      <c r="C278" s="30" t="s">
        <v>1226</v>
      </c>
      <c r="D278" s="39" t="n">
        <v>1</v>
      </c>
      <c r="E278" s="30" t="s">
        <v>63</v>
      </c>
      <c r="F278" s="30" t="s">
        <v>63</v>
      </c>
      <c r="G278" s="27" t="s">
        <v>117</v>
      </c>
      <c r="H278" s="40" t="s">
        <v>1227</v>
      </c>
      <c r="I278" s="27" t="s">
        <v>382</v>
      </c>
      <c r="J278" s="30" t="s">
        <v>336</v>
      </c>
      <c r="K278" s="30" t="s">
        <v>159</v>
      </c>
      <c r="L278" s="26" t="s">
        <v>159</v>
      </c>
      <c r="M278" s="27" t="s">
        <v>349</v>
      </c>
      <c r="N278" s="30" t="n">
        <v>0</v>
      </c>
      <c r="O278" s="27" t="s">
        <v>339</v>
      </c>
      <c r="P278" s="26" t="s">
        <v>690</v>
      </c>
      <c r="Q278" s="27" t="s">
        <v>691</v>
      </c>
      <c r="R278" s="27" t="s">
        <v>692</v>
      </c>
      <c r="S278" s="27" t="s">
        <v>345</v>
      </c>
      <c r="T278" s="27" t="s">
        <v>341</v>
      </c>
      <c r="U278" s="27" t="s">
        <v>1298</v>
      </c>
    </row>
    <row r="279" customFormat="false" ht="19.5" hidden="false" customHeight="true" outlineLevel="0" collapsed="false">
      <c r="A279" s="19" t="n">
        <v>1725</v>
      </c>
      <c r="B279" s="15" t="s">
        <v>1299</v>
      </c>
      <c r="C279" s="17" t="s">
        <v>1107</v>
      </c>
      <c r="D279" s="16" t="n">
        <v>1</v>
      </c>
      <c r="E279" s="17" t="s">
        <v>63</v>
      </c>
      <c r="F279" s="17" t="s">
        <v>63</v>
      </c>
      <c r="G279" s="15" t="s">
        <v>470</v>
      </c>
      <c r="H279" s="18" t="s">
        <v>470</v>
      </c>
      <c r="I279" s="15" t="s">
        <v>469</v>
      </c>
      <c r="J279" s="17" t="s">
        <v>336</v>
      </c>
      <c r="K279" s="17" t="s">
        <v>82</v>
      </c>
      <c r="L279" s="19" t="s">
        <v>82</v>
      </c>
      <c r="M279" s="15" t="s">
        <v>343</v>
      </c>
      <c r="N279" s="17" t="n">
        <v>31817</v>
      </c>
      <c r="O279" s="15" t="s">
        <v>344</v>
      </c>
      <c r="P279" s="19" t="n">
        <v>31817</v>
      </c>
      <c r="Q279" s="15" t="s">
        <v>979</v>
      </c>
      <c r="R279" s="15" t="s">
        <v>648</v>
      </c>
      <c r="S279" s="15" t="s">
        <v>345</v>
      </c>
      <c r="T279" s="15" t="s">
        <v>341</v>
      </c>
      <c r="U279" s="15" t="s">
        <v>980</v>
      </c>
    </row>
    <row r="280" customFormat="false" ht="19.5" hidden="false" customHeight="true" outlineLevel="0" collapsed="false">
      <c r="A280" s="26" t="n">
        <v>1726</v>
      </c>
      <c r="B280" s="27" t="s">
        <v>1300</v>
      </c>
      <c r="C280" s="30" t="s">
        <v>260</v>
      </c>
      <c r="D280" s="39" t="n">
        <v>5</v>
      </c>
      <c r="E280" s="30" t="s">
        <v>39</v>
      </c>
      <c r="F280" s="30" t="s">
        <v>39</v>
      </c>
      <c r="G280" s="27" t="s">
        <v>445</v>
      </c>
      <c r="H280" s="40" t="s">
        <v>445</v>
      </c>
      <c r="I280" s="27" t="s">
        <v>379</v>
      </c>
      <c r="J280" s="30" t="s">
        <v>336</v>
      </c>
      <c r="K280" s="30" t="s">
        <v>140</v>
      </c>
      <c r="L280" s="26" t="s">
        <v>140</v>
      </c>
      <c r="M280" s="27" t="s">
        <v>343</v>
      </c>
      <c r="N280" s="30" t="n">
        <v>17119</v>
      </c>
      <c r="O280" s="27" t="s">
        <v>344</v>
      </c>
      <c r="P280" s="26" t="n">
        <v>17119</v>
      </c>
      <c r="Q280" s="27" t="s">
        <v>1301</v>
      </c>
      <c r="R280" s="27" t="s">
        <v>648</v>
      </c>
      <c r="S280" s="27" t="s">
        <v>345</v>
      </c>
      <c r="T280" s="27" t="s">
        <v>341</v>
      </c>
      <c r="U280" s="27" t="s">
        <v>1302</v>
      </c>
    </row>
    <row r="281" customFormat="false" ht="19.5" hidden="false" customHeight="true" outlineLevel="0" collapsed="false">
      <c r="A281" s="19" t="n">
        <v>1743</v>
      </c>
      <c r="B281" s="15" t="s">
        <v>1303</v>
      </c>
      <c r="C281" s="17" t="s">
        <v>272</v>
      </c>
      <c r="D281" s="16" t="n">
        <v>5</v>
      </c>
      <c r="E281" s="17" t="s">
        <v>63</v>
      </c>
      <c r="F281" s="17" t="s">
        <v>63</v>
      </c>
      <c r="G281" s="15" t="s">
        <v>64</v>
      </c>
      <c r="H281" s="18" t="s">
        <v>64</v>
      </c>
      <c r="I281" s="15" t="s">
        <v>356</v>
      </c>
      <c r="J281" s="17" t="s">
        <v>336</v>
      </c>
      <c r="K281" s="17" t="s">
        <v>65</v>
      </c>
      <c r="L281" s="19" t="s">
        <v>65</v>
      </c>
      <c r="M281" s="15" t="s">
        <v>343</v>
      </c>
      <c r="N281" s="17" t="n">
        <v>2788394</v>
      </c>
      <c r="O281" s="15" t="s">
        <v>344</v>
      </c>
      <c r="P281" s="19" t="n">
        <v>2788394</v>
      </c>
      <c r="Q281" s="15" t="s">
        <v>1304</v>
      </c>
      <c r="R281" s="15" t="s">
        <v>648</v>
      </c>
      <c r="S281" s="15" t="s">
        <v>345</v>
      </c>
      <c r="T281" s="15" t="s">
        <v>341</v>
      </c>
      <c r="U281" s="15" t="s">
        <v>1305</v>
      </c>
    </row>
    <row r="282" customFormat="false" ht="19.5" hidden="false" customHeight="true" outlineLevel="0" collapsed="false">
      <c r="A282" s="26" t="n">
        <v>1758</v>
      </c>
      <c r="B282" s="27" t="s">
        <v>1306</v>
      </c>
      <c r="C282" s="30" t="s">
        <v>263</v>
      </c>
      <c r="D282" s="39" t="n">
        <v>20</v>
      </c>
      <c r="E282" s="30" t="s">
        <v>39</v>
      </c>
      <c r="F282" s="30" t="s">
        <v>39</v>
      </c>
      <c r="G282" s="27" t="s">
        <v>155</v>
      </c>
      <c r="H282" s="40" t="s">
        <v>155</v>
      </c>
      <c r="I282" s="27" t="s">
        <v>342</v>
      </c>
      <c r="J282" s="30" t="s">
        <v>336</v>
      </c>
      <c r="K282" s="30" t="s">
        <v>111</v>
      </c>
      <c r="L282" s="26" t="s">
        <v>111</v>
      </c>
      <c r="M282" s="27" t="s">
        <v>343</v>
      </c>
      <c r="N282" s="30" t="n">
        <v>16223</v>
      </c>
      <c r="O282" s="27" t="s">
        <v>344</v>
      </c>
      <c r="P282" s="26" t="n">
        <v>16223</v>
      </c>
      <c r="Q282" s="27" t="s">
        <v>1307</v>
      </c>
      <c r="R282" s="27" t="s">
        <v>648</v>
      </c>
      <c r="S282" s="27" t="s">
        <v>345</v>
      </c>
      <c r="T282" s="27" t="s">
        <v>341</v>
      </c>
      <c r="U282" s="27" t="s">
        <v>1308</v>
      </c>
    </row>
    <row r="283" customFormat="false" ht="19.5" hidden="false" customHeight="true" outlineLevel="0" collapsed="false">
      <c r="A283" s="19" t="n">
        <v>1759</v>
      </c>
      <c r="B283" s="15" t="s">
        <v>1309</v>
      </c>
      <c r="C283" s="17" t="s">
        <v>296</v>
      </c>
      <c r="D283" s="16" t="n">
        <v>1</v>
      </c>
      <c r="E283" s="17" t="s">
        <v>39</v>
      </c>
      <c r="F283" s="17" t="s">
        <v>39</v>
      </c>
      <c r="G283" s="15" t="s">
        <v>59</v>
      </c>
      <c r="H283" s="18" t="s">
        <v>59</v>
      </c>
      <c r="I283" s="15" t="s">
        <v>366</v>
      </c>
      <c r="J283" s="17" t="s">
        <v>336</v>
      </c>
      <c r="K283" s="17" t="s">
        <v>557</v>
      </c>
      <c r="L283" s="19" t="s">
        <v>367</v>
      </c>
      <c r="M283" s="15" t="s">
        <v>368</v>
      </c>
      <c r="N283" s="17" t="n">
        <v>0</v>
      </c>
      <c r="O283" s="15" t="s">
        <v>369</v>
      </c>
      <c r="P283" s="19" t="s">
        <v>683</v>
      </c>
      <c r="Q283" s="15" t="s">
        <v>684</v>
      </c>
      <c r="R283" s="15" t="s">
        <v>685</v>
      </c>
      <c r="S283" s="15" t="s">
        <v>370</v>
      </c>
      <c r="T283" s="15" t="s">
        <v>371</v>
      </c>
      <c r="U283" s="15" t="s">
        <v>686</v>
      </c>
    </row>
    <row r="284" customFormat="false" ht="19.5" hidden="false" customHeight="true" outlineLevel="0" collapsed="false">
      <c r="A284" s="26" t="n">
        <v>1761</v>
      </c>
      <c r="B284" s="27" t="s">
        <v>1310</v>
      </c>
      <c r="C284" s="30" t="s">
        <v>866</v>
      </c>
      <c r="D284" s="39" t="n">
        <v>1</v>
      </c>
      <c r="E284" s="30" t="s">
        <v>39</v>
      </c>
      <c r="F284" s="30" t="s">
        <v>39</v>
      </c>
      <c r="G284" s="27" t="s">
        <v>432</v>
      </c>
      <c r="H284" s="40" t="s">
        <v>432</v>
      </c>
      <c r="I284" s="27" t="s">
        <v>382</v>
      </c>
      <c r="J284" s="30" t="s">
        <v>336</v>
      </c>
      <c r="K284" s="30" t="s">
        <v>159</v>
      </c>
      <c r="L284" s="26" t="s">
        <v>159</v>
      </c>
      <c r="M284" s="27" t="s">
        <v>349</v>
      </c>
      <c r="N284" s="30" t="n">
        <v>0</v>
      </c>
      <c r="O284" s="27" t="s">
        <v>339</v>
      </c>
      <c r="P284" s="26" t="s">
        <v>690</v>
      </c>
      <c r="Q284" s="27" t="s">
        <v>691</v>
      </c>
      <c r="R284" s="27" t="s">
        <v>692</v>
      </c>
      <c r="S284" s="27" t="s">
        <v>345</v>
      </c>
      <c r="T284" s="27" t="s">
        <v>341</v>
      </c>
      <c r="U284" s="27" t="s">
        <v>693</v>
      </c>
    </row>
    <row r="285" customFormat="false" ht="19.5" hidden="false" customHeight="true" outlineLevel="0" collapsed="false">
      <c r="A285" s="19" t="n">
        <v>1762</v>
      </c>
      <c r="B285" s="15" t="s">
        <v>1311</v>
      </c>
      <c r="C285" s="17" t="s">
        <v>260</v>
      </c>
      <c r="D285" s="16" t="n">
        <v>5</v>
      </c>
      <c r="E285" s="17" t="s">
        <v>39</v>
      </c>
      <c r="F285" s="17" t="s">
        <v>39</v>
      </c>
      <c r="G285" s="15" t="s">
        <v>558</v>
      </c>
      <c r="H285" s="18" t="s">
        <v>558</v>
      </c>
      <c r="I285" s="15" t="s">
        <v>467</v>
      </c>
      <c r="J285" s="17" t="s">
        <v>336</v>
      </c>
      <c r="K285" s="17" t="s">
        <v>159</v>
      </c>
      <c r="L285" s="19" t="s">
        <v>159</v>
      </c>
      <c r="M285" s="15" t="s">
        <v>349</v>
      </c>
      <c r="N285" s="17" t="n">
        <v>0</v>
      </c>
      <c r="O285" s="15" t="s">
        <v>339</v>
      </c>
      <c r="P285" s="19" t="s">
        <v>690</v>
      </c>
      <c r="Q285" s="15" t="s">
        <v>691</v>
      </c>
      <c r="R285" s="15" t="s">
        <v>692</v>
      </c>
      <c r="S285" s="15" t="s">
        <v>345</v>
      </c>
      <c r="T285" s="15" t="s">
        <v>341</v>
      </c>
      <c r="U285" s="15" t="s">
        <v>693</v>
      </c>
    </row>
    <row r="286" customFormat="false" ht="19.5" hidden="false" customHeight="true" outlineLevel="0" collapsed="false">
      <c r="A286" s="26" t="n">
        <v>1763</v>
      </c>
      <c r="B286" s="27" t="s">
        <v>1312</v>
      </c>
      <c r="C286" s="30" t="s">
        <v>296</v>
      </c>
      <c r="D286" s="39" t="n">
        <v>1</v>
      </c>
      <c r="E286" s="30" t="s">
        <v>39</v>
      </c>
      <c r="F286" s="30" t="s">
        <v>39</v>
      </c>
      <c r="G286" s="27" t="s">
        <v>372</v>
      </c>
      <c r="H286" s="40" t="s">
        <v>372</v>
      </c>
      <c r="I286" s="27" t="s">
        <v>366</v>
      </c>
      <c r="J286" s="30" t="s">
        <v>336</v>
      </c>
      <c r="K286" s="30" t="s">
        <v>557</v>
      </c>
      <c r="L286" s="26" t="s">
        <v>367</v>
      </c>
      <c r="M286" s="27" t="s">
        <v>368</v>
      </c>
      <c r="N286" s="30" t="n">
        <v>0</v>
      </c>
      <c r="O286" s="27" t="s">
        <v>369</v>
      </c>
      <c r="P286" s="26" t="s">
        <v>683</v>
      </c>
      <c r="Q286" s="27" t="s">
        <v>684</v>
      </c>
      <c r="R286" s="27" t="s">
        <v>685</v>
      </c>
      <c r="S286" s="27" t="s">
        <v>370</v>
      </c>
      <c r="T286" s="27" t="s">
        <v>371</v>
      </c>
      <c r="U286" s="27" t="s">
        <v>686</v>
      </c>
    </row>
    <row r="287" customFormat="false" ht="19.5" hidden="false" customHeight="true" outlineLevel="0" collapsed="false">
      <c r="A287" s="19" t="n">
        <v>1768</v>
      </c>
      <c r="B287" s="15" t="s">
        <v>1313</v>
      </c>
      <c r="C287" s="17" t="s">
        <v>263</v>
      </c>
      <c r="D287" s="16" t="n">
        <v>20</v>
      </c>
      <c r="E287" s="17" t="s">
        <v>39</v>
      </c>
      <c r="F287" s="17" t="s">
        <v>39</v>
      </c>
      <c r="G287" s="15" t="s">
        <v>554</v>
      </c>
      <c r="H287" s="18" t="s">
        <v>554</v>
      </c>
      <c r="I287" s="15" t="s">
        <v>382</v>
      </c>
      <c r="J287" s="17" t="s">
        <v>336</v>
      </c>
      <c r="K287" s="17" t="s">
        <v>159</v>
      </c>
      <c r="L287" s="19" t="s">
        <v>159</v>
      </c>
      <c r="M287" s="15" t="s">
        <v>349</v>
      </c>
      <c r="N287" s="17" t="n">
        <v>0</v>
      </c>
      <c r="O287" s="15" t="s">
        <v>339</v>
      </c>
      <c r="P287" s="19" t="s">
        <v>690</v>
      </c>
      <c r="Q287" s="15" t="s">
        <v>691</v>
      </c>
      <c r="R287" s="15" t="s">
        <v>692</v>
      </c>
      <c r="S287" s="15" t="s">
        <v>345</v>
      </c>
      <c r="T287" s="15" t="s">
        <v>341</v>
      </c>
      <c r="U287" s="15" t="s">
        <v>693</v>
      </c>
    </row>
    <row r="288" customFormat="false" ht="19.5" hidden="false" customHeight="true" outlineLevel="0" collapsed="false">
      <c r="A288" s="26" t="n">
        <v>1769</v>
      </c>
      <c r="B288" s="27" t="s">
        <v>1314</v>
      </c>
      <c r="C288" s="30" t="s">
        <v>751</v>
      </c>
      <c r="D288" s="39" t="n">
        <v>25</v>
      </c>
      <c r="E288" s="30" t="s">
        <v>63</v>
      </c>
      <c r="F288" s="30" t="s">
        <v>63</v>
      </c>
      <c r="G288" s="27" t="s">
        <v>620</v>
      </c>
      <c r="H288" s="40" t="s">
        <v>620</v>
      </c>
      <c r="I288" s="27" t="s">
        <v>397</v>
      </c>
      <c r="J288" s="30" t="s">
        <v>336</v>
      </c>
      <c r="K288" s="30" t="s">
        <v>621</v>
      </c>
      <c r="L288" s="26" t="s">
        <v>621</v>
      </c>
      <c r="M288" s="27" t="s">
        <v>368</v>
      </c>
      <c r="N288" s="30" t="n">
        <v>0</v>
      </c>
      <c r="O288" s="27" t="s">
        <v>339</v>
      </c>
      <c r="P288" s="26" t="s">
        <v>690</v>
      </c>
      <c r="Q288" s="27" t="s">
        <v>691</v>
      </c>
      <c r="R288" s="27" t="s">
        <v>692</v>
      </c>
      <c r="S288" s="27" t="s">
        <v>340</v>
      </c>
      <c r="T288" s="27" t="s">
        <v>341</v>
      </c>
      <c r="U288" s="27" t="s">
        <v>1315</v>
      </c>
    </row>
    <row r="289" customFormat="false" ht="19.5" hidden="false" customHeight="true" outlineLevel="0" collapsed="false">
      <c r="A289" s="19" t="n">
        <v>1770</v>
      </c>
      <c r="B289" s="15" t="s">
        <v>1316</v>
      </c>
      <c r="C289" s="17" t="s">
        <v>751</v>
      </c>
      <c r="D289" s="16" t="n">
        <v>25</v>
      </c>
      <c r="E289" s="17" t="s">
        <v>63</v>
      </c>
      <c r="F289" s="17" t="s">
        <v>63</v>
      </c>
      <c r="G289" s="15" t="s">
        <v>522</v>
      </c>
      <c r="H289" s="18" t="s">
        <v>522</v>
      </c>
      <c r="I289" s="15" t="s">
        <v>421</v>
      </c>
      <c r="J289" s="17" t="s">
        <v>336</v>
      </c>
      <c r="K289" s="17" t="s">
        <v>123</v>
      </c>
      <c r="L289" s="19" t="s">
        <v>123</v>
      </c>
      <c r="M289" s="15" t="s">
        <v>349</v>
      </c>
      <c r="N289" s="17" t="n">
        <v>0</v>
      </c>
      <c r="O289" s="15" t="s">
        <v>339</v>
      </c>
      <c r="P289" s="19" t="s">
        <v>690</v>
      </c>
      <c r="Q289" s="15" t="s">
        <v>691</v>
      </c>
      <c r="R289" s="15" t="s">
        <v>692</v>
      </c>
      <c r="S289" s="15" t="s">
        <v>345</v>
      </c>
      <c r="T289" s="15" t="s">
        <v>341</v>
      </c>
      <c r="U289" s="15" t="s">
        <v>693</v>
      </c>
    </row>
    <row r="290" customFormat="false" ht="19.5" hidden="false" customHeight="true" outlineLevel="0" collapsed="false">
      <c r="A290" s="26" t="n">
        <v>1771</v>
      </c>
      <c r="B290" s="27" t="s">
        <v>1317</v>
      </c>
      <c r="C290" s="30" t="s">
        <v>751</v>
      </c>
      <c r="D290" s="39" t="n">
        <v>25</v>
      </c>
      <c r="E290" s="30" t="s">
        <v>63</v>
      </c>
      <c r="F290" s="30" t="s">
        <v>63</v>
      </c>
      <c r="G290" s="27" t="s">
        <v>523</v>
      </c>
      <c r="H290" s="40" t="s">
        <v>523</v>
      </c>
      <c r="I290" s="27" t="s">
        <v>382</v>
      </c>
      <c r="J290" s="30" t="s">
        <v>336</v>
      </c>
      <c r="K290" s="30" t="s">
        <v>159</v>
      </c>
      <c r="L290" s="26" t="s">
        <v>159</v>
      </c>
      <c r="M290" s="27" t="s">
        <v>349</v>
      </c>
      <c r="N290" s="30" t="n">
        <v>0</v>
      </c>
      <c r="O290" s="27" t="s">
        <v>339</v>
      </c>
      <c r="P290" s="26" t="s">
        <v>690</v>
      </c>
      <c r="Q290" s="27" t="s">
        <v>691</v>
      </c>
      <c r="R290" s="27" t="s">
        <v>692</v>
      </c>
      <c r="S290" s="27" t="s">
        <v>345</v>
      </c>
      <c r="T290" s="27" t="s">
        <v>341</v>
      </c>
      <c r="U290" s="27" t="s">
        <v>693</v>
      </c>
    </row>
    <row r="291" customFormat="false" ht="19.5" hidden="false" customHeight="true" outlineLevel="0" collapsed="false">
      <c r="A291" s="19" t="n">
        <v>1775</v>
      </c>
      <c r="B291" s="15" t="s">
        <v>1318</v>
      </c>
      <c r="C291" s="17" t="s">
        <v>1082</v>
      </c>
      <c r="D291" s="16" t="n">
        <v>1000</v>
      </c>
      <c r="E291" s="17" t="s">
        <v>39</v>
      </c>
      <c r="F291" s="17" t="s">
        <v>39</v>
      </c>
      <c r="G291" s="15" t="s">
        <v>399</v>
      </c>
      <c r="H291" s="18" t="s">
        <v>399</v>
      </c>
      <c r="I291" s="15" t="s">
        <v>382</v>
      </c>
      <c r="J291" s="17" t="s">
        <v>336</v>
      </c>
      <c r="K291" s="17" t="s">
        <v>159</v>
      </c>
      <c r="L291" s="19" t="s">
        <v>159</v>
      </c>
      <c r="M291" s="15" t="s">
        <v>349</v>
      </c>
      <c r="N291" s="17" t="n">
        <v>0</v>
      </c>
      <c r="O291" s="15" t="s">
        <v>339</v>
      </c>
      <c r="P291" s="19" t="s">
        <v>690</v>
      </c>
      <c r="Q291" s="15" t="s">
        <v>691</v>
      </c>
      <c r="R291" s="15" t="s">
        <v>692</v>
      </c>
      <c r="S291" s="15" t="s">
        <v>345</v>
      </c>
      <c r="T291" s="15" t="s">
        <v>341</v>
      </c>
      <c r="U291" s="15" t="s">
        <v>693</v>
      </c>
    </row>
    <row r="292" customFormat="false" ht="19.5" hidden="false" customHeight="true" outlineLevel="0" collapsed="false">
      <c r="A292" s="26" t="n">
        <v>1776</v>
      </c>
      <c r="B292" s="27" t="s">
        <v>1319</v>
      </c>
      <c r="C292" s="30" t="s">
        <v>903</v>
      </c>
      <c r="D292" s="39" t="n">
        <v>25</v>
      </c>
      <c r="E292" s="30" t="s">
        <v>39</v>
      </c>
      <c r="F292" s="30" t="s">
        <v>39</v>
      </c>
      <c r="G292" s="27" t="s">
        <v>117</v>
      </c>
      <c r="H292" s="40" t="s">
        <v>117</v>
      </c>
      <c r="I292" s="27" t="s">
        <v>569</v>
      </c>
      <c r="J292" s="30" t="s">
        <v>336</v>
      </c>
      <c r="K292" s="30" t="s">
        <v>442</v>
      </c>
      <c r="L292" s="26" t="s">
        <v>367</v>
      </c>
      <c r="M292" s="27" t="s">
        <v>368</v>
      </c>
      <c r="N292" s="30" t="n">
        <v>0</v>
      </c>
      <c r="O292" s="27" t="s">
        <v>369</v>
      </c>
      <c r="P292" s="26" t="s">
        <v>683</v>
      </c>
      <c r="Q292" s="27" t="s">
        <v>684</v>
      </c>
      <c r="R292" s="27" t="s">
        <v>685</v>
      </c>
      <c r="S292" s="27" t="s">
        <v>370</v>
      </c>
      <c r="T292" s="27" t="s">
        <v>371</v>
      </c>
      <c r="U292" s="27" t="s">
        <v>901</v>
      </c>
    </row>
    <row r="293" customFormat="false" ht="19.5" hidden="false" customHeight="true" outlineLevel="0" collapsed="false">
      <c r="A293" s="19" t="n">
        <v>1777</v>
      </c>
      <c r="B293" s="15" t="s">
        <v>1320</v>
      </c>
      <c r="C293" s="17" t="s">
        <v>263</v>
      </c>
      <c r="D293" s="16" t="n">
        <v>20</v>
      </c>
      <c r="E293" s="17" t="s">
        <v>39</v>
      </c>
      <c r="F293" s="17" t="s">
        <v>39</v>
      </c>
      <c r="G293" s="15" t="s">
        <v>547</v>
      </c>
      <c r="H293" s="18" t="s">
        <v>547</v>
      </c>
      <c r="I293" s="15" t="s">
        <v>382</v>
      </c>
      <c r="J293" s="17" t="s">
        <v>336</v>
      </c>
      <c r="K293" s="17" t="s">
        <v>159</v>
      </c>
      <c r="L293" s="19" t="s">
        <v>159</v>
      </c>
      <c r="M293" s="15" t="s">
        <v>349</v>
      </c>
      <c r="N293" s="17" t="n">
        <v>0</v>
      </c>
      <c r="O293" s="15" t="s">
        <v>339</v>
      </c>
      <c r="P293" s="19" t="s">
        <v>690</v>
      </c>
      <c r="Q293" s="15" t="s">
        <v>691</v>
      </c>
      <c r="R293" s="15" t="s">
        <v>692</v>
      </c>
      <c r="S293" s="15" t="s">
        <v>345</v>
      </c>
      <c r="T293" s="15" t="s">
        <v>341</v>
      </c>
      <c r="U293" s="15" t="s">
        <v>693</v>
      </c>
    </row>
    <row r="294" customFormat="false" ht="19.5" hidden="false" customHeight="true" outlineLevel="0" collapsed="false">
      <c r="A294" s="26" t="n">
        <v>1778</v>
      </c>
      <c r="B294" s="27" t="s">
        <v>1321</v>
      </c>
      <c r="C294" s="30" t="s">
        <v>263</v>
      </c>
      <c r="D294" s="39" t="n">
        <v>20</v>
      </c>
      <c r="E294" s="30" t="s">
        <v>39</v>
      </c>
      <c r="F294" s="30" t="s">
        <v>39</v>
      </c>
      <c r="G294" s="27" t="s">
        <v>547</v>
      </c>
      <c r="H294" s="40" t="s">
        <v>547</v>
      </c>
      <c r="I294" s="27" t="s">
        <v>382</v>
      </c>
      <c r="J294" s="30" t="s">
        <v>336</v>
      </c>
      <c r="K294" s="30" t="s">
        <v>159</v>
      </c>
      <c r="L294" s="26" t="s">
        <v>159</v>
      </c>
      <c r="M294" s="27" t="s">
        <v>349</v>
      </c>
      <c r="N294" s="30" t="n">
        <v>0</v>
      </c>
      <c r="O294" s="27" t="s">
        <v>339</v>
      </c>
      <c r="P294" s="26" t="s">
        <v>690</v>
      </c>
      <c r="Q294" s="27" t="s">
        <v>691</v>
      </c>
      <c r="R294" s="27" t="s">
        <v>692</v>
      </c>
      <c r="S294" s="27" t="s">
        <v>345</v>
      </c>
      <c r="T294" s="27" t="s">
        <v>341</v>
      </c>
      <c r="U294" s="27" t="s">
        <v>693</v>
      </c>
    </row>
    <row r="295" customFormat="false" ht="19.5" hidden="false" customHeight="true" outlineLevel="0" collapsed="false">
      <c r="A295" s="19" t="n">
        <v>1779</v>
      </c>
      <c r="B295" s="15" t="s">
        <v>1322</v>
      </c>
      <c r="C295" s="17" t="s">
        <v>272</v>
      </c>
      <c r="D295" s="16" t="n">
        <v>5</v>
      </c>
      <c r="E295" s="17" t="s">
        <v>63</v>
      </c>
      <c r="F295" s="17" t="s">
        <v>63</v>
      </c>
      <c r="G295" s="15" t="s">
        <v>470</v>
      </c>
      <c r="H295" s="18" t="s">
        <v>470</v>
      </c>
      <c r="I295" s="15" t="s">
        <v>469</v>
      </c>
      <c r="J295" s="17" t="s">
        <v>336</v>
      </c>
      <c r="K295" s="17" t="s">
        <v>82</v>
      </c>
      <c r="L295" s="19" t="s">
        <v>82</v>
      </c>
      <c r="M295" s="15" t="s">
        <v>343</v>
      </c>
      <c r="N295" s="17" t="n">
        <v>27717</v>
      </c>
      <c r="O295" s="15" t="s">
        <v>344</v>
      </c>
      <c r="P295" s="19" t="n">
        <v>27717</v>
      </c>
      <c r="Q295" s="15" t="s">
        <v>1323</v>
      </c>
      <c r="R295" s="15" t="s">
        <v>648</v>
      </c>
      <c r="S295" s="15" t="s">
        <v>345</v>
      </c>
      <c r="T295" s="15" t="s">
        <v>341</v>
      </c>
      <c r="U295" s="15" t="s">
        <v>1324</v>
      </c>
    </row>
    <row r="296" customFormat="false" ht="19.5" hidden="false" customHeight="true" outlineLevel="0" collapsed="false">
      <c r="A296" s="26" t="n">
        <v>1786</v>
      </c>
      <c r="B296" s="27" t="s">
        <v>1325</v>
      </c>
      <c r="C296" s="30" t="s">
        <v>260</v>
      </c>
      <c r="D296" s="39" t="n">
        <v>5</v>
      </c>
      <c r="E296" s="30" t="s">
        <v>39</v>
      </c>
      <c r="F296" s="30" t="s">
        <v>39</v>
      </c>
      <c r="G296" s="27" t="s">
        <v>468</v>
      </c>
      <c r="H296" s="40" t="s">
        <v>468</v>
      </c>
      <c r="I296" s="27" t="s">
        <v>469</v>
      </c>
      <c r="J296" s="30" t="s">
        <v>336</v>
      </c>
      <c r="K296" s="30" t="s">
        <v>82</v>
      </c>
      <c r="L296" s="26" t="s">
        <v>82</v>
      </c>
      <c r="M296" s="27" t="s">
        <v>343</v>
      </c>
      <c r="N296" s="30" t="n">
        <v>44018</v>
      </c>
      <c r="O296" s="27" t="s">
        <v>344</v>
      </c>
      <c r="P296" s="26" t="n">
        <v>44018</v>
      </c>
      <c r="Q296" s="27" t="s">
        <v>1326</v>
      </c>
      <c r="R296" s="27" t="s">
        <v>648</v>
      </c>
      <c r="S296" s="27" t="s">
        <v>345</v>
      </c>
      <c r="T296" s="27" t="s">
        <v>341</v>
      </c>
      <c r="U296" s="27" t="s">
        <v>1327</v>
      </c>
    </row>
    <row r="297" customFormat="false" ht="19.5" hidden="false" customHeight="true" outlineLevel="0" collapsed="false">
      <c r="A297" s="19" t="n">
        <v>1787</v>
      </c>
      <c r="B297" s="15" t="s">
        <v>1328</v>
      </c>
      <c r="C297" s="17" t="s">
        <v>272</v>
      </c>
      <c r="D297" s="16" t="n">
        <v>5</v>
      </c>
      <c r="E297" s="17" t="s">
        <v>63</v>
      </c>
      <c r="F297" s="17" t="s">
        <v>63</v>
      </c>
      <c r="G297" s="15" t="s">
        <v>470</v>
      </c>
      <c r="H297" s="18" t="s">
        <v>470</v>
      </c>
      <c r="I297" s="15" t="s">
        <v>469</v>
      </c>
      <c r="J297" s="17" t="s">
        <v>336</v>
      </c>
      <c r="K297" s="17" t="s">
        <v>82</v>
      </c>
      <c r="L297" s="19" t="s">
        <v>82</v>
      </c>
      <c r="M297" s="15" t="s">
        <v>343</v>
      </c>
      <c r="N297" s="17" t="n">
        <v>10421</v>
      </c>
      <c r="O297" s="15" t="s">
        <v>344</v>
      </c>
      <c r="P297" s="19" t="n">
        <v>10421</v>
      </c>
      <c r="Q297" s="15" t="s">
        <v>1329</v>
      </c>
      <c r="R297" s="15" t="s">
        <v>648</v>
      </c>
      <c r="S297" s="15" t="s">
        <v>345</v>
      </c>
      <c r="T297" s="15" t="s">
        <v>341</v>
      </c>
      <c r="U297" s="15" t="s">
        <v>1330</v>
      </c>
    </row>
    <row r="298" customFormat="false" ht="19.5" hidden="false" customHeight="true" outlineLevel="0" collapsed="false">
      <c r="A298" s="26" t="n">
        <v>1797</v>
      </c>
      <c r="B298" s="27" t="s">
        <v>1331</v>
      </c>
      <c r="C298" s="30" t="s">
        <v>263</v>
      </c>
      <c r="D298" s="39" t="n">
        <v>20</v>
      </c>
      <c r="E298" s="30" t="s">
        <v>39</v>
      </c>
      <c r="F298" s="30" t="s">
        <v>39</v>
      </c>
      <c r="G298" s="27" t="s">
        <v>155</v>
      </c>
      <c r="H298" s="40" t="s">
        <v>155</v>
      </c>
      <c r="I298" s="27" t="s">
        <v>342</v>
      </c>
      <c r="J298" s="30" t="s">
        <v>336</v>
      </c>
      <c r="K298" s="30" t="s">
        <v>111</v>
      </c>
      <c r="L298" s="26" t="s">
        <v>111</v>
      </c>
      <c r="M298" s="27" t="s">
        <v>343</v>
      </c>
      <c r="N298" s="30" t="n">
        <v>16223</v>
      </c>
      <c r="O298" s="27" t="s">
        <v>344</v>
      </c>
      <c r="P298" s="26" t="n">
        <v>16223</v>
      </c>
      <c r="Q298" s="27" t="s">
        <v>1307</v>
      </c>
      <c r="R298" s="27" t="s">
        <v>648</v>
      </c>
      <c r="S298" s="27" t="s">
        <v>345</v>
      </c>
      <c r="T298" s="27" t="s">
        <v>341</v>
      </c>
      <c r="U298" s="27" t="s">
        <v>1332</v>
      </c>
    </row>
    <row r="299" customFormat="false" ht="19.5" hidden="false" customHeight="true" outlineLevel="0" collapsed="false">
      <c r="A299" s="19" t="n">
        <v>1798</v>
      </c>
      <c r="B299" s="15" t="s">
        <v>1333</v>
      </c>
      <c r="C299" s="17" t="s">
        <v>260</v>
      </c>
      <c r="D299" s="16" t="n">
        <v>5</v>
      </c>
      <c r="E299" s="17" t="s">
        <v>39</v>
      </c>
      <c r="F299" s="17" t="s">
        <v>39</v>
      </c>
      <c r="G299" s="15" t="s">
        <v>511</v>
      </c>
      <c r="H299" s="18" t="s">
        <v>511</v>
      </c>
      <c r="I299" s="15" t="s">
        <v>342</v>
      </c>
      <c r="J299" s="17" t="s">
        <v>336</v>
      </c>
      <c r="K299" s="17" t="s">
        <v>111</v>
      </c>
      <c r="L299" s="19" t="s">
        <v>111</v>
      </c>
      <c r="M299" s="15" t="s">
        <v>343</v>
      </c>
      <c r="N299" s="17" t="n">
        <v>31222</v>
      </c>
      <c r="O299" s="15" t="s">
        <v>344</v>
      </c>
      <c r="P299" s="19" t="n">
        <v>31222</v>
      </c>
      <c r="Q299" s="15" t="s">
        <v>1064</v>
      </c>
      <c r="R299" s="15" t="s">
        <v>648</v>
      </c>
      <c r="S299" s="15" t="s">
        <v>345</v>
      </c>
      <c r="T299" s="15" t="s">
        <v>341</v>
      </c>
      <c r="U299" s="15" t="s">
        <v>1065</v>
      </c>
    </row>
    <row r="300" customFormat="false" ht="19.5" hidden="false" customHeight="true" outlineLevel="0" collapsed="false">
      <c r="A300" s="26" t="n">
        <v>1806</v>
      </c>
      <c r="B300" s="27" t="s">
        <v>1334</v>
      </c>
      <c r="C300" s="30" t="s">
        <v>260</v>
      </c>
      <c r="D300" s="39" t="n">
        <v>5</v>
      </c>
      <c r="E300" s="30" t="s">
        <v>39</v>
      </c>
      <c r="F300" s="30" t="s">
        <v>39</v>
      </c>
      <c r="G300" s="27" t="s">
        <v>527</v>
      </c>
      <c r="H300" s="40" t="s">
        <v>527</v>
      </c>
      <c r="I300" s="27" t="s">
        <v>467</v>
      </c>
      <c r="J300" s="30" t="s">
        <v>336</v>
      </c>
      <c r="K300" s="30" t="s">
        <v>528</v>
      </c>
      <c r="L300" s="26" t="s">
        <v>528</v>
      </c>
      <c r="M300" s="27" t="s">
        <v>349</v>
      </c>
      <c r="N300" s="30" t="n">
        <v>0</v>
      </c>
      <c r="O300" s="27" t="s">
        <v>339</v>
      </c>
      <c r="P300" s="26" t="s">
        <v>690</v>
      </c>
      <c r="Q300" s="27" t="s">
        <v>691</v>
      </c>
      <c r="R300" s="27" t="s">
        <v>692</v>
      </c>
      <c r="S300" s="27" t="s">
        <v>345</v>
      </c>
      <c r="T300" s="27" t="s">
        <v>341</v>
      </c>
      <c r="U300" s="27" t="s">
        <v>693</v>
      </c>
    </row>
    <row r="301" customFormat="false" ht="19.5" hidden="false" customHeight="true" outlineLevel="0" collapsed="false">
      <c r="A301" s="19" t="n">
        <v>1807</v>
      </c>
      <c r="B301" s="15" t="s">
        <v>1335</v>
      </c>
      <c r="C301" s="17" t="s">
        <v>866</v>
      </c>
      <c r="D301" s="16" t="n">
        <v>1</v>
      </c>
      <c r="E301" s="17" t="s">
        <v>39</v>
      </c>
      <c r="F301" s="17" t="s">
        <v>39</v>
      </c>
      <c r="G301" s="15" t="s">
        <v>59</v>
      </c>
      <c r="H301" s="18" t="s">
        <v>59</v>
      </c>
      <c r="I301" s="15" t="s">
        <v>366</v>
      </c>
      <c r="J301" s="17" t="s">
        <v>336</v>
      </c>
      <c r="K301" s="17" t="s">
        <v>557</v>
      </c>
      <c r="L301" s="19" t="s">
        <v>367</v>
      </c>
      <c r="M301" s="15" t="s">
        <v>368</v>
      </c>
      <c r="N301" s="17" t="n">
        <v>0</v>
      </c>
      <c r="O301" s="15" t="s">
        <v>369</v>
      </c>
      <c r="P301" s="19" t="s">
        <v>683</v>
      </c>
      <c r="Q301" s="15" t="s">
        <v>684</v>
      </c>
      <c r="R301" s="15" t="s">
        <v>685</v>
      </c>
      <c r="S301" s="15" t="s">
        <v>370</v>
      </c>
      <c r="T301" s="15" t="s">
        <v>371</v>
      </c>
      <c r="U301" s="15" t="s">
        <v>686</v>
      </c>
    </row>
    <row r="302" customFormat="false" ht="19.5" hidden="false" customHeight="true" outlineLevel="0" collapsed="false">
      <c r="A302" s="26" t="n">
        <v>1808</v>
      </c>
      <c r="B302" s="27" t="s">
        <v>1336</v>
      </c>
      <c r="C302" s="30" t="s">
        <v>866</v>
      </c>
      <c r="D302" s="39" t="n">
        <v>1</v>
      </c>
      <c r="E302" s="30" t="s">
        <v>39</v>
      </c>
      <c r="F302" s="30" t="s">
        <v>39</v>
      </c>
      <c r="G302" s="27" t="s">
        <v>372</v>
      </c>
      <c r="H302" s="40" t="s">
        <v>372</v>
      </c>
      <c r="I302" s="27" t="s">
        <v>366</v>
      </c>
      <c r="J302" s="30" t="s">
        <v>336</v>
      </c>
      <c r="K302" s="30" t="s">
        <v>557</v>
      </c>
      <c r="L302" s="26" t="s">
        <v>367</v>
      </c>
      <c r="M302" s="27" t="s">
        <v>368</v>
      </c>
      <c r="N302" s="30" t="n">
        <v>0</v>
      </c>
      <c r="O302" s="27" t="s">
        <v>369</v>
      </c>
      <c r="P302" s="26" t="s">
        <v>683</v>
      </c>
      <c r="Q302" s="27" t="s">
        <v>684</v>
      </c>
      <c r="R302" s="27" t="s">
        <v>685</v>
      </c>
      <c r="S302" s="27" t="s">
        <v>370</v>
      </c>
      <c r="T302" s="27" t="s">
        <v>371</v>
      </c>
      <c r="U302" s="27" t="s">
        <v>686</v>
      </c>
    </row>
    <row r="303" customFormat="false" ht="19.5" hidden="false" customHeight="true" outlineLevel="0" collapsed="false">
      <c r="A303" s="19" t="n">
        <v>1809</v>
      </c>
      <c r="B303" s="15" t="s">
        <v>1337</v>
      </c>
      <c r="C303" s="17" t="s">
        <v>260</v>
      </c>
      <c r="D303" s="16" t="n">
        <v>5</v>
      </c>
      <c r="E303" s="17" t="s">
        <v>39</v>
      </c>
      <c r="F303" s="17" t="s">
        <v>39</v>
      </c>
      <c r="G303" s="15" t="s">
        <v>407</v>
      </c>
      <c r="H303" s="18" t="s">
        <v>407</v>
      </c>
      <c r="I303" s="15" t="s">
        <v>382</v>
      </c>
      <c r="J303" s="17" t="s">
        <v>336</v>
      </c>
      <c r="K303" s="17" t="s">
        <v>159</v>
      </c>
      <c r="L303" s="19" t="s">
        <v>159</v>
      </c>
      <c r="M303" s="15" t="s">
        <v>349</v>
      </c>
      <c r="N303" s="17" t="n">
        <v>0</v>
      </c>
      <c r="O303" s="15" t="s">
        <v>339</v>
      </c>
      <c r="P303" s="19" t="s">
        <v>690</v>
      </c>
      <c r="Q303" s="15" t="s">
        <v>691</v>
      </c>
      <c r="R303" s="15" t="s">
        <v>692</v>
      </c>
      <c r="S303" s="15" t="s">
        <v>345</v>
      </c>
      <c r="T303" s="15" t="s">
        <v>341</v>
      </c>
      <c r="U303" s="15" t="s">
        <v>693</v>
      </c>
    </row>
    <row r="304" customFormat="false" ht="19.5" hidden="false" customHeight="true" outlineLevel="0" collapsed="false">
      <c r="A304" s="26" t="n">
        <v>1810</v>
      </c>
      <c r="B304" s="27" t="s">
        <v>1338</v>
      </c>
      <c r="C304" s="30" t="s">
        <v>263</v>
      </c>
      <c r="D304" s="39" t="n">
        <v>20</v>
      </c>
      <c r="E304" s="30" t="s">
        <v>39</v>
      </c>
      <c r="F304" s="30" t="s">
        <v>39</v>
      </c>
      <c r="G304" s="27" t="s">
        <v>155</v>
      </c>
      <c r="H304" s="40" t="s">
        <v>155</v>
      </c>
      <c r="I304" s="27" t="s">
        <v>342</v>
      </c>
      <c r="J304" s="30" t="s">
        <v>336</v>
      </c>
      <c r="K304" s="30" t="s">
        <v>111</v>
      </c>
      <c r="L304" s="26" t="s">
        <v>111</v>
      </c>
      <c r="M304" s="27" t="s">
        <v>343</v>
      </c>
      <c r="N304" s="30" t="n">
        <v>16223</v>
      </c>
      <c r="O304" s="27" t="s">
        <v>344</v>
      </c>
      <c r="P304" s="26" t="n">
        <v>16223</v>
      </c>
      <c r="Q304" s="27" t="s">
        <v>1307</v>
      </c>
      <c r="R304" s="27" t="s">
        <v>648</v>
      </c>
      <c r="S304" s="27" t="s">
        <v>345</v>
      </c>
      <c r="T304" s="27" t="s">
        <v>341</v>
      </c>
      <c r="U304" s="27" t="s">
        <v>1339</v>
      </c>
    </row>
    <row r="305" customFormat="false" ht="19.5" hidden="false" customHeight="true" outlineLevel="0" collapsed="false">
      <c r="A305" s="19" t="n">
        <v>1813</v>
      </c>
      <c r="B305" s="15" t="s">
        <v>1340</v>
      </c>
      <c r="C305" s="17" t="s">
        <v>903</v>
      </c>
      <c r="D305" s="16" t="n">
        <v>25</v>
      </c>
      <c r="E305" s="17" t="s">
        <v>39</v>
      </c>
      <c r="F305" s="17" t="s">
        <v>39</v>
      </c>
      <c r="G305" s="15" t="s">
        <v>545</v>
      </c>
      <c r="H305" s="18" t="s">
        <v>545</v>
      </c>
      <c r="I305" s="15" t="s">
        <v>382</v>
      </c>
      <c r="J305" s="17" t="s">
        <v>336</v>
      </c>
      <c r="K305" s="17" t="s">
        <v>159</v>
      </c>
      <c r="L305" s="19" t="s">
        <v>159</v>
      </c>
      <c r="M305" s="15" t="s">
        <v>349</v>
      </c>
      <c r="N305" s="17" t="n">
        <v>0</v>
      </c>
      <c r="O305" s="15" t="s">
        <v>339</v>
      </c>
      <c r="P305" s="19" t="s">
        <v>690</v>
      </c>
      <c r="Q305" s="15" t="s">
        <v>691</v>
      </c>
      <c r="R305" s="15" t="s">
        <v>692</v>
      </c>
      <c r="S305" s="15" t="s">
        <v>345</v>
      </c>
      <c r="T305" s="15" t="s">
        <v>341</v>
      </c>
      <c r="U305" s="15" t="s">
        <v>693</v>
      </c>
    </row>
    <row r="306" customFormat="false" ht="19.5" hidden="false" customHeight="true" outlineLevel="0" collapsed="false">
      <c r="A306" s="26" t="n">
        <v>1844</v>
      </c>
      <c r="B306" s="27" t="s">
        <v>1341</v>
      </c>
      <c r="C306" s="30" t="s">
        <v>751</v>
      </c>
      <c r="D306" s="39" t="n">
        <v>25</v>
      </c>
      <c r="E306" s="30" t="s">
        <v>63</v>
      </c>
      <c r="F306" s="30" t="s">
        <v>63</v>
      </c>
      <c r="G306" s="27" t="s">
        <v>122</v>
      </c>
      <c r="H306" s="40" t="s">
        <v>122</v>
      </c>
      <c r="I306" s="27" t="s">
        <v>421</v>
      </c>
      <c r="J306" s="30" t="s">
        <v>336</v>
      </c>
      <c r="K306" s="30" t="s">
        <v>123</v>
      </c>
      <c r="L306" s="26" t="s">
        <v>123</v>
      </c>
      <c r="M306" s="27" t="s">
        <v>349</v>
      </c>
      <c r="N306" s="30" t="n">
        <v>0</v>
      </c>
      <c r="O306" s="27" t="s">
        <v>339</v>
      </c>
      <c r="P306" s="26" t="s">
        <v>690</v>
      </c>
      <c r="Q306" s="27" t="s">
        <v>691</v>
      </c>
      <c r="R306" s="27" t="s">
        <v>692</v>
      </c>
      <c r="S306" s="27" t="s">
        <v>345</v>
      </c>
      <c r="T306" s="27" t="s">
        <v>341</v>
      </c>
      <c r="U306" s="27" t="s">
        <v>693</v>
      </c>
    </row>
    <row r="307" customFormat="false" ht="19.5" hidden="false" customHeight="true" outlineLevel="0" collapsed="false">
      <c r="A307" s="19" t="n">
        <v>1847</v>
      </c>
      <c r="B307" s="15" t="s">
        <v>1342</v>
      </c>
      <c r="C307" s="17" t="s">
        <v>1226</v>
      </c>
      <c r="D307" s="16" t="n">
        <v>1</v>
      </c>
      <c r="E307" s="17" t="s">
        <v>63</v>
      </c>
      <c r="F307" s="17" t="s">
        <v>63</v>
      </c>
      <c r="G307" s="15" t="s">
        <v>492</v>
      </c>
      <c r="H307" s="18" t="s">
        <v>492</v>
      </c>
      <c r="I307" s="15" t="s">
        <v>490</v>
      </c>
      <c r="J307" s="17" t="s">
        <v>336</v>
      </c>
      <c r="K307" s="17" t="s">
        <v>491</v>
      </c>
      <c r="L307" s="19" t="s">
        <v>491</v>
      </c>
      <c r="M307" s="15" t="s">
        <v>368</v>
      </c>
      <c r="N307" s="17" t="n">
        <v>0</v>
      </c>
      <c r="O307" s="15" t="s">
        <v>369</v>
      </c>
      <c r="P307" s="19" t="s">
        <v>683</v>
      </c>
      <c r="Q307" s="15" t="s">
        <v>1343</v>
      </c>
      <c r="R307" s="15" t="s">
        <v>685</v>
      </c>
      <c r="S307" s="15" t="s">
        <v>340</v>
      </c>
      <c r="T307" s="15" t="s">
        <v>341</v>
      </c>
      <c r="U307" s="15" t="s">
        <v>1344</v>
      </c>
    </row>
    <row r="308" customFormat="false" ht="19.5" hidden="false" customHeight="true" outlineLevel="0" collapsed="false">
      <c r="A308" s="26" t="n">
        <v>1848</v>
      </c>
      <c r="B308" s="27" t="s">
        <v>1345</v>
      </c>
      <c r="C308" s="30" t="s">
        <v>1226</v>
      </c>
      <c r="D308" s="39" t="n">
        <v>1</v>
      </c>
      <c r="E308" s="30" t="s">
        <v>63</v>
      </c>
      <c r="F308" s="30" t="s">
        <v>63</v>
      </c>
      <c r="G308" s="27" t="s">
        <v>489</v>
      </c>
      <c r="H308" s="40" t="s">
        <v>489</v>
      </c>
      <c r="I308" s="27" t="s">
        <v>490</v>
      </c>
      <c r="J308" s="30" t="s">
        <v>336</v>
      </c>
      <c r="K308" s="30" t="s">
        <v>491</v>
      </c>
      <c r="L308" s="26" t="s">
        <v>491</v>
      </c>
      <c r="M308" s="27" t="s">
        <v>368</v>
      </c>
      <c r="N308" s="30" t="n">
        <v>0</v>
      </c>
      <c r="O308" s="27" t="s">
        <v>369</v>
      </c>
      <c r="P308" s="26" t="s">
        <v>683</v>
      </c>
      <c r="Q308" s="27" t="s">
        <v>1343</v>
      </c>
      <c r="R308" s="27" t="s">
        <v>685</v>
      </c>
      <c r="S308" s="27" t="s">
        <v>340</v>
      </c>
      <c r="T308" s="27" t="s">
        <v>341</v>
      </c>
      <c r="U308" s="27" t="s">
        <v>1344</v>
      </c>
    </row>
    <row r="309" customFormat="false" ht="19.5" hidden="false" customHeight="true" outlineLevel="0" collapsed="false">
      <c r="A309" s="19" t="n">
        <v>1849</v>
      </c>
      <c r="B309" s="15" t="s">
        <v>1346</v>
      </c>
      <c r="C309" s="17" t="s">
        <v>260</v>
      </c>
      <c r="D309" s="16" t="n">
        <v>5</v>
      </c>
      <c r="E309" s="17" t="s">
        <v>39</v>
      </c>
      <c r="F309" s="17" t="s">
        <v>39</v>
      </c>
      <c r="G309" s="15" t="s">
        <v>546</v>
      </c>
      <c r="H309" s="18" t="s">
        <v>546</v>
      </c>
      <c r="I309" s="15" t="s">
        <v>467</v>
      </c>
      <c r="J309" s="17" t="s">
        <v>336</v>
      </c>
      <c r="K309" s="17" t="s">
        <v>118</v>
      </c>
      <c r="L309" s="19" t="s">
        <v>118</v>
      </c>
      <c r="M309" s="15" t="s">
        <v>349</v>
      </c>
      <c r="N309" s="17" t="n">
        <v>0</v>
      </c>
      <c r="O309" s="15" t="s">
        <v>339</v>
      </c>
      <c r="P309" s="19" t="s">
        <v>690</v>
      </c>
      <c r="Q309" s="15" t="s">
        <v>691</v>
      </c>
      <c r="R309" s="15" t="s">
        <v>692</v>
      </c>
      <c r="S309" s="15" t="s">
        <v>345</v>
      </c>
      <c r="T309" s="15" t="s">
        <v>341</v>
      </c>
      <c r="U309" s="15" t="s">
        <v>693</v>
      </c>
    </row>
    <row r="310" customFormat="false" ht="19.5" hidden="false" customHeight="true" outlineLevel="0" collapsed="false">
      <c r="A310" s="26" t="n">
        <v>1850</v>
      </c>
      <c r="B310" s="27" t="s">
        <v>1347</v>
      </c>
      <c r="C310" s="30" t="s">
        <v>905</v>
      </c>
      <c r="D310" s="39" t="n">
        <v>1</v>
      </c>
      <c r="E310" s="30" t="s">
        <v>63</v>
      </c>
      <c r="F310" s="30" t="s">
        <v>63</v>
      </c>
      <c r="G310" s="27" t="s">
        <v>546</v>
      </c>
      <c r="H310" s="40" t="s">
        <v>546</v>
      </c>
      <c r="I310" s="27" t="s">
        <v>467</v>
      </c>
      <c r="J310" s="30" t="s">
        <v>336</v>
      </c>
      <c r="K310" s="30" t="s">
        <v>118</v>
      </c>
      <c r="L310" s="26" t="s">
        <v>118</v>
      </c>
      <c r="M310" s="27" t="s">
        <v>349</v>
      </c>
      <c r="N310" s="30" t="n">
        <v>0</v>
      </c>
      <c r="O310" s="27" t="s">
        <v>339</v>
      </c>
      <c r="P310" s="26" t="s">
        <v>690</v>
      </c>
      <c r="Q310" s="27" t="s">
        <v>691</v>
      </c>
      <c r="R310" s="27" t="s">
        <v>692</v>
      </c>
      <c r="S310" s="27" t="s">
        <v>345</v>
      </c>
      <c r="T310" s="27" t="s">
        <v>341</v>
      </c>
      <c r="U310" s="27" t="s">
        <v>693</v>
      </c>
    </row>
    <row r="311" customFormat="false" ht="19.5" hidden="false" customHeight="true" outlineLevel="0" collapsed="false">
      <c r="A311" s="19" t="n">
        <v>1852</v>
      </c>
      <c r="B311" s="15" t="s">
        <v>1348</v>
      </c>
      <c r="C311" s="17" t="s">
        <v>763</v>
      </c>
      <c r="D311" s="16" t="n">
        <v>10</v>
      </c>
      <c r="E311" s="17" t="s">
        <v>39</v>
      </c>
      <c r="F311" s="17" t="s">
        <v>39</v>
      </c>
      <c r="G311" s="15" t="s">
        <v>555</v>
      </c>
      <c r="H311" s="18" t="s">
        <v>555</v>
      </c>
      <c r="I311" s="15" t="s">
        <v>382</v>
      </c>
      <c r="J311" s="17" t="s">
        <v>336</v>
      </c>
      <c r="K311" s="17" t="s">
        <v>159</v>
      </c>
      <c r="L311" s="19" t="s">
        <v>159</v>
      </c>
      <c r="M311" s="15" t="s">
        <v>349</v>
      </c>
      <c r="N311" s="17" t="n">
        <v>0</v>
      </c>
      <c r="O311" s="15" t="s">
        <v>339</v>
      </c>
      <c r="P311" s="19" t="s">
        <v>690</v>
      </c>
      <c r="Q311" s="15" t="s">
        <v>691</v>
      </c>
      <c r="R311" s="15" t="s">
        <v>692</v>
      </c>
      <c r="S311" s="15" t="s">
        <v>345</v>
      </c>
      <c r="T311" s="15" t="s">
        <v>341</v>
      </c>
      <c r="U311" s="15" t="s">
        <v>693</v>
      </c>
    </row>
    <row r="312" customFormat="false" ht="19.5" hidden="false" customHeight="true" outlineLevel="0" collapsed="false">
      <c r="A312" s="26" t="n">
        <v>1864</v>
      </c>
      <c r="B312" s="27" t="s">
        <v>1349</v>
      </c>
      <c r="C312" s="30" t="s">
        <v>751</v>
      </c>
      <c r="D312" s="39" t="n">
        <v>25</v>
      </c>
      <c r="E312" s="30" t="s">
        <v>63</v>
      </c>
      <c r="F312" s="30" t="s">
        <v>63</v>
      </c>
      <c r="G312" s="27" t="s">
        <v>532</v>
      </c>
      <c r="H312" s="40" t="s">
        <v>532</v>
      </c>
      <c r="I312" s="27" t="s">
        <v>379</v>
      </c>
      <c r="J312" s="30" t="s">
        <v>336</v>
      </c>
      <c r="K312" s="30" t="s">
        <v>530</v>
      </c>
      <c r="L312" s="26" t="s">
        <v>530</v>
      </c>
      <c r="M312" s="27" t="s">
        <v>343</v>
      </c>
      <c r="N312" s="30" t="n">
        <v>11819</v>
      </c>
      <c r="O312" s="27" t="s">
        <v>344</v>
      </c>
      <c r="P312" s="26" t="n">
        <v>11819</v>
      </c>
      <c r="Q312" s="27" t="s">
        <v>1350</v>
      </c>
      <c r="R312" s="27" t="s">
        <v>648</v>
      </c>
      <c r="S312" s="27" t="s">
        <v>345</v>
      </c>
      <c r="T312" s="27" t="s">
        <v>341</v>
      </c>
      <c r="U312" s="27" t="s">
        <v>1351</v>
      </c>
    </row>
    <row r="313" customFormat="false" ht="19.5" hidden="false" customHeight="true" outlineLevel="0" collapsed="false">
      <c r="A313" s="19" t="n">
        <v>1865</v>
      </c>
      <c r="B313" s="15" t="s">
        <v>1352</v>
      </c>
      <c r="C313" s="17" t="s">
        <v>287</v>
      </c>
      <c r="D313" s="16" t="n">
        <v>10</v>
      </c>
      <c r="E313" s="17" t="s">
        <v>63</v>
      </c>
      <c r="F313" s="17" t="s">
        <v>63</v>
      </c>
      <c r="G313" s="15" t="s">
        <v>532</v>
      </c>
      <c r="H313" s="18" t="s">
        <v>532</v>
      </c>
      <c r="I313" s="15" t="s">
        <v>379</v>
      </c>
      <c r="J313" s="17" t="s">
        <v>336</v>
      </c>
      <c r="K313" s="17" t="s">
        <v>530</v>
      </c>
      <c r="L313" s="19" t="s">
        <v>530</v>
      </c>
      <c r="M313" s="15" t="s">
        <v>343</v>
      </c>
      <c r="N313" s="17" t="n">
        <v>11819</v>
      </c>
      <c r="O313" s="15" t="s">
        <v>344</v>
      </c>
      <c r="P313" s="19" t="n">
        <v>11819</v>
      </c>
      <c r="Q313" s="15" t="s">
        <v>1350</v>
      </c>
      <c r="R313" s="15" t="s">
        <v>648</v>
      </c>
      <c r="S313" s="15" t="s">
        <v>345</v>
      </c>
      <c r="T313" s="15" t="s">
        <v>341</v>
      </c>
      <c r="U313" s="15" t="s">
        <v>1351</v>
      </c>
    </row>
    <row r="314" customFormat="false" ht="19.5" hidden="false" customHeight="true" outlineLevel="0" collapsed="false">
      <c r="A314" s="26" t="n">
        <v>1885</v>
      </c>
      <c r="B314" s="27" t="s">
        <v>1353</v>
      </c>
      <c r="C314" s="30" t="s">
        <v>1082</v>
      </c>
      <c r="D314" s="39" t="n">
        <v>1000</v>
      </c>
      <c r="E314" s="30" t="s">
        <v>39</v>
      </c>
      <c r="F314" s="30" t="s">
        <v>39</v>
      </c>
      <c r="G314" s="27" t="s">
        <v>570</v>
      </c>
      <c r="H314" s="40" t="s">
        <v>570</v>
      </c>
      <c r="I314" s="27" t="s">
        <v>569</v>
      </c>
      <c r="J314" s="30" t="s">
        <v>336</v>
      </c>
      <c r="K314" s="30" t="s">
        <v>442</v>
      </c>
      <c r="L314" s="26" t="s">
        <v>367</v>
      </c>
      <c r="M314" s="27" t="s">
        <v>368</v>
      </c>
      <c r="N314" s="30" t="n">
        <v>0</v>
      </c>
      <c r="O314" s="27" t="s">
        <v>369</v>
      </c>
      <c r="P314" s="26" t="s">
        <v>683</v>
      </c>
      <c r="Q314" s="27" t="s">
        <v>684</v>
      </c>
      <c r="R314" s="27" t="s">
        <v>685</v>
      </c>
      <c r="S314" s="27" t="s">
        <v>370</v>
      </c>
      <c r="T314" s="27" t="s">
        <v>371</v>
      </c>
      <c r="U314" s="27" t="s">
        <v>901</v>
      </c>
    </row>
    <row r="315" customFormat="false" ht="19.5" hidden="false" customHeight="true" outlineLevel="0" collapsed="false">
      <c r="A315" s="19" t="n">
        <v>1889</v>
      </c>
      <c r="B315" s="15" t="s">
        <v>1354</v>
      </c>
      <c r="C315" s="17" t="s">
        <v>1237</v>
      </c>
      <c r="D315" s="16" t="n">
        <v>1</v>
      </c>
      <c r="E315" s="17" t="s">
        <v>63</v>
      </c>
      <c r="F315" s="17" t="s">
        <v>63</v>
      </c>
      <c r="G315" s="15" t="s">
        <v>434</v>
      </c>
      <c r="H315" s="18" t="s">
        <v>434</v>
      </c>
      <c r="I315" s="15" t="s">
        <v>382</v>
      </c>
      <c r="J315" s="17" t="s">
        <v>336</v>
      </c>
      <c r="K315" s="17" t="s">
        <v>159</v>
      </c>
      <c r="L315" s="19" t="s">
        <v>159</v>
      </c>
      <c r="M315" s="15" t="s">
        <v>349</v>
      </c>
      <c r="N315" s="17" t="n">
        <v>0</v>
      </c>
      <c r="O315" s="15" t="s">
        <v>339</v>
      </c>
      <c r="P315" s="19" t="s">
        <v>690</v>
      </c>
      <c r="Q315" s="15" t="s">
        <v>691</v>
      </c>
      <c r="R315" s="15" t="s">
        <v>692</v>
      </c>
      <c r="S315" s="15" t="s">
        <v>345</v>
      </c>
      <c r="T315" s="15" t="s">
        <v>341</v>
      </c>
      <c r="U315" s="15" t="s">
        <v>693</v>
      </c>
    </row>
    <row r="316" customFormat="false" ht="19.5" hidden="false" customHeight="true" outlineLevel="0" collapsed="false">
      <c r="A316" s="26" t="n">
        <v>1893</v>
      </c>
      <c r="B316" s="27" t="s">
        <v>1355</v>
      </c>
      <c r="C316" s="30" t="s">
        <v>263</v>
      </c>
      <c r="D316" s="39" t="n">
        <v>20</v>
      </c>
      <c r="E316" s="30" t="s">
        <v>39</v>
      </c>
      <c r="F316" s="30" t="s">
        <v>39</v>
      </c>
      <c r="G316" s="27" t="s">
        <v>75</v>
      </c>
      <c r="H316" s="40" t="s">
        <v>75</v>
      </c>
      <c r="I316" s="27" t="s">
        <v>356</v>
      </c>
      <c r="J316" s="30" t="s">
        <v>360</v>
      </c>
      <c r="K316" s="30" t="s">
        <v>51</v>
      </c>
      <c r="L316" s="26" t="s">
        <v>51</v>
      </c>
      <c r="M316" s="27" t="s">
        <v>361</v>
      </c>
      <c r="N316" s="30" t="n">
        <v>18220</v>
      </c>
      <c r="O316" s="27" t="s">
        <v>344</v>
      </c>
      <c r="P316" s="26" t="n">
        <v>18220</v>
      </c>
      <c r="Q316" s="27" t="s">
        <v>1356</v>
      </c>
      <c r="R316" s="27" t="s">
        <v>648</v>
      </c>
      <c r="S316" s="27" t="s">
        <v>345</v>
      </c>
      <c r="T316" s="27" t="s">
        <v>341</v>
      </c>
      <c r="U316" s="27" t="s">
        <v>1357</v>
      </c>
    </row>
    <row r="317" customFormat="false" ht="19.5" hidden="false" customHeight="true" outlineLevel="0" collapsed="false">
      <c r="A317" s="19" t="n">
        <v>1898</v>
      </c>
      <c r="B317" s="15" t="s">
        <v>274</v>
      </c>
      <c r="C317" s="17" t="s">
        <v>275</v>
      </c>
      <c r="D317" s="16" t="n">
        <v>10</v>
      </c>
      <c r="E317" s="17" t="s">
        <v>63</v>
      </c>
      <c r="F317" s="17" t="s">
        <v>63</v>
      </c>
      <c r="G317" s="15" t="s">
        <v>78</v>
      </c>
      <c r="H317" s="18" t="s">
        <v>78</v>
      </c>
      <c r="I317" s="15" t="s">
        <v>356</v>
      </c>
      <c r="J317" s="17" t="s">
        <v>360</v>
      </c>
      <c r="K317" s="17" t="s">
        <v>82</v>
      </c>
      <c r="L317" s="19" t="s">
        <v>51</v>
      </c>
      <c r="M317" s="15" t="s">
        <v>361</v>
      </c>
      <c r="N317" s="17" t="n">
        <v>1924</v>
      </c>
      <c r="O317" s="15" t="s">
        <v>344</v>
      </c>
      <c r="P317" s="19" t="n">
        <v>1924</v>
      </c>
      <c r="Q317" s="15" t="s">
        <v>1263</v>
      </c>
      <c r="R317" s="15" t="s">
        <v>648</v>
      </c>
      <c r="S317" s="15" t="s">
        <v>345</v>
      </c>
      <c r="T317" s="15" t="s">
        <v>341</v>
      </c>
      <c r="U317" s="15" t="s">
        <v>1264</v>
      </c>
    </row>
    <row r="318" customFormat="false" ht="19.5" hidden="false" customHeight="true" outlineLevel="0" collapsed="false">
      <c r="A318" s="26" t="n">
        <v>1918</v>
      </c>
      <c r="B318" s="27" t="s">
        <v>1358</v>
      </c>
      <c r="C318" s="30" t="s">
        <v>263</v>
      </c>
      <c r="D318" s="39" t="n">
        <v>20</v>
      </c>
      <c r="E318" s="30" t="s">
        <v>39</v>
      </c>
      <c r="F318" s="30" t="s">
        <v>39</v>
      </c>
      <c r="G318" s="27" t="s">
        <v>411</v>
      </c>
      <c r="H318" s="40" t="s">
        <v>411</v>
      </c>
      <c r="I318" s="27" t="s">
        <v>342</v>
      </c>
      <c r="J318" s="30" t="s">
        <v>336</v>
      </c>
      <c r="K318" s="30" t="s">
        <v>111</v>
      </c>
      <c r="L318" s="26" t="s">
        <v>111</v>
      </c>
      <c r="M318" s="27" t="s">
        <v>343</v>
      </c>
      <c r="N318" s="30" t="n">
        <v>2721</v>
      </c>
      <c r="O318" s="27" t="s">
        <v>344</v>
      </c>
      <c r="P318" s="26" t="n">
        <v>2721</v>
      </c>
      <c r="Q318" s="27" t="s">
        <v>1359</v>
      </c>
      <c r="R318" s="27" t="s">
        <v>648</v>
      </c>
      <c r="S318" s="27" t="s">
        <v>345</v>
      </c>
      <c r="T318" s="27" t="s">
        <v>341</v>
      </c>
      <c r="U318" s="27" t="s">
        <v>1360</v>
      </c>
    </row>
    <row r="319" customFormat="false" ht="19.5" hidden="false" customHeight="true" outlineLevel="0" collapsed="false">
      <c r="A319" s="19" t="n">
        <v>1923</v>
      </c>
      <c r="B319" s="15" t="s">
        <v>1361</v>
      </c>
      <c r="C319" s="17" t="s">
        <v>263</v>
      </c>
      <c r="D319" s="16" t="n">
        <v>20</v>
      </c>
      <c r="E319" s="17" t="s">
        <v>39</v>
      </c>
      <c r="F319" s="17" t="s">
        <v>39</v>
      </c>
      <c r="G319" s="15" t="s">
        <v>571</v>
      </c>
      <c r="H319" s="18" t="s">
        <v>571</v>
      </c>
      <c r="I319" s="15" t="s">
        <v>457</v>
      </c>
      <c r="J319" s="17" t="s">
        <v>336</v>
      </c>
      <c r="K319" s="17" t="s">
        <v>367</v>
      </c>
      <c r="L319" s="19" t="s">
        <v>367</v>
      </c>
      <c r="M319" s="15" t="s">
        <v>368</v>
      </c>
      <c r="N319" s="17" t="n">
        <v>0</v>
      </c>
      <c r="O319" s="15" t="s">
        <v>369</v>
      </c>
      <c r="P319" s="19" t="s">
        <v>683</v>
      </c>
      <c r="Q319" s="15" t="s">
        <v>684</v>
      </c>
      <c r="R319" s="15" t="s">
        <v>685</v>
      </c>
      <c r="S319" s="15" t="s">
        <v>370</v>
      </c>
      <c r="T319" s="15" t="s">
        <v>371</v>
      </c>
      <c r="U319" s="15" t="s">
        <v>1362</v>
      </c>
    </row>
    <row r="320" customFormat="false" ht="19.5" hidden="false" customHeight="true" outlineLevel="0" collapsed="false">
      <c r="A320" s="26" t="n">
        <v>1933</v>
      </c>
      <c r="B320" s="27" t="s">
        <v>1363</v>
      </c>
      <c r="C320" s="30" t="s">
        <v>1112</v>
      </c>
      <c r="D320" s="39" t="n">
        <v>1</v>
      </c>
      <c r="E320" s="30" t="s">
        <v>63</v>
      </c>
      <c r="F320" s="30" t="s">
        <v>63</v>
      </c>
      <c r="G320" s="27" t="s">
        <v>470</v>
      </c>
      <c r="H320" s="40" t="s">
        <v>470</v>
      </c>
      <c r="I320" s="27" t="s">
        <v>469</v>
      </c>
      <c r="J320" s="30" t="s">
        <v>336</v>
      </c>
      <c r="K320" s="30" t="s">
        <v>82</v>
      </c>
      <c r="L320" s="26" t="s">
        <v>82</v>
      </c>
      <c r="M320" s="27" t="s">
        <v>343</v>
      </c>
      <c r="N320" s="30" t="n">
        <v>27717</v>
      </c>
      <c r="O320" s="27" t="s">
        <v>344</v>
      </c>
      <c r="P320" s="26" t="n">
        <v>27717</v>
      </c>
      <c r="Q320" s="27" t="s">
        <v>1323</v>
      </c>
      <c r="R320" s="27" t="s">
        <v>648</v>
      </c>
      <c r="S320" s="27" t="s">
        <v>345</v>
      </c>
      <c r="T320" s="27" t="s">
        <v>341</v>
      </c>
      <c r="U320" s="27" t="s">
        <v>1324</v>
      </c>
    </row>
    <row r="321" customFormat="false" ht="19.5" hidden="false" customHeight="true" outlineLevel="0" collapsed="false">
      <c r="A321" s="19" t="n">
        <v>1934</v>
      </c>
      <c r="B321" s="15" t="s">
        <v>121</v>
      </c>
      <c r="C321" s="17" t="s">
        <v>751</v>
      </c>
      <c r="D321" s="16" t="n">
        <v>25</v>
      </c>
      <c r="E321" s="17" t="s">
        <v>63</v>
      </c>
      <c r="F321" s="17" t="s">
        <v>63</v>
      </c>
      <c r="G321" s="15" t="s">
        <v>122</v>
      </c>
      <c r="H321" s="18" t="s">
        <v>1364</v>
      </c>
      <c r="I321" s="15" t="s">
        <v>421</v>
      </c>
      <c r="J321" s="17" t="s">
        <v>336</v>
      </c>
      <c r="K321" s="17" t="s">
        <v>123</v>
      </c>
      <c r="L321" s="19" t="s">
        <v>159</v>
      </c>
      <c r="M321" s="15" t="s">
        <v>349</v>
      </c>
      <c r="N321" s="17" t="n">
        <v>0</v>
      </c>
      <c r="O321" s="15" t="s">
        <v>339</v>
      </c>
      <c r="P321" s="19" t="s">
        <v>690</v>
      </c>
      <c r="Q321" s="15" t="s">
        <v>691</v>
      </c>
      <c r="R321" s="15" t="s">
        <v>692</v>
      </c>
      <c r="S321" s="15" t="s">
        <v>345</v>
      </c>
      <c r="T321" s="15" t="s">
        <v>341</v>
      </c>
      <c r="U321" s="15" t="s">
        <v>1365</v>
      </c>
    </row>
    <row r="322" customFormat="false" ht="19.5" hidden="false" customHeight="true" outlineLevel="0" collapsed="false">
      <c r="A322" s="26" t="n">
        <v>1938</v>
      </c>
      <c r="B322" s="27" t="s">
        <v>1366</v>
      </c>
      <c r="C322" s="30" t="s">
        <v>260</v>
      </c>
      <c r="D322" s="39" t="n">
        <v>5</v>
      </c>
      <c r="E322" s="30" t="s">
        <v>39</v>
      </c>
      <c r="F322" s="30" t="s">
        <v>39</v>
      </c>
      <c r="G322" s="27" t="s">
        <v>417</v>
      </c>
      <c r="H322" s="40" t="s">
        <v>417</v>
      </c>
      <c r="I322" s="27" t="s">
        <v>459</v>
      </c>
      <c r="J322" s="30" t="s">
        <v>336</v>
      </c>
      <c r="K322" s="30" t="s">
        <v>419</v>
      </c>
      <c r="L322" s="26" t="s">
        <v>419</v>
      </c>
      <c r="M322" s="27" t="s">
        <v>343</v>
      </c>
      <c r="N322" s="30" t="n">
        <v>12621</v>
      </c>
      <c r="O322" s="27" t="s">
        <v>344</v>
      </c>
      <c r="P322" s="26" t="n">
        <v>12621</v>
      </c>
      <c r="Q322" s="27" t="s">
        <v>1295</v>
      </c>
      <c r="R322" s="27" t="s">
        <v>648</v>
      </c>
      <c r="S322" s="27" t="s">
        <v>345</v>
      </c>
      <c r="T322" s="27" t="s">
        <v>341</v>
      </c>
      <c r="U322" s="27" t="s">
        <v>1367</v>
      </c>
    </row>
    <row r="323" customFormat="false" ht="19.5" hidden="false" customHeight="true" outlineLevel="0" collapsed="false">
      <c r="A323" s="19" t="n">
        <v>1952</v>
      </c>
      <c r="B323" s="15" t="s">
        <v>1368</v>
      </c>
      <c r="C323" s="17" t="s">
        <v>260</v>
      </c>
      <c r="D323" s="16" t="n">
        <v>5</v>
      </c>
      <c r="E323" s="17" t="s">
        <v>39</v>
      </c>
      <c r="F323" s="17" t="s">
        <v>39</v>
      </c>
      <c r="G323" s="15" t="s">
        <v>70</v>
      </c>
      <c r="H323" s="18" t="s">
        <v>70</v>
      </c>
      <c r="I323" s="15" t="s">
        <v>355</v>
      </c>
      <c r="J323" s="17" t="s">
        <v>360</v>
      </c>
      <c r="K323" s="17" t="s">
        <v>48</v>
      </c>
      <c r="L323" s="19" t="s">
        <v>48</v>
      </c>
      <c r="M323" s="15" t="s">
        <v>361</v>
      </c>
      <c r="N323" s="17" t="n">
        <v>7723</v>
      </c>
      <c r="O323" s="15" t="s">
        <v>344</v>
      </c>
      <c r="P323" s="19" t="n">
        <v>7723</v>
      </c>
      <c r="Q323" s="15" t="s">
        <v>1369</v>
      </c>
      <c r="R323" s="15" t="s">
        <v>648</v>
      </c>
      <c r="S323" s="15" t="s">
        <v>345</v>
      </c>
      <c r="T323" s="15" t="s">
        <v>341</v>
      </c>
      <c r="U323" s="15" t="s">
        <v>1370</v>
      </c>
    </row>
    <row r="324" customFormat="false" ht="19.5" hidden="false" customHeight="true" outlineLevel="0" collapsed="false">
      <c r="A324" s="26" t="n">
        <v>1963</v>
      </c>
      <c r="B324" s="27" t="s">
        <v>1371</v>
      </c>
      <c r="C324" s="30" t="s">
        <v>296</v>
      </c>
      <c r="D324" s="39" t="n">
        <v>1</v>
      </c>
      <c r="E324" s="30" t="s">
        <v>39</v>
      </c>
      <c r="F324" s="30" t="s">
        <v>39</v>
      </c>
      <c r="G324" s="27" t="s">
        <v>383</v>
      </c>
      <c r="H324" s="40" t="s">
        <v>383</v>
      </c>
      <c r="I324" s="27" t="s">
        <v>384</v>
      </c>
      <c r="J324" s="30" t="s">
        <v>336</v>
      </c>
      <c r="K324" s="30" t="s">
        <v>142</v>
      </c>
      <c r="L324" s="26" t="s">
        <v>385</v>
      </c>
      <c r="M324" s="27" t="s">
        <v>343</v>
      </c>
      <c r="N324" s="30" t="n">
        <v>0</v>
      </c>
      <c r="O324" s="27" t="s">
        <v>339</v>
      </c>
      <c r="P324" s="26" t="s">
        <v>690</v>
      </c>
      <c r="Q324" s="27" t="s">
        <v>1090</v>
      </c>
      <c r="R324" s="27" t="s">
        <v>717</v>
      </c>
      <c r="S324" s="27" t="s">
        <v>386</v>
      </c>
      <c r="T324" s="27" t="s">
        <v>387</v>
      </c>
      <c r="U324" s="27" t="s">
        <v>1372</v>
      </c>
    </row>
    <row r="325" customFormat="false" ht="19.5" hidden="false" customHeight="true" outlineLevel="0" collapsed="false">
      <c r="A325" s="19" t="n">
        <v>1990</v>
      </c>
      <c r="B325" s="15" t="s">
        <v>1373</v>
      </c>
      <c r="C325" s="17" t="s">
        <v>751</v>
      </c>
      <c r="D325" s="16" t="n">
        <v>25</v>
      </c>
      <c r="E325" s="17" t="s">
        <v>63</v>
      </c>
      <c r="F325" s="17" t="s">
        <v>63</v>
      </c>
      <c r="G325" s="15" t="s">
        <v>531</v>
      </c>
      <c r="H325" s="18" t="s">
        <v>531</v>
      </c>
      <c r="I325" s="15" t="s">
        <v>379</v>
      </c>
      <c r="J325" s="17" t="s">
        <v>336</v>
      </c>
      <c r="K325" s="17" t="s">
        <v>530</v>
      </c>
      <c r="L325" s="19" t="s">
        <v>530</v>
      </c>
      <c r="M325" s="15" t="s">
        <v>343</v>
      </c>
      <c r="N325" s="17" t="n">
        <v>109009</v>
      </c>
      <c r="O325" s="15" t="s">
        <v>344</v>
      </c>
      <c r="P325" s="19" t="n">
        <v>109009</v>
      </c>
      <c r="Q325" s="15" t="s">
        <v>1374</v>
      </c>
      <c r="R325" s="15" t="s">
        <v>648</v>
      </c>
      <c r="S325" s="15" t="s">
        <v>345</v>
      </c>
      <c r="T325" s="15" t="s">
        <v>341</v>
      </c>
      <c r="U325" s="15" t="s">
        <v>1375</v>
      </c>
    </row>
    <row r="326" customFormat="false" ht="19.5" hidden="false" customHeight="true" outlineLevel="0" collapsed="false">
      <c r="A326" s="26" t="n">
        <v>1997</v>
      </c>
      <c r="B326" s="27" t="s">
        <v>1376</v>
      </c>
      <c r="C326" s="30" t="s">
        <v>1377</v>
      </c>
      <c r="D326" s="39" t="n">
        <v>3</v>
      </c>
      <c r="E326" s="30" t="s">
        <v>39</v>
      </c>
      <c r="F326" s="30" t="s">
        <v>39</v>
      </c>
      <c r="G326" s="27" t="s">
        <v>105</v>
      </c>
      <c r="H326" s="40" t="s">
        <v>105</v>
      </c>
      <c r="I326" s="27" t="s">
        <v>376</v>
      </c>
      <c r="J326" s="30" t="s">
        <v>336</v>
      </c>
      <c r="K326" s="30" t="s">
        <v>142</v>
      </c>
      <c r="L326" s="26" t="s">
        <v>106</v>
      </c>
      <c r="M326" s="27" t="s">
        <v>377</v>
      </c>
      <c r="N326" s="30" t="n">
        <v>0</v>
      </c>
      <c r="O326" s="27" t="s">
        <v>339</v>
      </c>
      <c r="P326" s="26" t="s">
        <v>690</v>
      </c>
      <c r="Q326" s="27" t="s">
        <v>691</v>
      </c>
      <c r="R326" s="27" t="s">
        <v>692</v>
      </c>
      <c r="S326" s="27" t="s">
        <v>345</v>
      </c>
      <c r="T326" s="27" t="s">
        <v>341</v>
      </c>
      <c r="U326" s="27" t="s">
        <v>827</v>
      </c>
    </row>
    <row r="327" customFormat="false" ht="19.5" hidden="false" customHeight="true" outlineLevel="0" collapsed="false">
      <c r="A327" s="19" t="n">
        <v>2001</v>
      </c>
      <c r="B327" s="15" t="s">
        <v>1378</v>
      </c>
      <c r="C327" s="17" t="s">
        <v>263</v>
      </c>
      <c r="D327" s="16" t="n">
        <v>20</v>
      </c>
      <c r="E327" s="17" t="s">
        <v>39</v>
      </c>
      <c r="F327" s="17" t="s">
        <v>39</v>
      </c>
      <c r="G327" s="15" t="s">
        <v>135</v>
      </c>
      <c r="H327" s="18" t="s">
        <v>135</v>
      </c>
      <c r="I327" s="15" t="s">
        <v>379</v>
      </c>
      <c r="J327" s="17" t="s">
        <v>336</v>
      </c>
      <c r="K327" s="17" t="s">
        <v>140</v>
      </c>
      <c r="L327" s="19" t="s">
        <v>140</v>
      </c>
      <c r="M327" s="15" t="s">
        <v>343</v>
      </c>
      <c r="N327" s="17" t="n">
        <v>9622</v>
      </c>
      <c r="O327" s="15" t="s">
        <v>344</v>
      </c>
      <c r="P327" s="19" t="n">
        <v>9622</v>
      </c>
      <c r="Q327" s="15" t="s">
        <v>1379</v>
      </c>
      <c r="R327" s="15" t="s">
        <v>648</v>
      </c>
      <c r="S327" s="15" t="s">
        <v>345</v>
      </c>
      <c r="T327" s="15" t="s">
        <v>341</v>
      </c>
      <c r="U327" s="15" t="s">
        <v>1380</v>
      </c>
    </row>
    <row r="328" customFormat="false" ht="19.5" hidden="false" customHeight="true" outlineLevel="0" collapsed="false">
      <c r="A328" s="26" t="n">
        <v>2002</v>
      </c>
      <c r="B328" s="27" t="s">
        <v>1381</v>
      </c>
      <c r="C328" s="30" t="s">
        <v>263</v>
      </c>
      <c r="D328" s="39" t="n">
        <v>20</v>
      </c>
      <c r="E328" s="30" t="s">
        <v>39</v>
      </c>
      <c r="F328" s="30" t="s">
        <v>39</v>
      </c>
      <c r="G328" s="27" t="s">
        <v>445</v>
      </c>
      <c r="H328" s="40" t="s">
        <v>445</v>
      </c>
      <c r="I328" s="27" t="s">
        <v>379</v>
      </c>
      <c r="J328" s="30" t="s">
        <v>336</v>
      </c>
      <c r="K328" s="30" t="s">
        <v>140</v>
      </c>
      <c r="L328" s="26" t="s">
        <v>140</v>
      </c>
      <c r="M328" s="27" t="s">
        <v>343</v>
      </c>
      <c r="N328" s="30" t="n">
        <v>17119</v>
      </c>
      <c r="O328" s="27" t="s">
        <v>344</v>
      </c>
      <c r="P328" s="26" t="n">
        <v>17119</v>
      </c>
      <c r="Q328" s="27" t="s">
        <v>1301</v>
      </c>
      <c r="R328" s="27" t="s">
        <v>648</v>
      </c>
      <c r="S328" s="27" t="s">
        <v>345</v>
      </c>
      <c r="T328" s="27" t="s">
        <v>341</v>
      </c>
      <c r="U328" s="27" t="s">
        <v>1382</v>
      </c>
    </row>
    <row r="329" customFormat="false" ht="19.5" hidden="false" customHeight="true" outlineLevel="0" collapsed="false">
      <c r="A329" s="19" t="n">
        <v>2103</v>
      </c>
      <c r="B329" s="15" t="s">
        <v>1383</v>
      </c>
      <c r="C329" s="17" t="s">
        <v>1384</v>
      </c>
      <c r="D329" s="16" t="n">
        <v>4</v>
      </c>
      <c r="E329" s="17" t="s">
        <v>63</v>
      </c>
      <c r="F329" s="17" t="s">
        <v>63</v>
      </c>
      <c r="G329" s="15" t="s">
        <v>505</v>
      </c>
      <c r="H329" s="18" t="s">
        <v>505</v>
      </c>
      <c r="I329" s="15" t="s">
        <v>342</v>
      </c>
      <c r="J329" s="17" t="s">
        <v>336</v>
      </c>
      <c r="K329" s="17" t="s">
        <v>136</v>
      </c>
      <c r="L329" s="19" t="s">
        <v>136</v>
      </c>
      <c r="M329" s="15" t="s">
        <v>343</v>
      </c>
      <c r="N329" s="17" t="n">
        <v>10023</v>
      </c>
      <c r="O329" s="15" t="s">
        <v>344</v>
      </c>
      <c r="P329" s="19" t="n">
        <v>10023</v>
      </c>
      <c r="Q329" s="15" t="s">
        <v>1385</v>
      </c>
      <c r="R329" s="15" t="s">
        <v>648</v>
      </c>
      <c r="S329" s="15" t="s">
        <v>345</v>
      </c>
      <c r="T329" s="15" t="s">
        <v>341</v>
      </c>
      <c r="U329" s="15" t="s">
        <v>1386</v>
      </c>
    </row>
    <row r="330" customFormat="false" ht="19.5" hidden="false" customHeight="true" outlineLevel="0" collapsed="false">
      <c r="A330" s="26" t="n">
        <v>2104</v>
      </c>
      <c r="B330" s="27" t="s">
        <v>1387</v>
      </c>
      <c r="C330" s="30" t="s">
        <v>263</v>
      </c>
      <c r="D330" s="39" t="n">
        <v>20</v>
      </c>
      <c r="E330" s="30" t="s">
        <v>39</v>
      </c>
      <c r="F330" s="30" t="s">
        <v>39</v>
      </c>
      <c r="G330" s="27" t="s">
        <v>599</v>
      </c>
      <c r="H330" s="40" t="s">
        <v>599</v>
      </c>
      <c r="I330" s="27" t="s">
        <v>342</v>
      </c>
      <c r="J330" s="30" t="s">
        <v>336</v>
      </c>
      <c r="K330" s="30" t="s">
        <v>530</v>
      </c>
      <c r="L330" s="26" t="s">
        <v>111</v>
      </c>
      <c r="M330" s="27" t="s">
        <v>343</v>
      </c>
      <c r="N330" s="30" t="n">
        <v>10623</v>
      </c>
      <c r="O330" s="27" t="s">
        <v>344</v>
      </c>
      <c r="P330" s="26" t="n">
        <v>10623</v>
      </c>
      <c r="Q330" s="27" t="s">
        <v>1388</v>
      </c>
      <c r="R330" s="27" t="s">
        <v>648</v>
      </c>
      <c r="S330" s="27" t="s">
        <v>345</v>
      </c>
      <c r="T330" s="27" t="s">
        <v>341</v>
      </c>
      <c r="U330" s="27" t="s">
        <v>1389</v>
      </c>
    </row>
    <row r="331" customFormat="false" ht="19.5" hidden="false" customHeight="true" outlineLevel="0" collapsed="false">
      <c r="A331" s="19" t="n">
        <v>2113</v>
      </c>
      <c r="B331" s="15" t="s">
        <v>1390</v>
      </c>
      <c r="C331" s="17" t="s">
        <v>260</v>
      </c>
      <c r="D331" s="16" t="n">
        <v>5</v>
      </c>
      <c r="E331" s="17" t="s">
        <v>39</v>
      </c>
      <c r="F331" s="17" t="s">
        <v>39</v>
      </c>
      <c r="G331" s="15" t="s">
        <v>510</v>
      </c>
      <c r="H331" s="18" t="s">
        <v>510</v>
      </c>
      <c r="I331" s="15" t="s">
        <v>342</v>
      </c>
      <c r="J331" s="17" t="s">
        <v>336</v>
      </c>
      <c r="K331" s="17" t="s">
        <v>111</v>
      </c>
      <c r="L331" s="19" t="s">
        <v>111</v>
      </c>
      <c r="M331" s="15" t="s">
        <v>343</v>
      </c>
      <c r="N331" s="17" t="n">
        <v>3518</v>
      </c>
      <c r="O331" s="15" t="s">
        <v>344</v>
      </c>
      <c r="P331" s="19" t="n">
        <v>3518</v>
      </c>
      <c r="Q331" s="15" t="s">
        <v>820</v>
      </c>
      <c r="R331" s="15" t="s">
        <v>648</v>
      </c>
      <c r="S331" s="15" t="s">
        <v>345</v>
      </c>
      <c r="T331" s="15" t="s">
        <v>341</v>
      </c>
      <c r="U331" s="15" t="s">
        <v>821</v>
      </c>
    </row>
    <row r="332" customFormat="false" ht="19.5" hidden="false" customHeight="true" outlineLevel="0" collapsed="false">
      <c r="A332" s="26" t="n">
        <v>2132</v>
      </c>
      <c r="B332" s="27" t="s">
        <v>1391</v>
      </c>
      <c r="C332" s="30" t="s">
        <v>263</v>
      </c>
      <c r="D332" s="39" t="n">
        <v>20</v>
      </c>
      <c r="E332" s="30" t="s">
        <v>39</v>
      </c>
      <c r="F332" s="30" t="s">
        <v>39</v>
      </c>
      <c r="G332" s="27" t="s">
        <v>117</v>
      </c>
      <c r="H332" s="40" t="s">
        <v>117</v>
      </c>
      <c r="I332" s="27" t="s">
        <v>569</v>
      </c>
      <c r="J332" s="30" t="s">
        <v>336</v>
      </c>
      <c r="K332" s="30" t="s">
        <v>442</v>
      </c>
      <c r="L332" s="26" t="s">
        <v>367</v>
      </c>
      <c r="M332" s="27" t="s">
        <v>368</v>
      </c>
      <c r="N332" s="30" t="n">
        <v>0</v>
      </c>
      <c r="O332" s="27" t="s">
        <v>369</v>
      </c>
      <c r="P332" s="26" t="s">
        <v>683</v>
      </c>
      <c r="Q332" s="27" t="s">
        <v>684</v>
      </c>
      <c r="R332" s="27" t="s">
        <v>685</v>
      </c>
      <c r="S332" s="27" t="s">
        <v>370</v>
      </c>
      <c r="T332" s="27" t="s">
        <v>371</v>
      </c>
      <c r="U332" s="27" t="s">
        <v>901</v>
      </c>
    </row>
    <row r="333" customFormat="false" ht="19.5" hidden="false" customHeight="true" outlineLevel="0" collapsed="false">
      <c r="A333" s="19" t="n">
        <v>2203</v>
      </c>
      <c r="B333" s="15" t="s">
        <v>1392</v>
      </c>
      <c r="C333" s="17" t="s">
        <v>1393</v>
      </c>
      <c r="D333" s="16" t="n">
        <v>200</v>
      </c>
      <c r="E333" s="17" t="s">
        <v>39</v>
      </c>
      <c r="F333" s="17" t="s">
        <v>39</v>
      </c>
      <c r="G333" s="15" t="s">
        <v>117</v>
      </c>
      <c r="H333" s="18" t="s">
        <v>117</v>
      </c>
      <c r="I333" s="15" t="s">
        <v>569</v>
      </c>
      <c r="J333" s="17" t="s">
        <v>336</v>
      </c>
      <c r="K333" s="17" t="s">
        <v>1394</v>
      </c>
      <c r="L333" s="19" t="s">
        <v>1394</v>
      </c>
      <c r="M333" s="15" t="s">
        <v>368</v>
      </c>
      <c r="N333" s="17" t="n">
        <v>0</v>
      </c>
      <c r="O333" s="15" t="s">
        <v>369</v>
      </c>
      <c r="P333" s="19" t="s">
        <v>683</v>
      </c>
      <c r="Q333" s="15" t="s">
        <v>684</v>
      </c>
      <c r="R333" s="15" t="s">
        <v>685</v>
      </c>
      <c r="S333" s="15" t="s">
        <v>370</v>
      </c>
      <c r="T333" s="15" t="s">
        <v>371</v>
      </c>
      <c r="U333" s="15" t="s">
        <v>1395</v>
      </c>
    </row>
    <row r="334" customFormat="false" ht="19.5" hidden="false" customHeight="true" outlineLevel="0" collapsed="false">
      <c r="A334" s="26" t="n">
        <v>2252</v>
      </c>
      <c r="B334" s="27" t="s">
        <v>1396</v>
      </c>
      <c r="C334" s="30" t="s">
        <v>1192</v>
      </c>
      <c r="D334" s="39" t="n">
        <v>0</v>
      </c>
      <c r="E334" s="30" t="s">
        <v>39</v>
      </c>
      <c r="F334" s="30" t="s">
        <v>39</v>
      </c>
      <c r="G334" s="27" t="s">
        <v>502</v>
      </c>
      <c r="H334" s="40" t="s">
        <v>502</v>
      </c>
      <c r="I334" s="27" t="s">
        <v>413</v>
      </c>
      <c r="J334" s="30" t="s">
        <v>336</v>
      </c>
      <c r="K334" s="30" t="s">
        <v>136</v>
      </c>
      <c r="L334" s="26" t="s">
        <v>136</v>
      </c>
      <c r="M334" s="27" t="s">
        <v>352</v>
      </c>
      <c r="N334" s="30" t="n">
        <v>9621</v>
      </c>
      <c r="O334" s="27" t="s">
        <v>344</v>
      </c>
      <c r="P334" s="26" t="n">
        <v>9621</v>
      </c>
      <c r="Q334" s="27" t="s">
        <v>1030</v>
      </c>
      <c r="R334" s="27" t="s">
        <v>648</v>
      </c>
      <c r="S334" s="27" t="s">
        <v>340</v>
      </c>
      <c r="T334" s="27" t="s">
        <v>341</v>
      </c>
      <c r="U334" s="27" t="s">
        <v>1397</v>
      </c>
    </row>
    <row r="335" customFormat="false" ht="19.5" hidden="false" customHeight="true" outlineLevel="0" collapsed="false">
      <c r="A335" s="19" t="n">
        <v>2254</v>
      </c>
      <c r="B335" s="15" t="s">
        <v>1398</v>
      </c>
      <c r="C335" s="17" t="s">
        <v>751</v>
      </c>
      <c r="D335" s="16" t="n">
        <v>25</v>
      </c>
      <c r="E335" s="17" t="s">
        <v>63</v>
      </c>
      <c r="F335" s="17" t="s">
        <v>63</v>
      </c>
      <c r="G335" s="15" t="s">
        <v>532</v>
      </c>
      <c r="H335" s="18" t="s">
        <v>532</v>
      </c>
      <c r="I335" s="15" t="s">
        <v>379</v>
      </c>
      <c r="J335" s="17" t="s">
        <v>336</v>
      </c>
      <c r="K335" s="17" t="s">
        <v>530</v>
      </c>
      <c r="L335" s="19" t="s">
        <v>530</v>
      </c>
      <c r="M335" s="15" t="s">
        <v>343</v>
      </c>
      <c r="N335" s="17" t="n">
        <v>12319</v>
      </c>
      <c r="O335" s="15" t="s">
        <v>344</v>
      </c>
      <c r="P335" s="19" t="n">
        <v>12319</v>
      </c>
      <c r="Q335" s="15" t="s">
        <v>1399</v>
      </c>
      <c r="R335" s="15" t="s">
        <v>648</v>
      </c>
      <c r="S335" s="15" t="s">
        <v>345</v>
      </c>
      <c r="T335" s="15" t="s">
        <v>341</v>
      </c>
      <c r="U335" s="15" t="s">
        <v>1400</v>
      </c>
    </row>
    <row r="336" customFormat="false" ht="19.5" hidden="false" customHeight="true" outlineLevel="0" collapsed="false">
      <c r="A336" s="26" t="n">
        <v>2312</v>
      </c>
      <c r="B336" s="27" t="s">
        <v>1401</v>
      </c>
      <c r="C336" s="30" t="s">
        <v>1402</v>
      </c>
      <c r="D336" s="39" t="n">
        <v>1000</v>
      </c>
      <c r="E336" s="30" t="s">
        <v>1403</v>
      </c>
      <c r="F336" s="30" t="s">
        <v>1403</v>
      </c>
      <c r="G336" s="27" t="s">
        <v>566</v>
      </c>
      <c r="H336" s="40" t="s">
        <v>566</v>
      </c>
      <c r="I336" s="27" t="s">
        <v>542</v>
      </c>
      <c r="J336" s="30" t="s">
        <v>336</v>
      </c>
      <c r="K336" s="30" t="s">
        <v>567</v>
      </c>
      <c r="L336" s="26" t="s">
        <v>567</v>
      </c>
      <c r="M336" s="27" t="s">
        <v>349</v>
      </c>
      <c r="N336" s="30" t="n">
        <v>0</v>
      </c>
      <c r="O336" s="27" t="s">
        <v>339</v>
      </c>
      <c r="P336" s="26" t="s">
        <v>690</v>
      </c>
      <c r="Q336" s="27" t="s">
        <v>691</v>
      </c>
      <c r="R336" s="27" t="s">
        <v>692</v>
      </c>
      <c r="S336" s="27" t="s">
        <v>345</v>
      </c>
      <c r="T336" s="27" t="s">
        <v>341</v>
      </c>
      <c r="U336" s="27" t="s">
        <v>693</v>
      </c>
    </row>
    <row r="337" customFormat="false" ht="19.5" hidden="false" customHeight="true" outlineLevel="0" collapsed="false">
      <c r="A337" s="19" t="n">
        <v>2325</v>
      </c>
      <c r="B337" s="15" t="s">
        <v>1404</v>
      </c>
      <c r="C337" s="17" t="s">
        <v>263</v>
      </c>
      <c r="D337" s="16" t="n">
        <v>20</v>
      </c>
      <c r="E337" s="17" t="s">
        <v>39</v>
      </c>
      <c r="F337" s="17" t="s">
        <v>39</v>
      </c>
      <c r="G337" s="15" t="s">
        <v>502</v>
      </c>
      <c r="H337" s="18" t="s">
        <v>502</v>
      </c>
      <c r="I337" s="15" t="s">
        <v>342</v>
      </c>
      <c r="J337" s="17" t="s">
        <v>336</v>
      </c>
      <c r="K337" s="17" t="s">
        <v>136</v>
      </c>
      <c r="L337" s="19" t="s">
        <v>136</v>
      </c>
      <c r="M337" s="15" t="s">
        <v>343</v>
      </c>
      <c r="N337" s="17" t="n">
        <v>34118</v>
      </c>
      <c r="O337" s="15" t="s">
        <v>344</v>
      </c>
      <c r="P337" s="19" t="n">
        <v>34118</v>
      </c>
      <c r="Q337" s="15" t="s">
        <v>1405</v>
      </c>
      <c r="R337" s="15" t="s">
        <v>648</v>
      </c>
      <c r="S337" s="15" t="s">
        <v>345</v>
      </c>
      <c r="T337" s="15" t="s">
        <v>341</v>
      </c>
      <c r="U337" s="15" t="s">
        <v>1406</v>
      </c>
    </row>
    <row r="338" customFormat="false" ht="19.5" hidden="false" customHeight="true" outlineLevel="0" collapsed="false">
      <c r="A338" s="26" t="n">
        <v>2326</v>
      </c>
      <c r="B338" s="27" t="s">
        <v>1407</v>
      </c>
      <c r="C338" s="30" t="s">
        <v>812</v>
      </c>
      <c r="D338" s="39" t="n">
        <v>20</v>
      </c>
      <c r="E338" s="30" t="s">
        <v>63</v>
      </c>
      <c r="F338" s="30" t="s">
        <v>63</v>
      </c>
      <c r="G338" s="27" t="s">
        <v>505</v>
      </c>
      <c r="H338" s="40" t="s">
        <v>505</v>
      </c>
      <c r="I338" s="27" t="s">
        <v>342</v>
      </c>
      <c r="J338" s="30" t="s">
        <v>336</v>
      </c>
      <c r="K338" s="30" t="s">
        <v>136</v>
      </c>
      <c r="L338" s="26" t="s">
        <v>136</v>
      </c>
      <c r="M338" s="27" t="s">
        <v>343</v>
      </c>
      <c r="N338" s="30" t="n">
        <v>13614</v>
      </c>
      <c r="O338" s="27" t="s">
        <v>344</v>
      </c>
      <c r="P338" s="26" t="n">
        <v>13614</v>
      </c>
      <c r="Q338" s="27" t="s">
        <v>1408</v>
      </c>
      <c r="R338" s="27" t="s">
        <v>648</v>
      </c>
      <c r="S338" s="27" t="s">
        <v>345</v>
      </c>
      <c r="T338" s="27" t="s">
        <v>341</v>
      </c>
      <c r="U338" s="27" t="s">
        <v>1409</v>
      </c>
    </row>
    <row r="339" customFormat="false" ht="19.5" hidden="false" customHeight="true" outlineLevel="0" collapsed="false">
      <c r="A339" s="19" t="n">
        <v>2338</v>
      </c>
      <c r="B339" s="15" t="s">
        <v>1410</v>
      </c>
      <c r="C339" s="17" t="s">
        <v>263</v>
      </c>
      <c r="D339" s="16" t="n">
        <v>20</v>
      </c>
      <c r="E339" s="17" t="s">
        <v>39</v>
      </c>
      <c r="F339" s="17" t="s">
        <v>39</v>
      </c>
      <c r="G339" s="15" t="s">
        <v>446</v>
      </c>
      <c r="H339" s="18" t="s">
        <v>446</v>
      </c>
      <c r="I339" s="15" t="s">
        <v>447</v>
      </c>
      <c r="J339" s="17" t="s">
        <v>336</v>
      </c>
      <c r="K339" s="17" t="s">
        <v>111</v>
      </c>
      <c r="L339" s="19" t="s">
        <v>111</v>
      </c>
      <c r="M339" s="15" t="s">
        <v>343</v>
      </c>
      <c r="N339" s="17" t="n">
        <v>26222</v>
      </c>
      <c r="O339" s="15" t="s">
        <v>344</v>
      </c>
      <c r="P339" s="19" t="n">
        <v>26222</v>
      </c>
      <c r="Q339" s="15" t="s">
        <v>1411</v>
      </c>
      <c r="R339" s="15" t="s">
        <v>648</v>
      </c>
      <c r="S339" s="15" t="s">
        <v>345</v>
      </c>
      <c r="T339" s="15" t="s">
        <v>341</v>
      </c>
      <c r="U339" s="15" t="s">
        <v>1412</v>
      </c>
    </row>
    <row r="340" customFormat="false" ht="19.5" hidden="false" customHeight="true" outlineLevel="0" collapsed="false">
      <c r="A340" s="26" t="n">
        <v>2339</v>
      </c>
      <c r="B340" s="27" t="s">
        <v>1413</v>
      </c>
      <c r="C340" s="30" t="s">
        <v>263</v>
      </c>
      <c r="D340" s="39" t="n">
        <v>20</v>
      </c>
      <c r="E340" s="30" t="s">
        <v>39</v>
      </c>
      <c r="F340" s="30" t="s">
        <v>39</v>
      </c>
      <c r="G340" s="27" t="s">
        <v>506</v>
      </c>
      <c r="H340" s="40" t="s">
        <v>506</v>
      </c>
      <c r="I340" s="27" t="s">
        <v>342</v>
      </c>
      <c r="J340" s="30" t="s">
        <v>336</v>
      </c>
      <c r="K340" s="30" t="s">
        <v>111</v>
      </c>
      <c r="L340" s="26" t="s">
        <v>111</v>
      </c>
      <c r="M340" s="27" t="s">
        <v>343</v>
      </c>
      <c r="N340" s="30" t="n">
        <v>921</v>
      </c>
      <c r="O340" s="27" t="s">
        <v>344</v>
      </c>
      <c r="P340" s="26" t="n">
        <v>921</v>
      </c>
      <c r="Q340" s="27" t="s">
        <v>1414</v>
      </c>
      <c r="R340" s="27" t="s">
        <v>648</v>
      </c>
      <c r="S340" s="27" t="s">
        <v>345</v>
      </c>
      <c r="T340" s="27" t="s">
        <v>341</v>
      </c>
      <c r="U340" s="27" t="s">
        <v>1415</v>
      </c>
    </row>
    <row r="341" customFormat="false" ht="19.5" hidden="false" customHeight="true" outlineLevel="0" collapsed="false">
      <c r="A341" s="19" t="n">
        <v>2340</v>
      </c>
      <c r="B341" s="15" t="s">
        <v>1416</v>
      </c>
      <c r="C341" s="17" t="s">
        <v>1417</v>
      </c>
      <c r="D341" s="16" t="n">
        <v>4</v>
      </c>
      <c r="E341" s="17" t="s">
        <v>63</v>
      </c>
      <c r="F341" s="17" t="s">
        <v>63</v>
      </c>
      <c r="G341" s="15" t="s">
        <v>470</v>
      </c>
      <c r="H341" s="18" t="s">
        <v>470</v>
      </c>
      <c r="I341" s="15" t="s">
        <v>469</v>
      </c>
      <c r="J341" s="17" t="s">
        <v>336</v>
      </c>
      <c r="K341" s="17" t="s">
        <v>82</v>
      </c>
      <c r="L341" s="19" t="s">
        <v>82</v>
      </c>
      <c r="M341" s="15" t="s">
        <v>343</v>
      </c>
      <c r="N341" s="17" t="n">
        <v>6217</v>
      </c>
      <c r="O341" s="15" t="s">
        <v>344</v>
      </c>
      <c r="P341" s="19" t="n">
        <v>6217</v>
      </c>
      <c r="Q341" s="15" t="s">
        <v>1418</v>
      </c>
      <c r="R341" s="15" t="s">
        <v>648</v>
      </c>
      <c r="S341" s="15" t="s">
        <v>345</v>
      </c>
      <c r="T341" s="15" t="s">
        <v>341</v>
      </c>
      <c r="U341" s="15" t="s">
        <v>1419</v>
      </c>
    </row>
    <row r="342" customFormat="false" ht="19.5" hidden="false" customHeight="true" outlineLevel="0" collapsed="false">
      <c r="A342" s="26" t="n">
        <v>2423</v>
      </c>
      <c r="B342" s="27" t="s">
        <v>1420</v>
      </c>
      <c r="C342" s="30" t="s">
        <v>1192</v>
      </c>
      <c r="D342" s="39" t="n">
        <v>0</v>
      </c>
      <c r="E342" s="30" t="s">
        <v>39</v>
      </c>
      <c r="F342" s="30" t="s">
        <v>39</v>
      </c>
      <c r="G342" s="27" t="s">
        <v>315</v>
      </c>
      <c r="H342" s="40" t="s">
        <v>315</v>
      </c>
      <c r="I342" s="27" t="s">
        <v>351</v>
      </c>
      <c r="J342" s="30" t="s">
        <v>360</v>
      </c>
      <c r="K342" s="30" t="s">
        <v>82</v>
      </c>
      <c r="L342" s="26" t="s">
        <v>51</v>
      </c>
      <c r="M342" s="27" t="s">
        <v>361</v>
      </c>
      <c r="N342" s="30" t="n">
        <v>28421</v>
      </c>
      <c r="O342" s="27" t="s">
        <v>344</v>
      </c>
      <c r="P342" s="26" t="n">
        <v>28421</v>
      </c>
      <c r="Q342" s="27" t="s">
        <v>1421</v>
      </c>
      <c r="R342" s="27" t="s">
        <v>648</v>
      </c>
      <c r="S342" s="27" t="s">
        <v>340</v>
      </c>
      <c r="T342" s="27" t="s">
        <v>341</v>
      </c>
      <c r="U342" s="27" t="s">
        <v>1422</v>
      </c>
    </row>
    <row r="343" customFormat="false" ht="19.5" hidden="false" customHeight="true" outlineLevel="0" collapsed="false">
      <c r="A343" s="19" t="n">
        <v>2440</v>
      </c>
      <c r="B343" s="15" t="s">
        <v>1423</v>
      </c>
      <c r="C343" s="17" t="s">
        <v>260</v>
      </c>
      <c r="D343" s="16" t="n">
        <v>5</v>
      </c>
      <c r="E343" s="17" t="s">
        <v>39</v>
      </c>
      <c r="F343" s="17" t="s">
        <v>39</v>
      </c>
      <c r="G343" s="15" t="s">
        <v>473</v>
      </c>
      <c r="H343" s="18" t="s">
        <v>473</v>
      </c>
      <c r="I343" s="15" t="s">
        <v>379</v>
      </c>
      <c r="J343" s="17" t="s">
        <v>336</v>
      </c>
      <c r="K343" s="17" t="s">
        <v>140</v>
      </c>
      <c r="L343" s="19" t="s">
        <v>140</v>
      </c>
      <c r="M343" s="15" t="s">
        <v>343</v>
      </c>
      <c r="N343" s="17" t="n">
        <v>5321</v>
      </c>
      <c r="O343" s="15" t="s">
        <v>344</v>
      </c>
      <c r="P343" s="19" t="n">
        <v>5321</v>
      </c>
      <c r="Q343" s="15" t="s">
        <v>1424</v>
      </c>
      <c r="R343" s="15" t="s">
        <v>648</v>
      </c>
      <c r="S343" s="15" t="s">
        <v>345</v>
      </c>
      <c r="T343" s="15" t="s">
        <v>341</v>
      </c>
      <c r="U343" s="15" t="s">
        <v>1425</v>
      </c>
    </row>
    <row r="344" customFormat="false" ht="19.5" hidden="false" customHeight="true" outlineLevel="0" collapsed="false">
      <c r="A344" s="26" t="n">
        <v>2478</v>
      </c>
      <c r="B344" s="27" t="s">
        <v>1426</v>
      </c>
      <c r="C344" s="30" t="s">
        <v>260</v>
      </c>
      <c r="D344" s="39" t="n">
        <v>5</v>
      </c>
      <c r="E344" s="30" t="s">
        <v>39</v>
      </c>
      <c r="F344" s="30" t="s">
        <v>39</v>
      </c>
      <c r="G344" s="27" t="s">
        <v>391</v>
      </c>
      <c r="H344" s="40" t="s">
        <v>391</v>
      </c>
      <c r="I344" s="27" t="s">
        <v>392</v>
      </c>
      <c r="J344" s="30" t="s">
        <v>336</v>
      </c>
      <c r="K344" s="30" t="s">
        <v>142</v>
      </c>
      <c r="L344" s="26" t="s">
        <v>82</v>
      </c>
      <c r="M344" s="27" t="s">
        <v>343</v>
      </c>
      <c r="N344" s="30" t="n">
        <v>0</v>
      </c>
      <c r="O344" s="27" t="s">
        <v>353</v>
      </c>
      <c r="P344" s="26" t="n">
        <v>44024</v>
      </c>
      <c r="Q344" s="27" t="s">
        <v>1018</v>
      </c>
      <c r="R344" s="27" t="s">
        <v>717</v>
      </c>
      <c r="S344" s="27" t="s">
        <v>386</v>
      </c>
      <c r="T344" s="27" t="s">
        <v>387</v>
      </c>
      <c r="U344" s="27" t="s">
        <v>1427</v>
      </c>
    </row>
    <row r="345" customFormat="false" ht="19.5" hidden="false" customHeight="true" outlineLevel="0" collapsed="false">
      <c r="A345" s="19" t="n">
        <v>2494</v>
      </c>
      <c r="B345" s="15" t="s">
        <v>1428</v>
      </c>
      <c r="C345" s="17" t="s">
        <v>1192</v>
      </c>
      <c r="D345" s="16" t="n">
        <v>0</v>
      </c>
      <c r="E345" s="17" t="s">
        <v>39</v>
      </c>
      <c r="F345" s="17" t="s">
        <v>39</v>
      </c>
      <c r="G345" s="15" t="s">
        <v>110</v>
      </c>
      <c r="H345" s="18" t="s">
        <v>110</v>
      </c>
      <c r="I345" s="15" t="s">
        <v>413</v>
      </c>
      <c r="J345" s="17" t="s">
        <v>336</v>
      </c>
      <c r="K345" s="17" t="s">
        <v>82</v>
      </c>
      <c r="L345" s="19" t="s">
        <v>111</v>
      </c>
      <c r="M345" s="15" t="s">
        <v>352</v>
      </c>
      <c r="N345" s="17" t="n">
        <v>0</v>
      </c>
      <c r="O345" s="15" t="s">
        <v>353</v>
      </c>
      <c r="P345" s="19" t="s">
        <v>1193</v>
      </c>
      <c r="Q345" s="15" t="s">
        <v>1194</v>
      </c>
      <c r="R345" s="15" t="s">
        <v>717</v>
      </c>
      <c r="S345" s="15" t="s">
        <v>340</v>
      </c>
      <c r="T345" s="15" t="s">
        <v>341</v>
      </c>
      <c r="U345" s="15" t="s">
        <v>1429</v>
      </c>
    </row>
    <row r="346" customFormat="false" ht="19.5" hidden="false" customHeight="true" outlineLevel="0" collapsed="false">
      <c r="A346" s="26" t="n">
        <v>2498</v>
      </c>
      <c r="B346" s="27" t="s">
        <v>1430</v>
      </c>
      <c r="C346" s="30" t="s">
        <v>1107</v>
      </c>
      <c r="D346" s="39" t="n">
        <v>1</v>
      </c>
      <c r="E346" s="30" t="s">
        <v>63</v>
      </c>
      <c r="F346" s="30" t="s">
        <v>63</v>
      </c>
      <c r="G346" s="27" t="s">
        <v>365</v>
      </c>
      <c r="H346" s="40" t="s">
        <v>365</v>
      </c>
      <c r="I346" s="27" t="s">
        <v>356</v>
      </c>
      <c r="J346" s="30" t="s">
        <v>336</v>
      </c>
      <c r="K346" s="30" t="s">
        <v>82</v>
      </c>
      <c r="L346" s="26" t="s">
        <v>82</v>
      </c>
      <c r="M346" s="27" t="s">
        <v>343</v>
      </c>
      <c r="N346" s="30" t="n">
        <v>14521</v>
      </c>
      <c r="O346" s="27" t="s">
        <v>344</v>
      </c>
      <c r="P346" s="26" t="n">
        <v>14521</v>
      </c>
      <c r="Q346" s="27" t="s">
        <v>1431</v>
      </c>
      <c r="R346" s="27" t="s">
        <v>648</v>
      </c>
      <c r="S346" s="27" t="s">
        <v>345</v>
      </c>
      <c r="T346" s="27" t="s">
        <v>341</v>
      </c>
      <c r="U346" s="27" t="s">
        <v>1432</v>
      </c>
    </row>
    <row r="347" customFormat="false" ht="19.5" hidden="false" customHeight="true" outlineLevel="0" collapsed="false">
      <c r="A347" s="19" t="n">
        <v>2499</v>
      </c>
      <c r="B347" s="15" t="s">
        <v>1433</v>
      </c>
      <c r="C347" s="17" t="s">
        <v>260</v>
      </c>
      <c r="D347" s="16" t="n">
        <v>5</v>
      </c>
      <c r="E347" s="17" t="s">
        <v>39</v>
      </c>
      <c r="F347" s="17" t="s">
        <v>39</v>
      </c>
      <c r="G347" s="15" t="s">
        <v>517</v>
      </c>
      <c r="H347" s="18" t="s">
        <v>517</v>
      </c>
      <c r="I347" s="15" t="s">
        <v>379</v>
      </c>
      <c r="J347" s="17" t="s">
        <v>336</v>
      </c>
      <c r="K347" s="17" t="s">
        <v>140</v>
      </c>
      <c r="L347" s="19" t="s">
        <v>140</v>
      </c>
      <c r="M347" s="15" t="s">
        <v>343</v>
      </c>
      <c r="N347" s="17" t="n">
        <v>122</v>
      </c>
      <c r="O347" s="15" t="s">
        <v>344</v>
      </c>
      <c r="P347" s="19" t="n">
        <v>122</v>
      </c>
      <c r="Q347" s="15" t="s">
        <v>1434</v>
      </c>
      <c r="R347" s="15" t="s">
        <v>648</v>
      </c>
      <c r="S347" s="15" t="s">
        <v>345</v>
      </c>
      <c r="T347" s="15" t="s">
        <v>341</v>
      </c>
      <c r="U347" s="15" t="s">
        <v>1435</v>
      </c>
    </row>
    <row r="348" customFormat="false" ht="19.5" hidden="false" customHeight="true" outlineLevel="0" collapsed="false">
      <c r="A348" s="26" t="n">
        <v>2500</v>
      </c>
      <c r="B348" s="27" t="s">
        <v>1436</v>
      </c>
      <c r="C348" s="30" t="s">
        <v>260</v>
      </c>
      <c r="D348" s="39" t="n">
        <v>5</v>
      </c>
      <c r="E348" s="30" t="s">
        <v>39</v>
      </c>
      <c r="F348" s="30" t="s">
        <v>39</v>
      </c>
      <c r="G348" s="27" t="s">
        <v>488</v>
      </c>
      <c r="H348" s="40" t="s">
        <v>488</v>
      </c>
      <c r="I348" s="27" t="s">
        <v>379</v>
      </c>
      <c r="J348" s="30" t="s">
        <v>336</v>
      </c>
      <c r="K348" s="30" t="s">
        <v>140</v>
      </c>
      <c r="L348" s="26" t="s">
        <v>140</v>
      </c>
      <c r="M348" s="27" t="s">
        <v>343</v>
      </c>
      <c r="N348" s="30" t="n">
        <v>3922</v>
      </c>
      <c r="O348" s="27" t="s">
        <v>344</v>
      </c>
      <c r="P348" s="26" t="n">
        <v>3922</v>
      </c>
      <c r="Q348" s="27" t="s">
        <v>1437</v>
      </c>
      <c r="R348" s="27" t="s">
        <v>648</v>
      </c>
      <c r="S348" s="27" t="s">
        <v>345</v>
      </c>
      <c r="T348" s="27" t="s">
        <v>341</v>
      </c>
      <c r="U348" s="27" t="s">
        <v>1438</v>
      </c>
    </row>
    <row r="349" customFormat="false" ht="19.5" hidden="false" customHeight="true" outlineLevel="0" collapsed="false">
      <c r="A349" s="19" t="n">
        <v>2501</v>
      </c>
      <c r="B349" s="15" t="s">
        <v>1439</v>
      </c>
      <c r="C349" s="17" t="s">
        <v>763</v>
      </c>
      <c r="D349" s="16" t="n">
        <v>10</v>
      </c>
      <c r="E349" s="17" t="s">
        <v>39</v>
      </c>
      <c r="F349" s="17" t="s">
        <v>39</v>
      </c>
      <c r="G349" s="15" t="s">
        <v>537</v>
      </c>
      <c r="H349" s="18" t="s">
        <v>537</v>
      </c>
      <c r="I349" s="15" t="s">
        <v>379</v>
      </c>
      <c r="J349" s="17" t="s">
        <v>336</v>
      </c>
      <c r="K349" s="17" t="s">
        <v>140</v>
      </c>
      <c r="L349" s="19" t="s">
        <v>140</v>
      </c>
      <c r="M349" s="15" t="s">
        <v>343</v>
      </c>
      <c r="N349" s="17" t="n">
        <v>9517</v>
      </c>
      <c r="O349" s="15" t="s">
        <v>344</v>
      </c>
      <c r="P349" s="19" t="n">
        <v>9517</v>
      </c>
      <c r="Q349" s="15" t="s">
        <v>1440</v>
      </c>
      <c r="R349" s="15" t="s">
        <v>648</v>
      </c>
      <c r="S349" s="15" t="s">
        <v>345</v>
      </c>
      <c r="T349" s="15" t="s">
        <v>341</v>
      </c>
      <c r="U349" s="15" t="s">
        <v>1441</v>
      </c>
    </row>
    <row r="350" customFormat="false" ht="19.5" hidden="false" customHeight="true" outlineLevel="0" collapsed="false">
      <c r="A350" s="26" t="n">
        <v>2502</v>
      </c>
      <c r="B350" s="27" t="s">
        <v>1442</v>
      </c>
      <c r="C350" s="30" t="s">
        <v>263</v>
      </c>
      <c r="D350" s="39" t="n">
        <v>20</v>
      </c>
      <c r="E350" s="30" t="s">
        <v>39</v>
      </c>
      <c r="F350" s="30" t="s">
        <v>39</v>
      </c>
      <c r="G350" s="27" t="s">
        <v>502</v>
      </c>
      <c r="H350" s="40" t="s">
        <v>502</v>
      </c>
      <c r="I350" s="27" t="s">
        <v>342</v>
      </c>
      <c r="J350" s="30" t="s">
        <v>336</v>
      </c>
      <c r="K350" s="30" t="s">
        <v>136</v>
      </c>
      <c r="L350" s="26" t="s">
        <v>136</v>
      </c>
      <c r="M350" s="27" t="s">
        <v>343</v>
      </c>
      <c r="N350" s="30" t="n">
        <v>8912</v>
      </c>
      <c r="O350" s="27" t="s">
        <v>344</v>
      </c>
      <c r="P350" s="26" t="n">
        <v>8912</v>
      </c>
      <c r="Q350" s="27" t="s">
        <v>1443</v>
      </c>
      <c r="R350" s="27" t="s">
        <v>648</v>
      </c>
      <c r="S350" s="27" t="s">
        <v>345</v>
      </c>
      <c r="T350" s="27" t="s">
        <v>341</v>
      </c>
      <c r="U350" s="27" t="s">
        <v>1444</v>
      </c>
    </row>
    <row r="351" customFormat="false" ht="19.5" hidden="false" customHeight="true" outlineLevel="0" collapsed="false">
      <c r="A351" s="19" t="n">
        <v>2533</v>
      </c>
      <c r="B351" s="15" t="s">
        <v>1445</v>
      </c>
      <c r="C351" s="17" t="s">
        <v>263</v>
      </c>
      <c r="D351" s="16" t="n">
        <v>20</v>
      </c>
      <c r="E351" s="17" t="s">
        <v>39</v>
      </c>
      <c r="F351" s="17" t="s">
        <v>39</v>
      </c>
      <c r="G351" s="15" t="s">
        <v>429</v>
      </c>
      <c r="H351" s="18" t="s">
        <v>429</v>
      </c>
      <c r="I351" s="15" t="s">
        <v>356</v>
      </c>
      <c r="J351" s="17" t="s">
        <v>336</v>
      </c>
      <c r="K351" s="17" t="s">
        <v>82</v>
      </c>
      <c r="L351" s="19" t="s">
        <v>82</v>
      </c>
      <c r="M351" s="15" t="s">
        <v>343</v>
      </c>
      <c r="N351" s="17" t="n">
        <v>36822</v>
      </c>
      <c r="O351" s="15" t="s">
        <v>344</v>
      </c>
      <c r="P351" s="19" t="n">
        <v>36822</v>
      </c>
      <c r="Q351" s="15" t="s">
        <v>1446</v>
      </c>
      <c r="R351" s="15" t="s">
        <v>648</v>
      </c>
      <c r="S351" s="15" t="s">
        <v>345</v>
      </c>
      <c r="T351" s="15" t="s">
        <v>341</v>
      </c>
      <c r="U351" s="15" t="s">
        <v>1447</v>
      </c>
    </row>
    <row r="352" customFormat="false" ht="19.5" hidden="false" customHeight="true" outlineLevel="0" collapsed="false">
      <c r="A352" s="26" t="n">
        <v>2539</v>
      </c>
      <c r="B352" s="27" t="s">
        <v>1448</v>
      </c>
      <c r="C352" s="30" t="s">
        <v>263</v>
      </c>
      <c r="D352" s="39" t="n">
        <v>20</v>
      </c>
      <c r="E352" s="30" t="s">
        <v>39</v>
      </c>
      <c r="F352" s="30" t="s">
        <v>39</v>
      </c>
      <c r="G352" s="27" t="s">
        <v>446</v>
      </c>
      <c r="H352" s="40" t="s">
        <v>446</v>
      </c>
      <c r="I352" s="27" t="s">
        <v>447</v>
      </c>
      <c r="J352" s="30" t="s">
        <v>336</v>
      </c>
      <c r="K352" s="30" t="s">
        <v>111</v>
      </c>
      <c r="L352" s="26" t="s">
        <v>111</v>
      </c>
      <c r="M352" s="27" t="s">
        <v>343</v>
      </c>
      <c r="N352" s="30" t="n">
        <v>34621</v>
      </c>
      <c r="O352" s="27" t="s">
        <v>344</v>
      </c>
      <c r="P352" s="26" t="n">
        <v>34621</v>
      </c>
      <c r="Q352" s="27" t="s">
        <v>959</v>
      </c>
      <c r="R352" s="27" t="s">
        <v>648</v>
      </c>
      <c r="S352" s="27" t="s">
        <v>345</v>
      </c>
      <c r="T352" s="27" t="s">
        <v>341</v>
      </c>
      <c r="U352" s="27" t="s">
        <v>960</v>
      </c>
    </row>
    <row r="353" customFormat="false" ht="19.5" hidden="false" customHeight="true" outlineLevel="0" collapsed="false">
      <c r="A353" s="19" t="n">
        <v>2540</v>
      </c>
      <c r="B353" s="15" t="s">
        <v>1449</v>
      </c>
      <c r="C353" s="17" t="s">
        <v>263</v>
      </c>
      <c r="D353" s="16" t="n">
        <v>20</v>
      </c>
      <c r="E353" s="17" t="s">
        <v>39</v>
      </c>
      <c r="F353" s="17" t="s">
        <v>39</v>
      </c>
      <c r="G353" s="15" t="s">
        <v>446</v>
      </c>
      <c r="H353" s="18" t="s">
        <v>446</v>
      </c>
      <c r="I353" s="15" t="s">
        <v>447</v>
      </c>
      <c r="J353" s="17" t="s">
        <v>336</v>
      </c>
      <c r="K353" s="17" t="s">
        <v>111</v>
      </c>
      <c r="L353" s="19" t="s">
        <v>111</v>
      </c>
      <c r="M353" s="15" t="s">
        <v>343</v>
      </c>
      <c r="N353" s="17" t="n">
        <v>34621</v>
      </c>
      <c r="O353" s="15" t="s">
        <v>344</v>
      </c>
      <c r="P353" s="19" t="n">
        <v>34621</v>
      </c>
      <c r="Q353" s="15" t="s">
        <v>959</v>
      </c>
      <c r="R353" s="15" t="s">
        <v>648</v>
      </c>
      <c r="S353" s="15" t="s">
        <v>345</v>
      </c>
      <c r="T353" s="15" t="s">
        <v>341</v>
      </c>
      <c r="U353" s="15" t="s">
        <v>960</v>
      </c>
    </row>
    <row r="354" customFormat="false" ht="19.5" hidden="false" customHeight="true" outlineLevel="0" collapsed="false">
      <c r="A354" s="26" t="n">
        <v>2553</v>
      </c>
      <c r="B354" s="27" t="s">
        <v>1450</v>
      </c>
      <c r="C354" s="30" t="s">
        <v>260</v>
      </c>
      <c r="D354" s="39" t="n">
        <v>5</v>
      </c>
      <c r="E354" s="30" t="s">
        <v>39</v>
      </c>
      <c r="F354" s="30" t="s">
        <v>39</v>
      </c>
      <c r="G354" s="27" t="s">
        <v>534</v>
      </c>
      <c r="H354" s="40" t="s">
        <v>534</v>
      </c>
      <c r="I354" s="27" t="s">
        <v>342</v>
      </c>
      <c r="J354" s="30" t="s">
        <v>336</v>
      </c>
      <c r="K354" s="30" t="s">
        <v>111</v>
      </c>
      <c r="L354" s="26" t="s">
        <v>111</v>
      </c>
      <c r="M354" s="27" t="s">
        <v>343</v>
      </c>
      <c r="N354" s="30" t="n">
        <v>23917</v>
      </c>
      <c r="O354" s="27" t="s">
        <v>344</v>
      </c>
      <c r="P354" s="26" t="n">
        <v>23917</v>
      </c>
      <c r="Q354" s="27" t="s">
        <v>1451</v>
      </c>
      <c r="R354" s="27" t="s">
        <v>648</v>
      </c>
      <c r="S354" s="27" t="s">
        <v>345</v>
      </c>
      <c r="T354" s="27" t="s">
        <v>341</v>
      </c>
      <c r="U354" s="27" t="s">
        <v>1452</v>
      </c>
    </row>
    <row r="355" customFormat="false" ht="19.5" hidden="false" customHeight="true" outlineLevel="0" collapsed="false">
      <c r="A355" s="19" t="n">
        <v>2554</v>
      </c>
      <c r="B355" s="15" t="s">
        <v>1453</v>
      </c>
      <c r="C355" s="17" t="s">
        <v>263</v>
      </c>
      <c r="D355" s="16" t="n">
        <v>20</v>
      </c>
      <c r="E355" s="17" t="s">
        <v>39</v>
      </c>
      <c r="F355" s="17" t="s">
        <v>39</v>
      </c>
      <c r="G355" s="15" t="s">
        <v>534</v>
      </c>
      <c r="H355" s="18" t="s">
        <v>534</v>
      </c>
      <c r="I355" s="15" t="s">
        <v>342</v>
      </c>
      <c r="J355" s="17" t="s">
        <v>336</v>
      </c>
      <c r="K355" s="17" t="s">
        <v>111</v>
      </c>
      <c r="L355" s="19" t="s">
        <v>111</v>
      </c>
      <c r="M355" s="15" t="s">
        <v>343</v>
      </c>
      <c r="N355" s="17" t="n">
        <v>23917</v>
      </c>
      <c r="O355" s="15" t="s">
        <v>344</v>
      </c>
      <c r="P355" s="19" t="n">
        <v>23917</v>
      </c>
      <c r="Q355" s="15" t="s">
        <v>1451</v>
      </c>
      <c r="R355" s="15" t="s">
        <v>648</v>
      </c>
      <c r="S355" s="15" t="s">
        <v>345</v>
      </c>
      <c r="T355" s="15" t="s">
        <v>341</v>
      </c>
      <c r="U355" s="15" t="s">
        <v>1452</v>
      </c>
    </row>
    <row r="356" customFormat="false" ht="19.5" hidden="false" customHeight="true" outlineLevel="0" collapsed="false">
      <c r="A356" s="26" t="n">
        <v>2556</v>
      </c>
      <c r="B356" s="27" t="s">
        <v>1454</v>
      </c>
      <c r="C356" s="30" t="s">
        <v>1189</v>
      </c>
      <c r="D356" s="39" t="n">
        <v>5</v>
      </c>
      <c r="E356" s="30" t="s">
        <v>39</v>
      </c>
      <c r="F356" s="30" t="s">
        <v>39</v>
      </c>
      <c r="G356" s="27" t="s">
        <v>466</v>
      </c>
      <c r="H356" s="40" t="s">
        <v>466</v>
      </c>
      <c r="I356" s="27" t="s">
        <v>467</v>
      </c>
      <c r="J356" s="30" t="s">
        <v>336</v>
      </c>
      <c r="K356" s="30" t="s">
        <v>118</v>
      </c>
      <c r="L356" s="26" t="s">
        <v>118</v>
      </c>
      <c r="M356" s="27" t="s">
        <v>349</v>
      </c>
      <c r="N356" s="30" t="n">
        <v>0</v>
      </c>
      <c r="O356" s="27" t="s">
        <v>339</v>
      </c>
      <c r="P356" s="26" t="s">
        <v>690</v>
      </c>
      <c r="Q356" s="27" t="s">
        <v>691</v>
      </c>
      <c r="R356" s="27" t="s">
        <v>692</v>
      </c>
      <c r="S356" s="27" t="s">
        <v>345</v>
      </c>
      <c r="T356" s="27" t="s">
        <v>341</v>
      </c>
      <c r="U356" s="27" t="s">
        <v>693</v>
      </c>
    </row>
    <row r="357" customFormat="false" ht="19.5" hidden="false" customHeight="true" outlineLevel="0" collapsed="false">
      <c r="A357" s="19" t="n">
        <v>2557</v>
      </c>
      <c r="B357" s="15" t="s">
        <v>1455</v>
      </c>
      <c r="C357" s="17" t="s">
        <v>314</v>
      </c>
      <c r="D357" s="16" t="n">
        <v>25</v>
      </c>
      <c r="E357" s="17" t="s">
        <v>63</v>
      </c>
      <c r="F357" s="17" t="s">
        <v>63</v>
      </c>
      <c r="G357" s="15" t="s">
        <v>466</v>
      </c>
      <c r="H357" s="18" t="s">
        <v>466</v>
      </c>
      <c r="I357" s="15" t="s">
        <v>542</v>
      </c>
      <c r="J357" s="17" t="s">
        <v>336</v>
      </c>
      <c r="K357" s="17" t="s">
        <v>1456</v>
      </c>
      <c r="L357" s="19" t="s">
        <v>1456</v>
      </c>
      <c r="M357" s="15" t="s">
        <v>349</v>
      </c>
      <c r="N357" s="17" t="n">
        <v>0</v>
      </c>
      <c r="O357" s="15" t="s">
        <v>339</v>
      </c>
      <c r="P357" s="19" t="s">
        <v>690</v>
      </c>
      <c r="Q357" s="15" t="s">
        <v>691</v>
      </c>
      <c r="R357" s="15" t="s">
        <v>692</v>
      </c>
      <c r="S357" s="15" t="s">
        <v>345</v>
      </c>
      <c r="T357" s="15" t="s">
        <v>341</v>
      </c>
      <c r="U357" s="15" t="s">
        <v>693</v>
      </c>
    </row>
    <row r="358" customFormat="false" ht="19.5" hidden="false" customHeight="true" outlineLevel="0" collapsed="false">
      <c r="A358" s="26" t="n">
        <v>2558</v>
      </c>
      <c r="B358" s="27" t="s">
        <v>1457</v>
      </c>
      <c r="C358" s="30" t="s">
        <v>1161</v>
      </c>
      <c r="D358" s="39" t="n">
        <v>1000</v>
      </c>
      <c r="E358" s="30" t="s">
        <v>63</v>
      </c>
      <c r="F358" s="30" t="s">
        <v>63</v>
      </c>
      <c r="G358" s="27" t="s">
        <v>466</v>
      </c>
      <c r="H358" s="40" t="s">
        <v>466</v>
      </c>
      <c r="I358" s="27" t="s">
        <v>560</v>
      </c>
      <c r="J358" s="30" t="s">
        <v>336</v>
      </c>
      <c r="K358" s="30" t="s">
        <v>1458</v>
      </c>
      <c r="L358" s="26" t="s">
        <v>1458</v>
      </c>
      <c r="M358" s="27" t="s">
        <v>349</v>
      </c>
      <c r="N358" s="30" t="n">
        <v>0</v>
      </c>
      <c r="O358" s="27" t="s">
        <v>339</v>
      </c>
      <c r="P358" s="26" t="s">
        <v>690</v>
      </c>
      <c r="Q358" s="27" t="s">
        <v>691</v>
      </c>
      <c r="R358" s="27" t="s">
        <v>692</v>
      </c>
      <c r="S358" s="27" t="s">
        <v>345</v>
      </c>
      <c r="T358" s="27" t="s">
        <v>341</v>
      </c>
      <c r="U358" s="27" t="s">
        <v>693</v>
      </c>
    </row>
    <row r="359" customFormat="false" ht="19.5" hidden="false" customHeight="true" outlineLevel="0" collapsed="false">
      <c r="A359" s="19" t="n">
        <v>2564</v>
      </c>
      <c r="B359" s="15" t="s">
        <v>1459</v>
      </c>
      <c r="C359" s="17" t="s">
        <v>263</v>
      </c>
      <c r="D359" s="16" t="n">
        <v>20</v>
      </c>
      <c r="E359" s="17" t="s">
        <v>39</v>
      </c>
      <c r="F359" s="17" t="s">
        <v>39</v>
      </c>
      <c r="G359" s="15" t="s">
        <v>599</v>
      </c>
      <c r="H359" s="18" t="s">
        <v>599</v>
      </c>
      <c r="I359" s="15" t="s">
        <v>342</v>
      </c>
      <c r="J359" s="17" t="s">
        <v>336</v>
      </c>
      <c r="K359" s="17" t="s">
        <v>111</v>
      </c>
      <c r="L359" s="19" t="s">
        <v>111</v>
      </c>
      <c r="M359" s="15" t="s">
        <v>343</v>
      </c>
      <c r="N359" s="17" t="n">
        <v>27922</v>
      </c>
      <c r="O359" s="15" t="s">
        <v>344</v>
      </c>
      <c r="P359" s="19" t="n">
        <v>27922</v>
      </c>
      <c r="Q359" s="15" t="s">
        <v>1460</v>
      </c>
      <c r="R359" s="15" t="s">
        <v>648</v>
      </c>
      <c r="S359" s="15" t="s">
        <v>345</v>
      </c>
      <c r="T359" s="15" t="s">
        <v>341</v>
      </c>
      <c r="U359" s="15" t="s">
        <v>1461</v>
      </c>
    </row>
    <row r="360" customFormat="false" ht="19.5" hidden="false" customHeight="true" outlineLevel="0" collapsed="false">
      <c r="A360" s="26" t="n">
        <v>2566</v>
      </c>
      <c r="B360" s="27" t="s">
        <v>1462</v>
      </c>
      <c r="C360" s="30" t="s">
        <v>263</v>
      </c>
      <c r="D360" s="39" t="n">
        <v>20</v>
      </c>
      <c r="E360" s="30" t="s">
        <v>39</v>
      </c>
      <c r="F360" s="30" t="s">
        <v>39</v>
      </c>
      <c r="G360" s="27" t="s">
        <v>527</v>
      </c>
      <c r="H360" s="40" t="s">
        <v>527</v>
      </c>
      <c r="I360" s="27" t="s">
        <v>467</v>
      </c>
      <c r="J360" s="30" t="s">
        <v>336</v>
      </c>
      <c r="K360" s="30" t="s">
        <v>118</v>
      </c>
      <c r="L360" s="26" t="s">
        <v>118</v>
      </c>
      <c r="M360" s="27" t="s">
        <v>349</v>
      </c>
      <c r="N360" s="30" t="n">
        <v>0</v>
      </c>
      <c r="O360" s="27" t="s">
        <v>339</v>
      </c>
      <c r="P360" s="26" t="s">
        <v>690</v>
      </c>
      <c r="Q360" s="27" t="s">
        <v>691</v>
      </c>
      <c r="R360" s="27" t="s">
        <v>692</v>
      </c>
      <c r="S360" s="27" t="s">
        <v>345</v>
      </c>
      <c r="T360" s="27" t="s">
        <v>341</v>
      </c>
      <c r="U360" s="27" t="s">
        <v>693</v>
      </c>
    </row>
    <row r="361" customFormat="false" ht="19.5" hidden="false" customHeight="true" outlineLevel="0" collapsed="false">
      <c r="A361" s="19" t="n">
        <v>2567</v>
      </c>
      <c r="B361" s="15" t="s">
        <v>1463</v>
      </c>
      <c r="C361" s="17" t="s">
        <v>263</v>
      </c>
      <c r="D361" s="16" t="n">
        <v>20</v>
      </c>
      <c r="E361" s="17" t="s">
        <v>39</v>
      </c>
      <c r="F361" s="17" t="s">
        <v>39</v>
      </c>
      <c r="G361" s="15" t="s">
        <v>558</v>
      </c>
      <c r="H361" s="18" t="s">
        <v>558</v>
      </c>
      <c r="I361" s="15" t="s">
        <v>467</v>
      </c>
      <c r="J361" s="17" t="s">
        <v>336</v>
      </c>
      <c r="K361" s="17" t="s">
        <v>159</v>
      </c>
      <c r="L361" s="19" t="s">
        <v>159</v>
      </c>
      <c r="M361" s="15" t="s">
        <v>349</v>
      </c>
      <c r="N361" s="17" t="n">
        <v>0</v>
      </c>
      <c r="O361" s="15" t="s">
        <v>339</v>
      </c>
      <c r="P361" s="19" t="s">
        <v>690</v>
      </c>
      <c r="Q361" s="15" t="s">
        <v>691</v>
      </c>
      <c r="R361" s="15" t="s">
        <v>692</v>
      </c>
      <c r="S361" s="15" t="s">
        <v>345</v>
      </c>
      <c r="T361" s="15" t="s">
        <v>341</v>
      </c>
      <c r="U361" s="15" t="s">
        <v>693</v>
      </c>
    </row>
    <row r="362" customFormat="false" ht="19.5" hidden="false" customHeight="true" outlineLevel="0" collapsed="false">
      <c r="A362" s="26" t="n">
        <v>2573</v>
      </c>
      <c r="B362" s="27" t="s">
        <v>1464</v>
      </c>
      <c r="C362" s="30" t="s">
        <v>1192</v>
      </c>
      <c r="D362" s="39" t="n">
        <v>0</v>
      </c>
      <c r="E362" s="30" t="s">
        <v>39</v>
      </c>
      <c r="F362" s="30" t="s">
        <v>39</v>
      </c>
      <c r="G362" s="27" t="s">
        <v>412</v>
      </c>
      <c r="H362" s="40" t="s">
        <v>412</v>
      </c>
      <c r="I362" s="27" t="s">
        <v>413</v>
      </c>
      <c r="J362" s="30" t="s">
        <v>336</v>
      </c>
      <c r="K362" s="30" t="s">
        <v>111</v>
      </c>
      <c r="L362" s="26" t="s">
        <v>111</v>
      </c>
      <c r="M362" s="27" t="s">
        <v>352</v>
      </c>
      <c r="N362" s="30" t="n">
        <v>1411</v>
      </c>
      <c r="O362" s="27" t="s">
        <v>344</v>
      </c>
      <c r="P362" s="26" t="n">
        <v>23922</v>
      </c>
      <c r="Q362" s="27" t="s">
        <v>1465</v>
      </c>
      <c r="R362" s="27" t="s">
        <v>702</v>
      </c>
      <c r="S362" s="27" t="s">
        <v>340</v>
      </c>
      <c r="T362" s="27" t="s">
        <v>341</v>
      </c>
      <c r="U362" s="27" t="s">
        <v>1466</v>
      </c>
    </row>
    <row r="363" customFormat="false" ht="19.5" hidden="false" customHeight="true" outlineLevel="0" collapsed="false">
      <c r="A363" s="19" t="n">
        <v>2575</v>
      </c>
      <c r="B363" s="15" t="s">
        <v>1467</v>
      </c>
      <c r="C363" s="17" t="s">
        <v>1112</v>
      </c>
      <c r="D363" s="16" t="n">
        <v>1</v>
      </c>
      <c r="E363" s="17" t="s">
        <v>63</v>
      </c>
      <c r="F363" s="17" t="s">
        <v>63</v>
      </c>
      <c r="G363" s="15" t="s">
        <v>470</v>
      </c>
      <c r="H363" s="18" t="s">
        <v>470</v>
      </c>
      <c r="I363" s="15" t="s">
        <v>469</v>
      </c>
      <c r="J363" s="17" t="s">
        <v>336</v>
      </c>
      <c r="K363" s="17" t="s">
        <v>82</v>
      </c>
      <c r="L363" s="19" t="s">
        <v>82</v>
      </c>
      <c r="M363" s="15" t="s">
        <v>343</v>
      </c>
      <c r="N363" s="17" t="n">
        <v>27717</v>
      </c>
      <c r="O363" s="15" t="s">
        <v>344</v>
      </c>
      <c r="P363" s="19" t="n">
        <v>27717</v>
      </c>
      <c r="Q363" s="15" t="s">
        <v>1323</v>
      </c>
      <c r="R363" s="15" t="s">
        <v>648</v>
      </c>
      <c r="S363" s="15" t="s">
        <v>345</v>
      </c>
      <c r="T363" s="15" t="s">
        <v>341</v>
      </c>
      <c r="U363" s="15" t="s">
        <v>1324</v>
      </c>
    </row>
    <row r="364" customFormat="false" ht="19.5" hidden="false" customHeight="true" outlineLevel="0" collapsed="false">
      <c r="A364" s="26" t="n">
        <v>2576</v>
      </c>
      <c r="B364" s="27" t="s">
        <v>1468</v>
      </c>
      <c r="C364" s="30" t="s">
        <v>272</v>
      </c>
      <c r="D364" s="39" t="n">
        <v>5</v>
      </c>
      <c r="E364" s="30" t="s">
        <v>63</v>
      </c>
      <c r="F364" s="30" t="s">
        <v>63</v>
      </c>
      <c r="G364" s="27" t="s">
        <v>470</v>
      </c>
      <c r="H364" s="40" t="s">
        <v>470</v>
      </c>
      <c r="I364" s="27" t="s">
        <v>469</v>
      </c>
      <c r="J364" s="30" t="s">
        <v>336</v>
      </c>
      <c r="K364" s="30" t="s">
        <v>82</v>
      </c>
      <c r="L364" s="26" t="s">
        <v>82</v>
      </c>
      <c r="M364" s="27" t="s">
        <v>343</v>
      </c>
      <c r="N364" s="30" t="n">
        <v>27717</v>
      </c>
      <c r="O364" s="27" t="s">
        <v>344</v>
      </c>
      <c r="P364" s="26" t="n">
        <v>27717</v>
      </c>
      <c r="Q364" s="27" t="s">
        <v>1323</v>
      </c>
      <c r="R364" s="27" t="s">
        <v>648</v>
      </c>
      <c r="S364" s="27" t="s">
        <v>345</v>
      </c>
      <c r="T364" s="27" t="s">
        <v>341</v>
      </c>
      <c r="U364" s="27" t="s">
        <v>1324</v>
      </c>
    </row>
    <row r="365" customFormat="false" ht="19.5" hidden="false" customHeight="true" outlineLevel="0" collapsed="false">
      <c r="A365" s="19" t="n">
        <v>2577</v>
      </c>
      <c r="B365" s="15" t="s">
        <v>1469</v>
      </c>
      <c r="C365" s="17" t="s">
        <v>260</v>
      </c>
      <c r="D365" s="16" t="n">
        <v>5</v>
      </c>
      <c r="E365" s="17" t="s">
        <v>39</v>
      </c>
      <c r="F365" s="17" t="s">
        <v>39</v>
      </c>
      <c r="G365" s="15" t="s">
        <v>604</v>
      </c>
      <c r="H365" s="18" t="s">
        <v>604</v>
      </c>
      <c r="I365" s="15" t="s">
        <v>379</v>
      </c>
      <c r="J365" s="17" t="s">
        <v>336</v>
      </c>
      <c r="K365" s="17" t="s">
        <v>140</v>
      </c>
      <c r="L365" s="19" t="s">
        <v>140</v>
      </c>
      <c r="M365" s="15" t="s">
        <v>343</v>
      </c>
      <c r="N365" s="17" t="n">
        <v>22023</v>
      </c>
      <c r="O365" s="15" t="s">
        <v>344</v>
      </c>
      <c r="P365" s="19" t="n">
        <v>22023</v>
      </c>
      <c r="Q365" s="15" t="s">
        <v>1286</v>
      </c>
      <c r="R365" s="15" t="s">
        <v>648</v>
      </c>
      <c r="S365" s="15" t="s">
        <v>345</v>
      </c>
      <c r="T365" s="15" t="s">
        <v>341</v>
      </c>
      <c r="U365" s="15" t="s">
        <v>1287</v>
      </c>
    </row>
    <row r="366" customFormat="false" ht="19.5" hidden="false" customHeight="true" outlineLevel="0" collapsed="false">
      <c r="A366" s="26" t="n">
        <v>2578</v>
      </c>
      <c r="B366" s="27" t="s">
        <v>1288</v>
      </c>
      <c r="C366" s="30" t="s">
        <v>263</v>
      </c>
      <c r="D366" s="39" t="n">
        <v>20</v>
      </c>
      <c r="E366" s="30" t="s">
        <v>39</v>
      </c>
      <c r="F366" s="30" t="s">
        <v>39</v>
      </c>
      <c r="G366" s="27" t="s">
        <v>604</v>
      </c>
      <c r="H366" s="40" t="s">
        <v>604</v>
      </c>
      <c r="I366" s="27" t="s">
        <v>379</v>
      </c>
      <c r="J366" s="30" t="s">
        <v>336</v>
      </c>
      <c r="K366" s="30" t="s">
        <v>140</v>
      </c>
      <c r="L366" s="26" t="s">
        <v>140</v>
      </c>
      <c r="M366" s="27" t="s">
        <v>343</v>
      </c>
      <c r="N366" s="30" t="n">
        <v>22023</v>
      </c>
      <c r="O366" s="27" t="s">
        <v>344</v>
      </c>
      <c r="P366" s="26" t="n">
        <v>22023</v>
      </c>
      <c r="Q366" s="27" t="s">
        <v>1286</v>
      </c>
      <c r="R366" s="27" t="s">
        <v>648</v>
      </c>
      <c r="S366" s="27" t="s">
        <v>345</v>
      </c>
      <c r="T366" s="27" t="s">
        <v>341</v>
      </c>
      <c r="U366" s="27" t="s">
        <v>1287</v>
      </c>
    </row>
    <row r="367" customFormat="false" ht="19.5" hidden="false" customHeight="true" outlineLevel="0" collapsed="false">
      <c r="A367" s="19" t="n">
        <v>2579</v>
      </c>
      <c r="B367" s="15" t="s">
        <v>1470</v>
      </c>
      <c r="C367" s="17" t="s">
        <v>263</v>
      </c>
      <c r="D367" s="16" t="n">
        <v>20</v>
      </c>
      <c r="E367" s="17" t="s">
        <v>39</v>
      </c>
      <c r="F367" s="17" t="s">
        <v>39</v>
      </c>
      <c r="G367" s="15" t="s">
        <v>40</v>
      </c>
      <c r="H367" s="18" t="s">
        <v>40</v>
      </c>
      <c r="I367" s="15" t="s">
        <v>342</v>
      </c>
      <c r="J367" s="17" t="s">
        <v>336</v>
      </c>
      <c r="K367" s="17" t="s">
        <v>41</v>
      </c>
      <c r="L367" s="19" t="s">
        <v>41</v>
      </c>
      <c r="M367" s="15" t="s">
        <v>343</v>
      </c>
      <c r="N367" s="17" t="n">
        <v>315</v>
      </c>
      <c r="O367" s="15" t="s">
        <v>344</v>
      </c>
      <c r="P367" s="19" t="n">
        <v>315</v>
      </c>
      <c r="Q367" s="15" t="s">
        <v>647</v>
      </c>
      <c r="R367" s="15" t="s">
        <v>648</v>
      </c>
      <c r="S367" s="15" t="s">
        <v>345</v>
      </c>
      <c r="T367" s="15" t="s">
        <v>341</v>
      </c>
      <c r="U367" s="15" t="s">
        <v>649</v>
      </c>
    </row>
    <row r="368" customFormat="false" ht="19.5" hidden="false" customHeight="true" outlineLevel="0" collapsed="false">
      <c r="A368" s="26" t="n">
        <v>2581</v>
      </c>
      <c r="B368" s="27" t="s">
        <v>1471</v>
      </c>
      <c r="C368" s="30" t="s">
        <v>272</v>
      </c>
      <c r="D368" s="39" t="n">
        <v>5</v>
      </c>
      <c r="E368" s="30" t="s">
        <v>63</v>
      </c>
      <c r="F368" s="30" t="s">
        <v>63</v>
      </c>
      <c r="G368" s="27" t="s">
        <v>509</v>
      </c>
      <c r="H368" s="40" t="s">
        <v>509</v>
      </c>
      <c r="I368" s="27" t="s">
        <v>342</v>
      </c>
      <c r="J368" s="30" t="s">
        <v>336</v>
      </c>
      <c r="K368" s="30" t="s">
        <v>111</v>
      </c>
      <c r="L368" s="26" t="s">
        <v>111</v>
      </c>
      <c r="M368" s="27" t="s">
        <v>343</v>
      </c>
      <c r="N368" s="30" t="n">
        <v>7124</v>
      </c>
      <c r="O368" s="27" t="s">
        <v>344</v>
      </c>
      <c r="P368" s="26" t="n">
        <v>7124</v>
      </c>
      <c r="Q368" s="27" t="s">
        <v>1280</v>
      </c>
      <c r="R368" s="27" t="s">
        <v>648</v>
      </c>
      <c r="S368" s="27" t="s">
        <v>345</v>
      </c>
      <c r="T368" s="27" t="s">
        <v>341</v>
      </c>
      <c r="U368" s="27" t="s">
        <v>1281</v>
      </c>
    </row>
    <row r="369" customFormat="false" ht="19.5" hidden="false" customHeight="true" outlineLevel="0" collapsed="false">
      <c r="A369" s="19" t="n">
        <v>2582</v>
      </c>
      <c r="B369" s="15" t="s">
        <v>1472</v>
      </c>
      <c r="C369" s="17" t="s">
        <v>263</v>
      </c>
      <c r="D369" s="16" t="n">
        <v>20</v>
      </c>
      <c r="E369" s="17" t="s">
        <v>39</v>
      </c>
      <c r="F369" s="17" t="s">
        <v>39</v>
      </c>
      <c r="G369" s="15" t="s">
        <v>446</v>
      </c>
      <c r="H369" s="18" t="s">
        <v>446</v>
      </c>
      <c r="I369" s="15" t="s">
        <v>447</v>
      </c>
      <c r="J369" s="17" t="s">
        <v>336</v>
      </c>
      <c r="K369" s="17" t="s">
        <v>111</v>
      </c>
      <c r="L369" s="19" t="s">
        <v>111</v>
      </c>
      <c r="M369" s="15" t="s">
        <v>343</v>
      </c>
      <c r="N369" s="17" t="n">
        <v>34621</v>
      </c>
      <c r="O369" s="15" t="s">
        <v>344</v>
      </c>
      <c r="P369" s="19" t="n">
        <v>34621</v>
      </c>
      <c r="Q369" s="15" t="s">
        <v>959</v>
      </c>
      <c r="R369" s="15" t="s">
        <v>648</v>
      </c>
      <c r="S369" s="15" t="s">
        <v>345</v>
      </c>
      <c r="T369" s="15" t="s">
        <v>341</v>
      </c>
      <c r="U369" s="15" t="s">
        <v>960</v>
      </c>
    </row>
    <row r="370" customFormat="false" ht="19.5" hidden="false" customHeight="true" outlineLevel="0" collapsed="false">
      <c r="A370" s="26" t="n">
        <v>2584</v>
      </c>
      <c r="B370" s="27" t="s">
        <v>1473</v>
      </c>
      <c r="C370" s="30" t="s">
        <v>1161</v>
      </c>
      <c r="D370" s="39" t="n">
        <v>1000</v>
      </c>
      <c r="E370" s="30" t="s">
        <v>63</v>
      </c>
      <c r="F370" s="30" t="s">
        <v>63</v>
      </c>
      <c r="G370" s="27" t="s">
        <v>420</v>
      </c>
      <c r="H370" s="40" t="s">
        <v>420</v>
      </c>
      <c r="I370" s="27" t="s">
        <v>421</v>
      </c>
      <c r="J370" s="30" t="s">
        <v>336</v>
      </c>
      <c r="K370" s="30" t="s">
        <v>422</v>
      </c>
      <c r="L370" s="26" t="s">
        <v>422</v>
      </c>
      <c r="M370" s="27" t="s">
        <v>349</v>
      </c>
      <c r="N370" s="30" t="n">
        <v>0</v>
      </c>
      <c r="O370" s="27" t="s">
        <v>339</v>
      </c>
      <c r="P370" s="26" t="s">
        <v>690</v>
      </c>
      <c r="Q370" s="27" t="s">
        <v>691</v>
      </c>
      <c r="R370" s="27" t="s">
        <v>692</v>
      </c>
      <c r="S370" s="27" t="s">
        <v>345</v>
      </c>
      <c r="T370" s="27" t="s">
        <v>341</v>
      </c>
      <c r="U370" s="27" t="s">
        <v>693</v>
      </c>
    </row>
    <row r="371" customFormat="false" ht="19.5" hidden="false" customHeight="true" outlineLevel="0" collapsed="false">
      <c r="A371" s="19" t="n">
        <v>2591</v>
      </c>
      <c r="B371" s="15" t="s">
        <v>1474</v>
      </c>
      <c r="C371" s="17" t="s">
        <v>1192</v>
      </c>
      <c r="D371" s="16" t="n">
        <v>0</v>
      </c>
      <c r="E371" s="17" t="s">
        <v>39</v>
      </c>
      <c r="F371" s="17" t="s">
        <v>39</v>
      </c>
      <c r="G371" s="15" t="s">
        <v>350</v>
      </c>
      <c r="H371" s="18" t="s">
        <v>350</v>
      </c>
      <c r="I371" s="15" t="s">
        <v>351</v>
      </c>
      <c r="J371" s="17" t="s">
        <v>336</v>
      </c>
      <c r="K371" s="17" t="s">
        <v>140</v>
      </c>
      <c r="L371" s="19" t="s">
        <v>82</v>
      </c>
      <c r="M371" s="15" t="s">
        <v>352</v>
      </c>
      <c r="N371" s="17" t="n">
        <v>1411</v>
      </c>
      <c r="O371" s="15" t="s">
        <v>353</v>
      </c>
      <c r="P371" s="19" t="s">
        <v>1193</v>
      </c>
      <c r="Q371" s="15" t="s">
        <v>1475</v>
      </c>
      <c r="R371" s="15" t="s">
        <v>702</v>
      </c>
      <c r="S371" s="15" t="s">
        <v>340</v>
      </c>
      <c r="T371" s="15" t="s">
        <v>341</v>
      </c>
      <c r="U371" s="15" t="s">
        <v>1476</v>
      </c>
    </row>
    <row r="372" customFormat="false" ht="19.5" hidden="false" customHeight="true" outlineLevel="0" collapsed="false">
      <c r="A372" s="26" t="n">
        <v>2592</v>
      </c>
      <c r="B372" s="27" t="s">
        <v>1477</v>
      </c>
      <c r="C372" s="30" t="s">
        <v>1192</v>
      </c>
      <c r="D372" s="39" t="n">
        <v>0</v>
      </c>
      <c r="E372" s="30" t="s">
        <v>63</v>
      </c>
      <c r="F372" s="30" t="s">
        <v>63</v>
      </c>
      <c r="G372" s="27" t="s">
        <v>506</v>
      </c>
      <c r="H372" s="40" t="s">
        <v>506</v>
      </c>
      <c r="I372" s="27" t="s">
        <v>413</v>
      </c>
      <c r="J372" s="30" t="s">
        <v>336</v>
      </c>
      <c r="K372" s="30" t="s">
        <v>111</v>
      </c>
      <c r="L372" s="26" t="s">
        <v>111</v>
      </c>
      <c r="M372" s="27" t="s">
        <v>352</v>
      </c>
      <c r="N372" s="30" t="n">
        <v>0</v>
      </c>
      <c r="O372" s="27" t="s">
        <v>353</v>
      </c>
      <c r="P372" s="26" t="n">
        <v>120</v>
      </c>
      <c r="Q372" s="27" t="s">
        <v>1478</v>
      </c>
      <c r="R372" s="27" t="s">
        <v>717</v>
      </c>
      <c r="S372" s="27" t="s">
        <v>340</v>
      </c>
      <c r="T372" s="27" t="s">
        <v>341</v>
      </c>
      <c r="U372" s="27" t="s">
        <v>1479</v>
      </c>
    </row>
    <row r="373" customFormat="false" ht="19.5" hidden="false" customHeight="true" outlineLevel="0" collapsed="false">
      <c r="A373" s="19" t="n">
        <v>2593</v>
      </c>
      <c r="B373" s="15" t="s">
        <v>1480</v>
      </c>
      <c r="C373" s="17" t="s">
        <v>1192</v>
      </c>
      <c r="D373" s="16" t="n">
        <v>0</v>
      </c>
      <c r="E373" s="17" t="s">
        <v>39</v>
      </c>
      <c r="F373" s="17" t="s">
        <v>39</v>
      </c>
      <c r="G373" s="15" t="s">
        <v>114</v>
      </c>
      <c r="H373" s="18" t="s">
        <v>114</v>
      </c>
      <c r="I373" s="15" t="s">
        <v>363</v>
      </c>
      <c r="J373" s="17" t="s">
        <v>336</v>
      </c>
      <c r="K373" s="17" t="s">
        <v>82</v>
      </c>
      <c r="L373" s="19" t="s">
        <v>82</v>
      </c>
      <c r="M373" s="15" t="s">
        <v>352</v>
      </c>
      <c r="N373" s="17" t="n">
        <v>36419</v>
      </c>
      <c r="O373" s="15" t="s">
        <v>344</v>
      </c>
      <c r="P373" s="19" t="n">
        <v>36419</v>
      </c>
      <c r="Q373" s="15" t="s">
        <v>1481</v>
      </c>
      <c r="R373" s="15" t="s">
        <v>648</v>
      </c>
      <c r="S373" s="15" t="s">
        <v>340</v>
      </c>
      <c r="T373" s="15" t="s">
        <v>341</v>
      </c>
      <c r="U373" s="15" t="s">
        <v>1482</v>
      </c>
    </row>
    <row r="374" customFormat="false" ht="19.5" hidden="false" customHeight="true" outlineLevel="0" collapsed="false">
      <c r="A374" s="26" t="n">
        <v>2598</v>
      </c>
      <c r="B374" s="27" t="s">
        <v>1483</v>
      </c>
      <c r="C374" s="30" t="s">
        <v>272</v>
      </c>
      <c r="D374" s="39" t="n">
        <v>5</v>
      </c>
      <c r="E374" s="30" t="s">
        <v>63</v>
      </c>
      <c r="F374" s="30" t="s">
        <v>63</v>
      </c>
      <c r="G374" s="27" t="s">
        <v>470</v>
      </c>
      <c r="H374" s="40" t="s">
        <v>470</v>
      </c>
      <c r="I374" s="27" t="s">
        <v>469</v>
      </c>
      <c r="J374" s="30" t="s">
        <v>336</v>
      </c>
      <c r="K374" s="30" t="s">
        <v>82</v>
      </c>
      <c r="L374" s="26" t="s">
        <v>82</v>
      </c>
      <c r="M374" s="27" t="s">
        <v>343</v>
      </c>
      <c r="N374" s="30" t="n">
        <v>26322</v>
      </c>
      <c r="O374" s="27" t="s">
        <v>344</v>
      </c>
      <c r="P374" s="26" t="n">
        <v>26322</v>
      </c>
      <c r="Q374" s="27" t="s">
        <v>1484</v>
      </c>
      <c r="R374" s="27" t="s">
        <v>648</v>
      </c>
      <c r="S374" s="27" t="s">
        <v>345</v>
      </c>
      <c r="T374" s="27" t="s">
        <v>341</v>
      </c>
      <c r="U374" s="27" t="s">
        <v>1485</v>
      </c>
    </row>
    <row r="375" customFormat="false" ht="19.5" hidden="false" customHeight="true" outlineLevel="0" collapsed="false">
      <c r="A375" s="19" t="n">
        <v>2606</v>
      </c>
      <c r="B375" s="15" t="s">
        <v>1486</v>
      </c>
      <c r="C375" s="17" t="s">
        <v>1230</v>
      </c>
      <c r="D375" s="16" t="n">
        <v>20</v>
      </c>
      <c r="E375" s="17" t="s">
        <v>39</v>
      </c>
      <c r="F375" s="17" t="s">
        <v>39</v>
      </c>
      <c r="G375" s="15" t="s">
        <v>315</v>
      </c>
      <c r="H375" s="18" t="s">
        <v>315</v>
      </c>
      <c r="I375" s="15" t="s">
        <v>355</v>
      </c>
      <c r="J375" s="17" t="s">
        <v>360</v>
      </c>
      <c r="K375" s="17" t="s">
        <v>51</v>
      </c>
      <c r="L375" s="19" t="s">
        <v>51</v>
      </c>
      <c r="M375" s="15" t="s">
        <v>361</v>
      </c>
      <c r="N375" s="17" t="n">
        <v>1522</v>
      </c>
      <c r="O375" s="15" t="s">
        <v>344</v>
      </c>
      <c r="P375" s="19" t="n">
        <v>1522</v>
      </c>
      <c r="Q375" s="15" t="s">
        <v>1487</v>
      </c>
      <c r="R375" s="15" t="s">
        <v>648</v>
      </c>
      <c r="S375" s="15" t="s">
        <v>345</v>
      </c>
      <c r="T375" s="15" t="s">
        <v>341</v>
      </c>
      <c r="U375" s="15" t="s">
        <v>1488</v>
      </c>
    </row>
    <row r="376" customFormat="false" ht="19.5" hidden="false" customHeight="true" outlineLevel="0" collapsed="false">
      <c r="A376" s="26" t="n">
        <v>2613</v>
      </c>
      <c r="B376" s="27" t="s">
        <v>1489</v>
      </c>
      <c r="C376" s="30" t="s">
        <v>263</v>
      </c>
      <c r="D376" s="39" t="n">
        <v>20</v>
      </c>
      <c r="E376" s="30" t="s">
        <v>39</v>
      </c>
      <c r="F376" s="30" t="s">
        <v>39</v>
      </c>
      <c r="G376" s="27" t="s">
        <v>114</v>
      </c>
      <c r="H376" s="40" t="s">
        <v>114</v>
      </c>
      <c r="I376" s="27" t="s">
        <v>356</v>
      </c>
      <c r="J376" s="30" t="s">
        <v>336</v>
      </c>
      <c r="K376" s="30" t="s">
        <v>82</v>
      </c>
      <c r="L376" s="26" t="s">
        <v>82</v>
      </c>
      <c r="M376" s="27" t="s">
        <v>343</v>
      </c>
      <c r="N376" s="30" t="n">
        <v>36419</v>
      </c>
      <c r="O376" s="27" t="s">
        <v>344</v>
      </c>
      <c r="P376" s="26" t="n">
        <v>36419</v>
      </c>
      <c r="Q376" s="27" t="s">
        <v>1481</v>
      </c>
      <c r="R376" s="27" t="s">
        <v>648</v>
      </c>
      <c r="S376" s="27" t="s">
        <v>345</v>
      </c>
      <c r="T376" s="27" t="s">
        <v>341</v>
      </c>
      <c r="U376" s="27" t="s">
        <v>1490</v>
      </c>
    </row>
    <row r="377" customFormat="false" ht="19.5" hidden="false" customHeight="true" outlineLevel="0" collapsed="false">
      <c r="A377" s="19" t="n">
        <v>2620</v>
      </c>
      <c r="B377" s="15" t="s">
        <v>278</v>
      </c>
      <c r="C377" s="17" t="s">
        <v>279</v>
      </c>
      <c r="D377" s="16" t="n">
        <v>10</v>
      </c>
      <c r="E377" s="17" t="s">
        <v>39</v>
      </c>
      <c r="F377" s="17" t="s">
        <v>39</v>
      </c>
      <c r="G377" s="15" t="s">
        <v>70</v>
      </c>
      <c r="H377" s="18" t="s">
        <v>70</v>
      </c>
      <c r="I377" s="15" t="s">
        <v>355</v>
      </c>
      <c r="J377" s="17" t="s">
        <v>360</v>
      </c>
      <c r="K377" s="17" t="s">
        <v>82</v>
      </c>
      <c r="L377" s="19" t="s">
        <v>51</v>
      </c>
      <c r="M377" s="15" t="s">
        <v>361</v>
      </c>
      <c r="N377" s="17" t="n">
        <v>6922</v>
      </c>
      <c r="O377" s="15" t="s">
        <v>344</v>
      </c>
      <c r="P377" s="19" t="n">
        <v>6922</v>
      </c>
      <c r="Q377" s="15" t="s">
        <v>943</v>
      </c>
      <c r="R377" s="15" t="s">
        <v>648</v>
      </c>
      <c r="S377" s="15" t="s">
        <v>345</v>
      </c>
      <c r="T377" s="15" t="s">
        <v>341</v>
      </c>
      <c r="U377" s="15" t="s">
        <v>944</v>
      </c>
    </row>
    <row r="378" customFormat="false" ht="19.5" hidden="false" customHeight="true" outlineLevel="0" collapsed="false">
      <c r="A378" s="26" t="n">
        <v>2633</v>
      </c>
      <c r="B378" s="27" t="s">
        <v>1491</v>
      </c>
      <c r="C378" s="30" t="s">
        <v>1192</v>
      </c>
      <c r="D378" s="39" t="n">
        <v>0</v>
      </c>
      <c r="E378" s="30" t="s">
        <v>63</v>
      </c>
      <c r="F378" s="30" t="s">
        <v>63</v>
      </c>
      <c r="G378" s="27" t="s">
        <v>481</v>
      </c>
      <c r="H378" s="40" t="s">
        <v>481</v>
      </c>
      <c r="I378" s="27" t="s">
        <v>413</v>
      </c>
      <c r="J378" s="30" t="s">
        <v>336</v>
      </c>
      <c r="K378" s="30" t="s">
        <v>111</v>
      </c>
      <c r="L378" s="26" t="s">
        <v>479</v>
      </c>
      <c r="M378" s="27" t="s">
        <v>352</v>
      </c>
      <c r="N378" s="30" t="n">
        <v>13520</v>
      </c>
      <c r="O378" s="27" t="s">
        <v>344</v>
      </c>
      <c r="P378" s="26" t="n">
        <v>3623</v>
      </c>
      <c r="Q378" s="27" t="s">
        <v>1492</v>
      </c>
      <c r="R378" s="27" t="s">
        <v>702</v>
      </c>
      <c r="S378" s="27" t="s">
        <v>340</v>
      </c>
      <c r="T378" s="27" t="s">
        <v>341</v>
      </c>
      <c r="U378" s="27" t="s">
        <v>1493</v>
      </c>
    </row>
    <row r="379" customFormat="false" ht="19.5" hidden="false" customHeight="true" outlineLevel="0" collapsed="false">
      <c r="A379" s="19" t="n">
        <v>2634</v>
      </c>
      <c r="B379" s="15" t="s">
        <v>1494</v>
      </c>
      <c r="C379" s="17" t="s">
        <v>1192</v>
      </c>
      <c r="D379" s="16" t="n">
        <v>0</v>
      </c>
      <c r="E379" s="17" t="s">
        <v>63</v>
      </c>
      <c r="F379" s="17" t="s">
        <v>63</v>
      </c>
      <c r="G379" s="15" t="s">
        <v>485</v>
      </c>
      <c r="H379" s="18" t="s">
        <v>485</v>
      </c>
      <c r="I379" s="15" t="s">
        <v>413</v>
      </c>
      <c r="J379" s="17" t="s">
        <v>336</v>
      </c>
      <c r="K379" s="17" t="s">
        <v>111</v>
      </c>
      <c r="L379" s="19" t="s">
        <v>111</v>
      </c>
      <c r="M379" s="15" t="s">
        <v>352</v>
      </c>
      <c r="N379" s="17" t="n">
        <v>13520</v>
      </c>
      <c r="O379" s="15" t="s">
        <v>344</v>
      </c>
      <c r="P379" s="19" t="n">
        <v>28120</v>
      </c>
      <c r="Q379" s="15" t="s">
        <v>1495</v>
      </c>
      <c r="R379" s="15" t="s">
        <v>702</v>
      </c>
      <c r="S379" s="15" t="s">
        <v>340</v>
      </c>
      <c r="T379" s="15" t="s">
        <v>341</v>
      </c>
      <c r="U379" s="15" t="s">
        <v>1496</v>
      </c>
    </row>
    <row r="380" customFormat="false" ht="19.5" hidden="false" customHeight="true" outlineLevel="0" collapsed="false">
      <c r="A380" s="26" t="n">
        <v>2643</v>
      </c>
      <c r="B380" s="27" t="s">
        <v>1497</v>
      </c>
      <c r="C380" s="30" t="s">
        <v>866</v>
      </c>
      <c r="D380" s="39" t="n">
        <v>1</v>
      </c>
      <c r="E380" s="30" t="s">
        <v>39</v>
      </c>
      <c r="F380" s="30" t="s">
        <v>39</v>
      </c>
      <c r="G380" s="27" t="s">
        <v>269</v>
      </c>
      <c r="H380" s="40" t="s">
        <v>269</v>
      </c>
      <c r="I380" s="27" t="s">
        <v>356</v>
      </c>
      <c r="J380" s="30" t="s">
        <v>360</v>
      </c>
      <c r="K380" s="30" t="s">
        <v>48</v>
      </c>
      <c r="L380" s="26" t="s">
        <v>48</v>
      </c>
      <c r="M380" s="27" t="s">
        <v>361</v>
      </c>
      <c r="N380" s="30" t="n">
        <v>31422</v>
      </c>
      <c r="O380" s="27" t="s">
        <v>344</v>
      </c>
      <c r="P380" s="26" t="n">
        <v>31422</v>
      </c>
      <c r="Q380" s="27" t="s">
        <v>1120</v>
      </c>
      <c r="R380" s="27" t="s">
        <v>648</v>
      </c>
      <c r="S380" s="27" t="s">
        <v>345</v>
      </c>
      <c r="T380" s="27" t="s">
        <v>341</v>
      </c>
      <c r="U380" s="27" t="s">
        <v>1498</v>
      </c>
    </row>
    <row r="381" customFormat="false" ht="19.5" hidden="false" customHeight="true" outlineLevel="0" collapsed="false">
      <c r="A381" s="19" t="n">
        <v>2644</v>
      </c>
      <c r="B381" s="15" t="s">
        <v>1499</v>
      </c>
      <c r="C381" s="17" t="s">
        <v>287</v>
      </c>
      <c r="D381" s="16" t="n">
        <v>10</v>
      </c>
      <c r="E381" s="17" t="s">
        <v>63</v>
      </c>
      <c r="F381" s="17" t="s">
        <v>63</v>
      </c>
      <c r="G381" s="15" t="s">
        <v>551</v>
      </c>
      <c r="H381" s="18" t="s">
        <v>551</v>
      </c>
      <c r="I381" s="15" t="s">
        <v>467</v>
      </c>
      <c r="J381" s="17" t="s">
        <v>336</v>
      </c>
      <c r="K381" s="17" t="s">
        <v>118</v>
      </c>
      <c r="L381" s="19" t="s">
        <v>118</v>
      </c>
      <c r="M381" s="15" t="s">
        <v>349</v>
      </c>
      <c r="N381" s="17" t="n">
        <v>0</v>
      </c>
      <c r="O381" s="15" t="s">
        <v>339</v>
      </c>
      <c r="P381" s="19" t="s">
        <v>690</v>
      </c>
      <c r="Q381" s="15" t="s">
        <v>691</v>
      </c>
      <c r="R381" s="15" t="s">
        <v>692</v>
      </c>
      <c r="S381" s="15" t="s">
        <v>345</v>
      </c>
      <c r="T381" s="15" t="s">
        <v>341</v>
      </c>
      <c r="U381" s="15" t="s">
        <v>693</v>
      </c>
    </row>
    <row r="382" customFormat="false" ht="19.5" hidden="false" customHeight="true" outlineLevel="0" collapsed="false">
      <c r="A382" s="26" t="n">
        <v>2645</v>
      </c>
      <c r="B382" s="27" t="s">
        <v>1500</v>
      </c>
      <c r="C382" s="30" t="s">
        <v>314</v>
      </c>
      <c r="D382" s="39" t="n">
        <v>25</v>
      </c>
      <c r="E382" s="30" t="s">
        <v>63</v>
      </c>
      <c r="F382" s="30" t="s">
        <v>63</v>
      </c>
      <c r="G382" s="27" t="s">
        <v>553</v>
      </c>
      <c r="H382" s="40" t="s">
        <v>553</v>
      </c>
      <c r="I382" s="27" t="s">
        <v>542</v>
      </c>
      <c r="J382" s="30" t="s">
        <v>336</v>
      </c>
      <c r="K382" s="30" t="s">
        <v>543</v>
      </c>
      <c r="L382" s="26" t="s">
        <v>543</v>
      </c>
      <c r="M382" s="27" t="s">
        <v>349</v>
      </c>
      <c r="N382" s="30" t="n">
        <v>0</v>
      </c>
      <c r="O382" s="27" t="s">
        <v>339</v>
      </c>
      <c r="P382" s="26" t="s">
        <v>690</v>
      </c>
      <c r="Q382" s="27" t="s">
        <v>691</v>
      </c>
      <c r="R382" s="27" t="s">
        <v>692</v>
      </c>
      <c r="S382" s="27" t="s">
        <v>345</v>
      </c>
      <c r="T382" s="27" t="s">
        <v>341</v>
      </c>
      <c r="U382" s="27" t="s">
        <v>693</v>
      </c>
    </row>
    <row r="383" customFormat="false" ht="19.5" hidden="false" customHeight="true" outlineLevel="0" collapsed="false">
      <c r="A383" s="19" t="n">
        <v>2646</v>
      </c>
      <c r="B383" s="15" t="s">
        <v>1501</v>
      </c>
      <c r="C383" s="17" t="s">
        <v>287</v>
      </c>
      <c r="D383" s="16" t="n">
        <v>10</v>
      </c>
      <c r="E383" s="17" t="s">
        <v>63</v>
      </c>
      <c r="F383" s="17" t="s">
        <v>63</v>
      </c>
      <c r="G383" s="15" t="s">
        <v>552</v>
      </c>
      <c r="H383" s="18" t="s">
        <v>552</v>
      </c>
      <c r="I383" s="15" t="s">
        <v>542</v>
      </c>
      <c r="J383" s="17" t="s">
        <v>336</v>
      </c>
      <c r="K383" s="17" t="s">
        <v>543</v>
      </c>
      <c r="L383" s="19" t="s">
        <v>543</v>
      </c>
      <c r="M383" s="15" t="s">
        <v>349</v>
      </c>
      <c r="N383" s="17" t="n">
        <v>0</v>
      </c>
      <c r="O383" s="15" t="s">
        <v>339</v>
      </c>
      <c r="P383" s="19" t="s">
        <v>690</v>
      </c>
      <c r="Q383" s="15" t="s">
        <v>691</v>
      </c>
      <c r="R383" s="15" t="s">
        <v>692</v>
      </c>
      <c r="S383" s="15" t="s">
        <v>345</v>
      </c>
      <c r="T383" s="15" t="s">
        <v>341</v>
      </c>
      <c r="U383" s="15" t="s">
        <v>693</v>
      </c>
    </row>
    <row r="384" customFormat="false" ht="19.5" hidden="false" customHeight="true" outlineLevel="0" collapsed="false">
      <c r="A384" s="26" t="n">
        <v>2656</v>
      </c>
      <c r="B384" s="27" t="s">
        <v>138</v>
      </c>
      <c r="C384" s="30" t="s">
        <v>260</v>
      </c>
      <c r="D384" s="39" t="n">
        <v>5</v>
      </c>
      <c r="E384" s="30" t="s">
        <v>39</v>
      </c>
      <c r="F384" s="30" t="s">
        <v>39</v>
      </c>
      <c r="G384" s="27" t="s">
        <v>139</v>
      </c>
      <c r="H384" s="40" t="s">
        <v>139</v>
      </c>
      <c r="I384" s="27" t="s">
        <v>389</v>
      </c>
      <c r="J384" s="30" t="s">
        <v>336</v>
      </c>
      <c r="K384" s="30" t="s">
        <v>142</v>
      </c>
      <c r="L384" s="26" t="s">
        <v>140</v>
      </c>
      <c r="M384" s="27" t="s">
        <v>343</v>
      </c>
      <c r="N384" s="30" t="n">
        <v>24117</v>
      </c>
      <c r="O384" s="27" t="s">
        <v>344</v>
      </c>
      <c r="P384" s="26" t="n">
        <v>34018</v>
      </c>
      <c r="Q384" s="27" t="s">
        <v>1186</v>
      </c>
      <c r="R384" s="27" t="s">
        <v>702</v>
      </c>
      <c r="S384" s="27" t="s">
        <v>386</v>
      </c>
      <c r="T384" s="27" t="s">
        <v>387</v>
      </c>
      <c r="U384" s="27" t="s">
        <v>1502</v>
      </c>
    </row>
    <row r="385" customFormat="false" ht="19.5" hidden="false" customHeight="true" outlineLevel="0" collapsed="false">
      <c r="A385" s="19" t="n">
        <v>2662</v>
      </c>
      <c r="B385" s="15" t="s">
        <v>1503</v>
      </c>
      <c r="C385" s="17" t="s">
        <v>272</v>
      </c>
      <c r="D385" s="16" t="n">
        <v>5</v>
      </c>
      <c r="E385" s="17" t="s">
        <v>63</v>
      </c>
      <c r="F385" s="17" t="s">
        <v>63</v>
      </c>
      <c r="G385" s="15" t="s">
        <v>508</v>
      </c>
      <c r="H385" s="18" t="s">
        <v>508</v>
      </c>
      <c r="I385" s="15" t="s">
        <v>342</v>
      </c>
      <c r="J385" s="17" t="s">
        <v>336</v>
      </c>
      <c r="K385" s="17" t="s">
        <v>111</v>
      </c>
      <c r="L385" s="19" t="s">
        <v>111</v>
      </c>
      <c r="M385" s="15" t="s">
        <v>343</v>
      </c>
      <c r="N385" s="17" t="n">
        <v>18022</v>
      </c>
      <c r="O385" s="15" t="s">
        <v>344</v>
      </c>
      <c r="P385" s="19" t="n">
        <v>18022</v>
      </c>
      <c r="Q385" s="15" t="s">
        <v>962</v>
      </c>
      <c r="R385" s="15" t="s">
        <v>648</v>
      </c>
      <c r="S385" s="15" t="s">
        <v>345</v>
      </c>
      <c r="T385" s="15" t="s">
        <v>341</v>
      </c>
      <c r="U385" s="15" t="s">
        <v>963</v>
      </c>
    </row>
    <row r="386" customFormat="false" ht="19.5" hidden="false" customHeight="true" outlineLevel="0" collapsed="false">
      <c r="A386" s="26" t="n">
        <v>2663</v>
      </c>
      <c r="B386" s="27" t="s">
        <v>281</v>
      </c>
      <c r="C386" s="30" t="s">
        <v>260</v>
      </c>
      <c r="D386" s="39" t="n">
        <v>5</v>
      </c>
      <c r="E386" s="30" t="s">
        <v>39</v>
      </c>
      <c r="F386" s="30" t="s">
        <v>39</v>
      </c>
      <c r="G386" s="27" t="s">
        <v>70</v>
      </c>
      <c r="H386" s="40" t="s">
        <v>70</v>
      </c>
      <c r="I386" s="27" t="s">
        <v>355</v>
      </c>
      <c r="J386" s="30" t="s">
        <v>360</v>
      </c>
      <c r="K386" s="30" t="s">
        <v>82</v>
      </c>
      <c r="L386" s="26" t="s">
        <v>48</v>
      </c>
      <c r="M386" s="27" t="s">
        <v>361</v>
      </c>
      <c r="N386" s="30" t="n">
        <v>6922</v>
      </c>
      <c r="O386" s="27" t="s">
        <v>344</v>
      </c>
      <c r="P386" s="26" t="n">
        <v>6922</v>
      </c>
      <c r="Q386" s="27" t="s">
        <v>943</v>
      </c>
      <c r="R386" s="27" t="s">
        <v>648</v>
      </c>
      <c r="S386" s="27" t="s">
        <v>345</v>
      </c>
      <c r="T386" s="27" t="s">
        <v>341</v>
      </c>
      <c r="U386" s="27" t="s">
        <v>944</v>
      </c>
    </row>
    <row r="387" customFormat="false" ht="19.5" hidden="false" customHeight="true" outlineLevel="0" collapsed="false">
      <c r="A387" s="19" t="n">
        <v>2684</v>
      </c>
      <c r="B387" s="15" t="s">
        <v>126</v>
      </c>
      <c r="C387" s="17" t="s">
        <v>314</v>
      </c>
      <c r="D387" s="16" t="n">
        <v>25</v>
      </c>
      <c r="E387" s="17" t="s">
        <v>63</v>
      </c>
      <c r="F387" s="17" t="s">
        <v>63</v>
      </c>
      <c r="G387" s="15" t="s">
        <v>127</v>
      </c>
      <c r="H387" s="18" t="s">
        <v>1504</v>
      </c>
      <c r="I387" s="15" t="s">
        <v>347</v>
      </c>
      <c r="J387" s="17" t="s">
        <v>336</v>
      </c>
      <c r="K387" s="17" t="s">
        <v>128</v>
      </c>
      <c r="L387" s="19" t="s">
        <v>596</v>
      </c>
      <c r="M387" s="15" t="s">
        <v>349</v>
      </c>
      <c r="N387" s="17" t="n">
        <v>0</v>
      </c>
      <c r="O387" s="15" t="s">
        <v>339</v>
      </c>
      <c r="P387" s="19" t="s">
        <v>690</v>
      </c>
      <c r="Q387" s="15" t="s">
        <v>691</v>
      </c>
      <c r="R387" s="15" t="s">
        <v>692</v>
      </c>
      <c r="S387" s="15" t="s">
        <v>345</v>
      </c>
      <c r="T387" s="15" t="s">
        <v>341</v>
      </c>
      <c r="U387" s="15" t="s">
        <v>1505</v>
      </c>
    </row>
    <row r="388" customFormat="false" ht="19.5" hidden="false" customHeight="true" outlineLevel="0" collapsed="false">
      <c r="A388" s="26" t="n">
        <v>2685</v>
      </c>
      <c r="B388" s="27" t="s">
        <v>1506</v>
      </c>
      <c r="C388" s="30" t="s">
        <v>314</v>
      </c>
      <c r="D388" s="39" t="n">
        <v>25</v>
      </c>
      <c r="E388" s="30" t="s">
        <v>63</v>
      </c>
      <c r="F388" s="30" t="s">
        <v>63</v>
      </c>
      <c r="G388" s="27" t="s">
        <v>127</v>
      </c>
      <c r="H388" s="40" t="s">
        <v>127</v>
      </c>
      <c r="I388" s="27" t="s">
        <v>494</v>
      </c>
      <c r="J388" s="30" t="s">
        <v>336</v>
      </c>
      <c r="K388" s="30" t="s">
        <v>128</v>
      </c>
      <c r="L388" s="26" t="s">
        <v>128</v>
      </c>
      <c r="M388" s="27" t="s">
        <v>349</v>
      </c>
      <c r="N388" s="30" t="n">
        <v>0</v>
      </c>
      <c r="O388" s="27" t="s">
        <v>339</v>
      </c>
      <c r="P388" s="26" t="s">
        <v>690</v>
      </c>
      <c r="Q388" s="27" t="s">
        <v>691</v>
      </c>
      <c r="R388" s="27" t="s">
        <v>692</v>
      </c>
      <c r="S388" s="27" t="s">
        <v>345</v>
      </c>
      <c r="T388" s="27" t="s">
        <v>341</v>
      </c>
      <c r="U388" s="27" t="s">
        <v>693</v>
      </c>
    </row>
    <row r="389" customFormat="false" ht="19.5" hidden="false" customHeight="true" outlineLevel="0" collapsed="false">
      <c r="A389" s="19" t="n">
        <v>2701</v>
      </c>
      <c r="B389" s="15" t="s">
        <v>1507</v>
      </c>
      <c r="C389" s="17" t="s">
        <v>296</v>
      </c>
      <c r="D389" s="16" t="n">
        <v>1</v>
      </c>
      <c r="E389" s="17" t="s">
        <v>39</v>
      </c>
      <c r="F389" s="17" t="s">
        <v>39</v>
      </c>
      <c r="G389" s="15" t="s">
        <v>524</v>
      </c>
      <c r="H389" s="18" t="s">
        <v>524</v>
      </c>
      <c r="I389" s="15" t="s">
        <v>467</v>
      </c>
      <c r="J389" s="17" t="s">
        <v>336</v>
      </c>
      <c r="K389" s="17" t="s">
        <v>118</v>
      </c>
      <c r="L389" s="19" t="s">
        <v>118</v>
      </c>
      <c r="M389" s="15" t="s">
        <v>349</v>
      </c>
      <c r="N389" s="17" t="n">
        <v>0</v>
      </c>
      <c r="O389" s="15" t="s">
        <v>339</v>
      </c>
      <c r="P389" s="19" t="s">
        <v>690</v>
      </c>
      <c r="Q389" s="15" t="s">
        <v>691</v>
      </c>
      <c r="R389" s="15" t="s">
        <v>692</v>
      </c>
      <c r="S389" s="15" t="s">
        <v>345</v>
      </c>
      <c r="T389" s="15" t="s">
        <v>341</v>
      </c>
      <c r="U389" s="15" t="s">
        <v>693</v>
      </c>
    </row>
    <row r="390" customFormat="false" ht="19.5" hidden="false" customHeight="true" outlineLevel="0" collapsed="false">
      <c r="A390" s="26" t="n">
        <v>2702</v>
      </c>
      <c r="B390" s="27" t="s">
        <v>1508</v>
      </c>
      <c r="C390" s="30" t="s">
        <v>1509</v>
      </c>
      <c r="D390" s="39" t="n">
        <v>5</v>
      </c>
      <c r="E390" s="30" t="s">
        <v>63</v>
      </c>
      <c r="F390" s="30" t="s">
        <v>63</v>
      </c>
      <c r="G390" s="27" t="s">
        <v>497</v>
      </c>
      <c r="H390" s="40" t="s">
        <v>497</v>
      </c>
      <c r="I390" s="27" t="s">
        <v>382</v>
      </c>
      <c r="J390" s="30" t="s">
        <v>336</v>
      </c>
      <c r="K390" s="30" t="s">
        <v>55</v>
      </c>
      <c r="L390" s="26" t="s">
        <v>55</v>
      </c>
      <c r="M390" s="27" t="s">
        <v>498</v>
      </c>
      <c r="N390" s="30" t="n">
        <v>0</v>
      </c>
      <c r="O390" s="27" t="s">
        <v>339</v>
      </c>
      <c r="P390" s="26" t="s">
        <v>690</v>
      </c>
      <c r="Q390" s="27" t="s">
        <v>691</v>
      </c>
      <c r="R390" s="27" t="s">
        <v>692</v>
      </c>
      <c r="S390" s="27" t="s">
        <v>345</v>
      </c>
      <c r="T390" s="27" t="s">
        <v>341</v>
      </c>
      <c r="U390" s="27" t="s">
        <v>693</v>
      </c>
    </row>
    <row r="391" customFormat="false" ht="19.5" hidden="false" customHeight="true" outlineLevel="0" collapsed="false">
      <c r="A391" s="19" t="n">
        <v>2703</v>
      </c>
      <c r="B391" s="15" t="s">
        <v>1510</v>
      </c>
      <c r="C391" s="17" t="s">
        <v>1509</v>
      </c>
      <c r="D391" s="16" t="n">
        <v>5</v>
      </c>
      <c r="E391" s="17" t="s">
        <v>63</v>
      </c>
      <c r="F391" s="17" t="s">
        <v>63</v>
      </c>
      <c r="G391" s="15" t="s">
        <v>497</v>
      </c>
      <c r="H391" s="18" t="s">
        <v>497</v>
      </c>
      <c r="I391" s="15" t="s">
        <v>382</v>
      </c>
      <c r="J391" s="17" t="s">
        <v>336</v>
      </c>
      <c r="K391" s="17" t="s">
        <v>55</v>
      </c>
      <c r="L391" s="19" t="s">
        <v>55</v>
      </c>
      <c r="M391" s="15" t="s">
        <v>498</v>
      </c>
      <c r="N391" s="17" t="n">
        <v>0</v>
      </c>
      <c r="O391" s="15" t="s">
        <v>339</v>
      </c>
      <c r="P391" s="19" t="s">
        <v>690</v>
      </c>
      <c r="Q391" s="15" t="s">
        <v>691</v>
      </c>
      <c r="R391" s="15" t="s">
        <v>692</v>
      </c>
      <c r="S391" s="15" t="s">
        <v>345</v>
      </c>
      <c r="T391" s="15" t="s">
        <v>341</v>
      </c>
      <c r="U391" s="15" t="s">
        <v>693</v>
      </c>
    </row>
    <row r="392" customFormat="false" ht="19.5" hidden="false" customHeight="true" outlineLevel="0" collapsed="false">
      <c r="A392" s="26" t="n">
        <v>2707</v>
      </c>
      <c r="B392" s="27" t="s">
        <v>1511</v>
      </c>
      <c r="C392" s="30" t="s">
        <v>1512</v>
      </c>
      <c r="D392" s="39" t="n">
        <v>1000</v>
      </c>
      <c r="E392" s="30" t="s">
        <v>63</v>
      </c>
      <c r="F392" s="30" t="s">
        <v>63</v>
      </c>
      <c r="G392" s="27" t="s">
        <v>466</v>
      </c>
      <c r="H392" s="40" t="s">
        <v>466</v>
      </c>
      <c r="I392" s="27" t="s">
        <v>347</v>
      </c>
      <c r="J392" s="30" t="s">
        <v>336</v>
      </c>
      <c r="K392" s="30" t="s">
        <v>1513</v>
      </c>
      <c r="L392" s="26" t="s">
        <v>1513</v>
      </c>
      <c r="M392" s="27" t="s">
        <v>349</v>
      </c>
      <c r="N392" s="30" t="n">
        <v>0</v>
      </c>
      <c r="O392" s="27" t="s">
        <v>339</v>
      </c>
      <c r="P392" s="26" t="s">
        <v>690</v>
      </c>
      <c r="Q392" s="27" t="s">
        <v>691</v>
      </c>
      <c r="R392" s="27" t="s">
        <v>692</v>
      </c>
      <c r="S392" s="27" t="s">
        <v>345</v>
      </c>
      <c r="T392" s="27" t="s">
        <v>341</v>
      </c>
      <c r="U392" s="27" t="s">
        <v>693</v>
      </c>
    </row>
    <row r="393" customFormat="false" ht="19.5" hidden="false" customHeight="true" outlineLevel="0" collapsed="false">
      <c r="A393" s="19" t="n">
        <v>2708</v>
      </c>
      <c r="B393" s="15" t="s">
        <v>1514</v>
      </c>
      <c r="C393" s="17" t="s">
        <v>1140</v>
      </c>
      <c r="D393" s="16" t="n">
        <v>1000</v>
      </c>
      <c r="E393" s="17" t="s">
        <v>63</v>
      </c>
      <c r="F393" s="17" t="s">
        <v>63</v>
      </c>
      <c r="G393" s="15" t="s">
        <v>466</v>
      </c>
      <c r="H393" s="18" t="s">
        <v>466</v>
      </c>
      <c r="I393" s="15" t="s">
        <v>347</v>
      </c>
      <c r="J393" s="17" t="s">
        <v>336</v>
      </c>
      <c r="K393" s="17" t="s">
        <v>1513</v>
      </c>
      <c r="L393" s="19" t="s">
        <v>1513</v>
      </c>
      <c r="M393" s="15" t="s">
        <v>349</v>
      </c>
      <c r="N393" s="17" t="n">
        <v>0</v>
      </c>
      <c r="O393" s="15" t="s">
        <v>339</v>
      </c>
      <c r="P393" s="19" t="s">
        <v>690</v>
      </c>
      <c r="Q393" s="15" t="s">
        <v>691</v>
      </c>
      <c r="R393" s="15" t="s">
        <v>692</v>
      </c>
      <c r="S393" s="15" t="s">
        <v>345</v>
      </c>
      <c r="T393" s="15" t="s">
        <v>341</v>
      </c>
      <c r="U393" s="15" t="s">
        <v>693</v>
      </c>
    </row>
    <row r="394" customFormat="false" ht="19.5" hidden="false" customHeight="true" outlineLevel="0" collapsed="false">
      <c r="A394" s="26" t="n">
        <v>2709</v>
      </c>
      <c r="B394" s="27" t="s">
        <v>1515</v>
      </c>
      <c r="C394" s="30" t="s">
        <v>1140</v>
      </c>
      <c r="D394" s="39" t="n">
        <v>1000</v>
      </c>
      <c r="E394" s="30" t="s">
        <v>63</v>
      </c>
      <c r="F394" s="30" t="s">
        <v>63</v>
      </c>
      <c r="G394" s="27" t="s">
        <v>466</v>
      </c>
      <c r="H394" s="40" t="s">
        <v>466</v>
      </c>
      <c r="I394" s="27" t="s">
        <v>347</v>
      </c>
      <c r="J394" s="30" t="s">
        <v>336</v>
      </c>
      <c r="K394" s="30" t="s">
        <v>1513</v>
      </c>
      <c r="L394" s="26" t="s">
        <v>1513</v>
      </c>
      <c r="M394" s="27" t="s">
        <v>349</v>
      </c>
      <c r="N394" s="30" t="n">
        <v>0</v>
      </c>
      <c r="O394" s="27" t="s">
        <v>339</v>
      </c>
      <c r="P394" s="26" t="s">
        <v>690</v>
      </c>
      <c r="Q394" s="27" t="s">
        <v>691</v>
      </c>
      <c r="R394" s="27" t="s">
        <v>692</v>
      </c>
      <c r="S394" s="27" t="s">
        <v>345</v>
      </c>
      <c r="T394" s="27" t="s">
        <v>341</v>
      </c>
      <c r="U394" s="27" t="s">
        <v>693</v>
      </c>
    </row>
    <row r="395" customFormat="false" ht="19.5" hidden="false" customHeight="true" outlineLevel="0" collapsed="false">
      <c r="A395" s="19" t="n">
        <v>2710</v>
      </c>
      <c r="B395" s="15" t="s">
        <v>1515</v>
      </c>
      <c r="C395" s="17" t="s">
        <v>1140</v>
      </c>
      <c r="D395" s="16" t="n">
        <v>1000</v>
      </c>
      <c r="E395" s="17" t="s">
        <v>63</v>
      </c>
      <c r="F395" s="17" t="s">
        <v>63</v>
      </c>
      <c r="G395" s="15" t="s">
        <v>466</v>
      </c>
      <c r="H395" s="18" t="s">
        <v>466</v>
      </c>
      <c r="I395" s="15" t="s">
        <v>347</v>
      </c>
      <c r="J395" s="17" t="s">
        <v>336</v>
      </c>
      <c r="K395" s="17" t="s">
        <v>496</v>
      </c>
      <c r="L395" s="19" t="s">
        <v>496</v>
      </c>
      <c r="M395" s="15" t="s">
        <v>349</v>
      </c>
      <c r="N395" s="17" t="n">
        <v>0</v>
      </c>
      <c r="O395" s="15" t="s">
        <v>339</v>
      </c>
      <c r="P395" s="19" t="s">
        <v>690</v>
      </c>
      <c r="Q395" s="15" t="s">
        <v>691</v>
      </c>
      <c r="R395" s="15" t="s">
        <v>692</v>
      </c>
      <c r="S395" s="15" t="s">
        <v>345</v>
      </c>
      <c r="T395" s="15" t="s">
        <v>341</v>
      </c>
      <c r="U395" s="15" t="s">
        <v>693</v>
      </c>
    </row>
    <row r="396" customFormat="false" ht="19.5" hidden="false" customHeight="true" outlineLevel="0" collapsed="false">
      <c r="A396" s="26" t="n">
        <v>2711</v>
      </c>
      <c r="B396" s="27" t="s">
        <v>1516</v>
      </c>
      <c r="C396" s="30" t="s">
        <v>1402</v>
      </c>
      <c r="D396" s="39" t="n">
        <v>1000</v>
      </c>
      <c r="E396" s="30" t="s">
        <v>63</v>
      </c>
      <c r="F396" s="30" t="s">
        <v>63</v>
      </c>
      <c r="G396" s="27" t="s">
        <v>466</v>
      </c>
      <c r="H396" s="40" t="s">
        <v>466</v>
      </c>
      <c r="I396" s="27" t="s">
        <v>1517</v>
      </c>
      <c r="J396" s="30" t="s">
        <v>336</v>
      </c>
      <c r="K396" s="30" t="s">
        <v>1518</v>
      </c>
      <c r="L396" s="26" t="s">
        <v>1518</v>
      </c>
      <c r="M396" s="27" t="s">
        <v>338</v>
      </c>
      <c r="N396" s="30" t="n">
        <v>0</v>
      </c>
      <c r="O396" s="27" t="s">
        <v>339</v>
      </c>
      <c r="P396" s="26" t="s">
        <v>690</v>
      </c>
      <c r="Q396" s="27" t="s">
        <v>691</v>
      </c>
      <c r="R396" s="27" t="s">
        <v>692</v>
      </c>
      <c r="S396" s="27" t="s">
        <v>345</v>
      </c>
      <c r="T396" s="27" t="s">
        <v>341</v>
      </c>
      <c r="U396" s="27" t="s">
        <v>1519</v>
      </c>
    </row>
    <row r="397" customFormat="false" ht="19.5" hidden="false" customHeight="true" outlineLevel="0" collapsed="false">
      <c r="A397" s="19" t="n">
        <v>2712</v>
      </c>
      <c r="B397" s="15" t="s">
        <v>1520</v>
      </c>
      <c r="C397" s="17" t="s">
        <v>1521</v>
      </c>
      <c r="D397" s="16" t="n">
        <v>1000</v>
      </c>
      <c r="E397" s="17" t="s">
        <v>63</v>
      </c>
      <c r="F397" s="17" t="s">
        <v>63</v>
      </c>
      <c r="G397" s="15" t="s">
        <v>466</v>
      </c>
      <c r="H397" s="18" t="s">
        <v>466</v>
      </c>
      <c r="I397" s="15" t="s">
        <v>542</v>
      </c>
      <c r="J397" s="17" t="s">
        <v>336</v>
      </c>
      <c r="K397" s="17" t="s">
        <v>1456</v>
      </c>
      <c r="L397" s="19" t="s">
        <v>1456</v>
      </c>
      <c r="M397" s="15" t="s">
        <v>349</v>
      </c>
      <c r="N397" s="17" t="n">
        <v>0</v>
      </c>
      <c r="O397" s="15" t="s">
        <v>339</v>
      </c>
      <c r="P397" s="19" t="s">
        <v>690</v>
      </c>
      <c r="Q397" s="15" t="s">
        <v>691</v>
      </c>
      <c r="R397" s="15" t="s">
        <v>692</v>
      </c>
      <c r="S397" s="15" t="s">
        <v>345</v>
      </c>
      <c r="T397" s="15" t="s">
        <v>341</v>
      </c>
      <c r="U397" s="15" t="s">
        <v>693</v>
      </c>
    </row>
    <row r="398" customFormat="false" ht="19.5" hidden="false" customHeight="true" outlineLevel="0" collapsed="false">
      <c r="A398" s="26" t="n">
        <v>2713</v>
      </c>
      <c r="B398" s="27" t="s">
        <v>1522</v>
      </c>
      <c r="C398" s="30" t="s">
        <v>314</v>
      </c>
      <c r="D398" s="39" t="n">
        <v>25</v>
      </c>
      <c r="E398" s="30" t="s">
        <v>63</v>
      </c>
      <c r="F398" s="30" t="s">
        <v>63</v>
      </c>
      <c r="G398" s="27" t="s">
        <v>466</v>
      </c>
      <c r="H398" s="40" t="s">
        <v>466</v>
      </c>
      <c r="I398" s="27" t="s">
        <v>542</v>
      </c>
      <c r="J398" s="30" t="s">
        <v>336</v>
      </c>
      <c r="K398" s="30" t="s">
        <v>1456</v>
      </c>
      <c r="L398" s="26" t="s">
        <v>567</v>
      </c>
      <c r="M398" s="27" t="s">
        <v>349</v>
      </c>
      <c r="N398" s="30" t="n">
        <v>0</v>
      </c>
      <c r="O398" s="27" t="s">
        <v>339</v>
      </c>
      <c r="P398" s="26" t="s">
        <v>690</v>
      </c>
      <c r="Q398" s="27" t="s">
        <v>691</v>
      </c>
      <c r="R398" s="27" t="s">
        <v>692</v>
      </c>
      <c r="S398" s="27" t="s">
        <v>345</v>
      </c>
      <c r="T398" s="27" t="s">
        <v>341</v>
      </c>
      <c r="U398" s="27" t="s">
        <v>1523</v>
      </c>
    </row>
    <row r="399" customFormat="false" ht="19.5" hidden="false" customHeight="true" outlineLevel="0" collapsed="false">
      <c r="A399" s="19" t="n">
        <v>2714</v>
      </c>
      <c r="B399" s="15" t="s">
        <v>1524</v>
      </c>
      <c r="C399" s="17" t="s">
        <v>1402</v>
      </c>
      <c r="D399" s="16" t="n">
        <v>1000</v>
      </c>
      <c r="E399" s="17" t="s">
        <v>63</v>
      </c>
      <c r="F399" s="17" t="s">
        <v>63</v>
      </c>
      <c r="G399" s="15" t="s">
        <v>466</v>
      </c>
      <c r="H399" s="18" t="s">
        <v>466</v>
      </c>
      <c r="I399" s="15" t="s">
        <v>542</v>
      </c>
      <c r="J399" s="17" t="s">
        <v>336</v>
      </c>
      <c r="K399" s="17" t="s">
        <v>1456</v>
      </c>
      <c r="L399" s="19" t="s">
        <v>567</v>
      </c>
      <c r="M399" s="15" t="s">
        <v>349</v>
      </c>
      <c r="N399" s="17" t="n">
        <v>0</v>
      </c>
      <c r="O399" s="15" t="s">
        <v>339</v>
      </c>
      <c r="P399" s="19" t="s">
        <v>690</v>
      </c>
      <c r="Q399" s="15" t="s">
        <v>691</v>
      </c>
      <c r="R399" s="15" t="s">
        <v>692</v>
      </c>
      <c r="S399" s="15" t="s">
        <v>345</v>
      </c>
      <c r="T399" s="15" t="s">
        <v>341</v>
      </c>
      <c r="U399" s="15" t="s">
        <v>1523</v>
      </c>
    </row>
    <row r="400" customFormat="false" ht="19.5" hidden="false" customHeight="true" outlineLevel="0" collapsed="false">
      <c r="A400" s="26" t="n">
        <v>2715</v>
      </c>
      <c r="B400" s="27" t="s">
        <v>1525</v>
      </c>
      <c r="C400" s="30" t="s">
        <v>1512</v>
      </c>
      <c r="D400" s="39" t="n">
        <v>1000</v>
      </c>
      <c r="E400" s="30" t="s">
        <v>63</v>
      </c>
      <c r="F400" s="30" t="s">
        <v>63</v>
      </c>
      <c r="G400" s="27" t="s">
        <v>466</v>
      </c>
      <c r="H400" s="40" t="s">
        <v>466</v>
      </c>
      <c r="I400" s="27" t="s">
        <v>560</v>
      </c>
      <c r="J400" s="30" t="s">
        <v>336</v>
      </c>
      <c r="K400" s="30" t="s">
        <v>578</v>
      </c>
      <c r="L400" s="26" t="s">
        <v>578</v>
      </c>
      <c r="M400" s="27" t="s">
        <v>349</v>
      </c>
      <c r="N400" s="30" t="n">
        <v>0</v>
      </c>
      <c r="O400" s="27" t="s">
        <v>339</v>
      </c>
      <c r="P400" s="26" t="s">
        <v>690</v>
      </c>
      <c r="Q400" s="27" t="s">
        <v>691</v>
      </c>
      <c r="R400" s="27" t="s">
        <v>692</v>
      </c>
      <c r="S400" s="27" t="s">
        <v>345</v>
      </c>
      <c r="T400" s="27" t="s">
        <v>341</v>
      </c>
      <c r="U400" s="27" t="s">
        <v>693</v>
      </c>
    </row>
    <row r="401" customFormat="false" ht="19.5" hidden="false" customHeight="true" outlineLevel="0" collapsed="false">
      <c r="A401" s="19" t="n">
        <v>2716</v>
      </c>
      <c r="B401" s="15" t="s">
        <v>1526</v>
      </c>
      <c r="C401" s="17" t="s">
        <v>1512</v>
      </c>
      <c r="D401" s="16" t="n">
        <v>1000</v>
      </c>
      <c r="E401" s="17" t="s">
        <v>63</v>
      </c>
      <c r="F401" s="17" t="s">
        <v>63</v>
      </c>
      <c r="G401" s="15" t="s">
        <v>466</v>
      </c>
      <c r="H401" s="18" t="s">
        <v>466</v>
      </c>
      <c r="I401" s="15" t="s">
        <v>560</v>
      </c>
      <c r="J401" s="17" t="s">
        <v>336</v>
      </c>
      <c r="K401" s="17" t="s">
        <v>578</v>
      </c>
      <c r="L401" s="19" t="s">
        <v>578</v>
      </c>
      <c r="M401" s="15" t="s">
        <v>349</v>
      </c>
      <c r="N401" s="17" t="n">
        <v>0</v>
      </c>
      <c r="O401" s="15" t="s">
        <v>339</v>
      </c>
      <c r="P401" s="19" t="s">
        <v>690</v>
      </c>
      <c r="Q401" s="15" t="s">
        <v>691</v>
      </c>
      <c r="R401" s="15" t="s">
        <v>692</v>
      </c>
      <c r="S401" s="15" t="s">
        <v>345</v>
      </c>
      <c r="T401" s="15" t="s">
        <v>341</v>
      </c>
      <c r="U401" s="15" t="s">
        <v>693</v>
      </c>
    </row>
    <row r="402" customFormat="false" ht="19.5" hidden="false" customHeight="true" outlineLevel="0" collapsed="false">
      <c r="A402" s="26" t="n">
        <v>2717</v>
      </c>
      <c r="B402" s="27" t="s">
        <v>1527</v>
      </c>
      <c r="C402" s="30" t="s">
        <v>1512</v>
      </c>
      <c r="D402" s="39" t="n">
        <v>1000</v>
      </c>
      <c r="E402" s="30" t="s">
        <v>63</v>
      </c>
      <c r="F402" s="30" t="s">
        <v>63</v>
      </c>
      <c r="G402" s="27" t="s">
        <v>466</v>
      </c>
      <c r="H402" s="40" t="s">
        <v>466</v>
      </c>
      <c r="I402" s="27" t="s">
        <v>560</v>
      </c>
      <c r="J402" s="30" t="s">
        <v>336</v>
      </c>
      <c r="K402" s="30" t="s">
        <v>561</v>
      </c>
      <c r="L402" s="26" t="s">
        <v>561</v>
      </c>
      <c r="M402" s="27" t="s">
        <v>349</v>
      </c>
      <c r="N402" s="30" t="n">
        <v>0</v>
      </c>
      <c r="O402" s="27" t="s">
        <v>339</v>
      </c>
      <c r="P402" s="26" t="s">
        <v>690</v>
      </c>
      <c r="Q402" s="27" t="s">
        <v>691</v>
      </c>
      <c r="R402" s="27" t="s">
        <v>692</v>
      </c>
      <c r="S402" s="27" t="s">
        <v>345</v>
      </c>
      <c r="T402" s="27" t="s">
        <v>341</v>
      </c>
      <c r="U402" s="27" t="s">
        <v>693</v>
      </c>
    </row>
    <row r="403" customFormat="false" ht="19.5" hidden="false" customHeight="true" outlineLevel="0" collapsed="false">
      <c r="A403" s="19" t="n">
        <v>2718</v>
      </c>
      <c r="B403" s="15" t="s">
        <v>1528</v>
      </c>
      <c r="C403" s="17" t="s">
        <v>1512</v>
      </c>
      <c r="D403" s="16" t="n">
        <v>1000</v>
      </c>
      <c r="E403" s="17" t="s">
        <v>63</v>
      </c>
      <c r="F403" s="17" t="s">
        <v>63</v>
      </c>
      <c r="G403" s="15" t="s">
        <v>466</v>
      </c>
      <c r="H403" s="18" t="s">
        <v>466</v>
      </c>
      <c r="I403" s="15" t="s">
        <v>560</v>
      </c>
      <c r="J403" s="17" t="s">
        <v>336</v>
      </c>
      <c r="K403" s="17" t="s">
        <v>561</v>
      </c>
      <c r="L403" s="19" t="s">
        <v>561</v>
      </c>
      <c r="M403" s="15" t="s">
        <v>349</v>
      </c>
      <c r="N403" s="17" t="n">
        <v>0</v>
      </c>
      <c r="O403" s="15" t="s">
        <v>339</v>
      </c>
      <c r="P403" s="19" t="s">
        <v>690</v>
      </c>
      <c r="Q403" s="15" t="s">
        <v>691</v>
      </c>
      <c r="R403" s="15" t="s">
        <v>692</v>
      </c>
      <c r="S403" s="15" t="s">
        <v>345</v>
      </c>
      <c r="T403" s="15" t="s">
        <v>341</v>
      </c>
      <c r="U403" s="15" t="s">
        <v>693</v>
      </c>
    </row>
    <row r="404" customFormat="false" ht="19.5" hidden="false" customHeight="true" outlineLevel="0" collapsed="false">
      <c r="A404" s="26" t="n">
        <v>2719</v>
      </c>
      <c r="B404" s="27" t="s">
        <v>1529</v>
      </c>
      <c r="C404" s="30" t="s">
        <v>1512</v>
      </c>
      <c r="D404" s="39" t="n">
        <v>1000</v>
      </c>
      <c r="E404" s="30" t="s">
        <v>63</v>
      </c>
      <c r="F404" s="30" t="s">
        <v>63</v>
      </c>
      <c r="G404" s="27" t="s">
        <v>466</v>
      </c>
      <c r="H404" s="40" t="s">
        <v>466</v>
      </c>
      <c r="I404" s="27" t="s">
        <v>560</v>
      </c>
      <c r="J404" s="30" t="s">
        <v>336</v>
      </c>
      <c r="K404" s="30" t="s">
        <v>561</v>
      </c>
      <c r="L404" s="26" t="s">
        <v>561</v>
      </c>
      <c r="M404" s="27" t="s">
        <v>349</v>
      </c>
      <c r="N404" s="30" t="n">
        <v>0</v>
      </c>
      <c r="O404" s="27" t="s">
        <v>339</v>
      </c>
      <c r="P404" s="26" t="s">
        <v>690</v>
      </c>
      <c r="Q404" s="27" t="s">
        <v>691</v>
      </c>
      <c r="R404" s="27" t="s">
        <v>692</v>
      </c>
      <c r="S404" s="27" t="s">
        <v>345</v>
      </c>
      <c r="T404" s="27" t="s">
        <v>341</v>
      </c>
      <c r="U404" s="27" t="s">
        <v>693</v>
      </c>
    </row>
    <row r="405" customFormat="false" ht="19.5" hidden="false" customHeight="true" outlineLevel="0" collapsed="false">
      <c r="A405" s="19" t="n">
        <v>2720</v>
      </c>
      <c r="B405" s="15" t="s">
        <v>1530</v>
      </c>
      <c r="C405" s="17" t="s">
        <v>1512</v>
      </c>
      <c r="D405" s="16" t="n">
        <v>1000</v>
      </c>
      <c r="E405" s="17" t="s">
        <v>63</v>
      </c>
      <c r="F405" s="17" t="s">
        <v>63</v>
      </c>
      <c r="G405" s="15" t="s">
        <v>466</v>
      </c>
      <c r="H405" s="18" t="s">
        <v>466</v>
      </c>
      <c r="I405" s="15" t="s">
        <v>560</v>
      </c>
      <c r="J405" s="17" t="s">
        <v>336</v>
      </c>
      <c r="K405" s="17" t="s">
        <v>561</v>
      </c>
      <c r="L405" s="19" t="s">
        <v>561</v>
      </c>
      <c r="M405" s="15" t="s">
        <v>349</v>
      </c>
      <c r="N405" s="17" t="n">
        <v>0</v>
      </c>
      <c r="O405" s="15" t="s">
        <v>339</v>
      </c>
      <c r="P405" s="19" t="s">
        <v>690</v>
      </c>
      <c r="Q405" s="15" t="s">
        <v>691</v>
      </c>
      <c r="R405" s="15" t="s">
        <v>692</v>
      </c>
      <c r="S405" s="15" t="s">
        <v>345</v>
      </c>
      <c r="T405" s="15" t="s">
        <v>341</v>
      </c>
      <c r="U405" s="15" t="s">
        <v>693</v>
      </c>
    </row>
    <row r="406" customFormat="false" ht="19.5" hidden="false" customHeight="true" outlineLevel="0" collapsed="false">
      <c r="A406" s="26" t="n">
        <v>2721</v>
      </c>
      <c r="B406" s="27" t="s">
        <v>1531</v>
      </c>
      <c r="C406" s="30" t="s">
        <v>1512</v>
      </c>
      <c r="D406" s="39" t="n">
        <v>1000</v>
      </c>
      <c r="E406" s="30" t="s">
        <v>63</v>
      </c>
      <c r="F406" s="30" t="s">
        <v>63</v>
      </c>
      <c r="G406" s="27" t="s">
        <v>466</v>
      </c>
      <c r="H406" s="40" t="s">
        <v>466</v>
      </c>
      <c r="I406" s="27" t="s">
        <v>560</v>
      </c>
      <c r="J406" s="30" t="s">
        <v>336</v>
      </c>
      <c r="K406" s="30" t="s">
        <v>561</v>
      </c>
      <c r="L406" s="26" t="s">
        <v>561</v>
      </c>
      <c r="M406" s="27" t="s">
        <v>349</v>
      </c>
      <c r="N406" s="30" t="n">
        <v>0</v>
      </c>
      <c r="O406" s="27" t="s">
        <v>339</v>
      </c>
      <c r="P406" s="26" t="s">
        <v>690</v>
      </c>
      <c r="Q406" s="27" t="s">
        <v>691</v>
      </c>
      <c r="R406" s="27" t="s">
        <v>692</v>
      </c>
      <c r="S406" s="27" t="s">
        <v>345</v>
      </c>
      <c r="T406" s="27" t="s">
        <v>341</v>
      </c>
      <c r="U406" s="27" t="s">
        <v>693</v>
      </c>
    </row>
    <row r="407" customFormat="false" ht="19.5" hidden="false" customHeight="true" outlineLevel="0" collapsed="false">
      <c r="A407" s="19" t="n">
        <v>2722</v>
      </c>
      <c r="B407" s="15" t="s">
        <v>1532</v>
      </c>
      <c r="C407" s="17" t="s">
        <v>1512</v>
      </c>
      <c r="D407" s="16" t="n">
        <v>1000</v>
      </c>
      <c r="E407" s="17" t="s">
        <v>63</v>
      </c>
      <c r="F407" s="17" t="s">
        <v>63</v>
      </c>
      <c r="G407" s="15" t="s">
        <v>466</v>
      </c>
      <c r="H407" s="18" t="s">
        <v>466</v>
      </c>
      <c r="I407" s="15" t="s">
        <v>560</v>
      </c>
      <c r="J407" s="17" t="s">
        <v>336</v>
      </c>
      <c r="K407" s="17" t="s">
        <v>561</v>
      </c>
      <c r="L407" s="19" t="s">
        <v>561</v>
      </c>
      <c r="M407" s="15" t="s">
        <v>349</v>
      </c>
      <c r="N407" s="17" t="n">
        <v>0</v>
      </c>
      <c r="O407" s="15" t="s">
        <v>339</v>
      </c>
      <c r="P407" s="19" t="s">
        <v>690</v>
      </c>
      <c r="Q407" s="15" t="s">
        <v>691</v>
      </c>
      <c r="R407" s="15" t="s">
        <v>692</v>
      </c>
      <c r="S407" s="15" t="s">
        <v>345</v>
      </c>
      <c r="T407" s="15" t="s">
        <v>341</v>
      </c>
      <c r="U407" s="15" t="s">
        <v>693</v>
      </c>
    </row>
    <row r="408" customFormat="false" ht="19.5" hidden="false" customHeight="true" outlineLevel="0" collapsed="false">
      <c r="A408" s="26" t="n">
        <v>2723</v>
      </c>
      <c r="B408" s="27" t="s">
        <v>1533</v>
      </c>
      <c r="C408" s="30" t="s">
        <v>314</v>
      </c>
      <c r="D408" s="39" t="n">
        <v>25</v>
      </c>
      <c r="E408" s="30" t="s">
        <v>63</v>
      </c>
      <c r="F408" s="30" t="s">
        <v>63</v>
      </c>
      <c r="G408" s="27" t="s">
        <v>466</v>
      </c>
      <c r="H408" s="40" t="s">
        <v>466</v>
      </c>
      <c r="I408" s="27" t="s">
        <v>421</v>
      </c>
      <c r="J408" s="30" t="s">
        <v>336</v>
      </c>
      <c r="K408" s="30" t="s">
        <v>422</v>
      </c>
      <c r="L408" s="26" t="s">
        <v>422</v>
      </c>
      <c r="M408" s="27" t="s">
        <v>349</v>
      </c>
      <c r="N408" s="30" t="n">
        <v>0</v>
      </c>
      <c r="O408" s="27" t="s">
        <v>339</v>
      </c>
      <c r="P408" s="26" t="s">
        <v>690</v>
      </c>
      <c r="Q408" s="27" t="s">
        <v>691</v>
      </c>
      <c r="R408" s="27" t="s">
        <v>692</v>
      </c>
      <c r="S408" s="27" t="s">
        <v>345</v>
      </c>
      <c r="T408" s="27" t="s">
        <v>341</v>
      </c>
      <c r="U408" s="27" t="s">
        <v>693</v>
      </c>
    </row>
    <row r="409" customFormat="false" ht="19.5" hidden="false" customHeight="true" outlineLevel="0" collapsed="false">
      <c r="A409" s="19" t="n">
        <v>2724</v>
      </c>
      <c r="B409" s="15" t="s">
        <v>1534</v>
      </c>
      <c r="C409" s="17" t="s">
        <v>1402</v>
      </c>
      <c r="D409" s="16" t="n">
        <v>1000</v>
      </c>
      <c r="E409" s="17" t="s">
        <v>63</v>
      </c>
      <c r="F409" s="17" t="s">
        <v>63</v>
      </c>
      <c r="G409" s="15" t="s">
        <v>466</v>
      </c>
      <c r="H409" s="18" t="s">
        <v>466</v>
      </c>
      <c r="I409" s="15" t="s">
        <v>421</v>
      </c>
      <c r="J409" s="17" t="s">
        <v>336</v>
      </c>
      <c r="K409" s="17" t="s">
        <v>422</v>
      </c>
      <c r="L409" s="19" t="s">
        <v>422</v>
      </c>
      <c r="M409" s="15" t="s">
        <v>349</v>
      </c>
      <c r="N409" s="17" t="n">
        <v>0</v>
      </c>
      <c r="O409" s="15" t="s">
        <v>339</v>
      </c>
      <c r="P409" s="19" t="s">
        <v>690</v>
      </c>
      <c r="Q409" s="15" t="s">
        <v>691</v>
      </c>
      <c r="R409" s="15" t="s">
        <v>692</v>
      </c>
      <c r="S409" s="15" t="s">
        <v>345</v>
      </c>
      <c r="T409" s="15" t="s">
        <v>341</v>
      </c>
      <c r="U409" s="15" t="s">
        <v>693</v>
      </c>
    </row>
    <row r="410" customFormat="false" ht="19.5" hidden="false" customHeight="true" outlineLevel="0" collapsed="false">
      <c r="A410" s="26" t="n">
        <v>2725</v>
      </c>
      <c r="B410" s="27" t="s">
        <v>1535</v>
      </c>
      <c r="C410" s="30" t="s">
        <v>1402</v>
      </c>
      <c r="D410" s="39" t="n">
        <v>1000</v>
      </c>
      <c r="E410" s="30" t="s">
        <v>63</v>
      </c>
      <c r="F410" s="30" t="s">
        <v>63</v>
      </c>
      <c r="G410" s="27" t="s">
        <v>466</v>
      </c>
      <c r="H410" s="40" t="s">
        <v>466</v>
      </c>
      <c r="I410" s="27" t="s">
        <v>421</v>
      </c>
      <c r="J410" s="30" t="s">
        <v>336</v>
      </c>
      <c r="K410" s="30" t="s">
        <v>1536</v>
      </c>
      <c r="L410" s="26" t="s">
        <v>1536</v>
      </c>
      <c r="M410" s="27" t="s">
        <v>349</v>
      </c>
      <c r="N410" s="30" t="n">
        <v>0</v>
      </c>
      <c r="O410" s="27" t="s">
        <v>339</v>
      </c>
      <c r="P410" s="26" t="s">
        <v>690</v>
      </c>
      <c r="Q410" s="27" t="s">
        <v>691</v>
      </c>
      <c r="R410" s="27" t="s">
        <v>692</v>
      </c>
      <c r="S410" s="27" t="s">
        <v>345</v>
      </c>
      <c r="T410" s="27" t="s">
        <v>341</v>
      </c>
      <c r="U410" s="27" t="s">
        <v>693</v>
      </c>
    </row>
    <row r="411" customFormat="false" ht="19.5" hidden="false" customHeight="true" outlineLevel="0" collapsed="false">
      <c r="A411" s="19" t="n">
        <v>2726</v>
      </c>
      <c r="B411" s="15" t="s">
        <v>1537</v>
      </c>
      <c r="C411" s="17" t="s">
        <v>1538</v>
      </c>
      <c r="D411" s="16" t="n">
        <v>0</v>
      </c>
      <c r="E411" s="17" t="s">
        <v>63</v>
      </c>
      <c r="F411" s="17" t="s">
        <v>63</v>
      </c>
      <c r="G411" s="15" t="s">
        <v>466</v>
      </c>
      <c r="H411" s="18" t="s">
        <v>466</v>
      </c>
      <c r="I411" s="15" t="s">
        <v>494</v>
      </c>
      <c r="J411" s="17" t="s">
        <v>336</v>
      </c>
      <c r="K411" s="17" t="s">
        <v>128</v>
      </c>
      <c r="L411" s="19" t="s">
        <v>128</v>
      </c>
      <c r="M411" s="15" t="s">
        <v>349</v>
      </c>
      <c r="N411" s="17" t="n">
        <v>0</v>
      </c>
      <c r="O411" s="15" t="s">
        <v>339</v>
      </c>
      <c r="P411" s="19" t="s">
        <v>690</v>
      </c>
      <c r="Q411" s="15" t="s">
        <v>691</v>
      </c>
      <c r="R411" s="15" t="s">
        <v>692</v>
      </c>
      <c r="S411" s="15" t="s">
        <v>345</v>
      </c>
      <c r="T411" s="15" t="s">
        <v>341</v>
      </c>
      <c r="U411" s="15" t="s">
        <v>693</v>
      </c>
    </row>
    <row r="412" customFormat="false" ht="19.5" hidden="false" customHeight="true" outlineLevel="0" collapsed="false">
      <c r="A412" s="26" t="n">
        <v>2735</v>
      </c>
      <c r="B412" s="27" t="s">
        <v>1539</v>
      </c>
      <c r="C412" s="30" t="s">
        <v>1402</v>
      </c>
      <c r="D412" s="39" t="n">
        <v>1000</v>
      </c>
      <c r="E412" s="30" t="s">
        <v>63</v>
      </c>
      <c r="F412" s="30" t="s">
        <v>63</v>
      </c>
      <c r="G412" s="27" t="s">
        <v>466</v>
      </c>
      <c r="H412" s="40" t="s">
        <v>466</v>
      </c>
      <c r="I412" s="27" t="s">
        <v>560</v>
      </c>
      <c r="J412" s="30" t="s">
        <v>336</v>
      </c>
      <c r="K412" s="30" t="s">
        <v>578</v>
      </c>
      <c r="L412" s="26" t="s">
        <v>578</v>
      </c>
      <c r="M412" s="27" t="s">
        <v>349</v>
      </c>
      <c r="N412" s="30" t="n">
        <v>0</v>
      </c>
      <c r="O412" s="27" t="s">
        <v>339</v>
      </c>
      <c r="P412" s="26" t="s">
        <v>690</v>
      </c>
      <c r="Q412" s="27" t="s">
        <v>691</v>
      </c>
      <c r="R412" s="27" t="s">
        <v>692</v>
      </c>
      <c r="S412" s="27" t="s">
        <v>345</v>
      </c>
      <c r="T412" s="27" t="s">
        <v>341</v>
      </c>
      <c r="U412" s="27" t="s">
        <v>693</v>
      </c>
    </row>
    <row r="413" customFormat="false" ht="19.5" hidden="false" customHeight="true" outlineLevel="0" collapsed="false">
      <c r="A413" s="19" t="n">
        <v>2737</v>
      </c>
      <c r="B413" s="15" t="s">
        <v>1540</v>
      </c>
      <c r="C413" s="17" t="s">
        <v>1082</v>
      </c>
      <c r="D413" s="16" t="n">
        <v>1000</v>
      </c>
      <c r="E413" s="17" t="s">
        <v>39</v>
      </c>
      <c r="F413" s="17" t="s">
        <v>39</v>
      </c>
      <c r="G413" s="15" t="s">
        <v>544</v>
      </c>
      <c r="H413" s="18" t="s">
        <v>544</v>
      </c>
      <c r="I413" s="15" t="s">
        <v>467</v>
      </c>
      <c r="J413" s="17" t="s">
        <v>336</v>
      </c>
      <c r="K413" s="17" t="s">
        <v>118</v>
      </c>
      <c r="L413" s="19" t="s">
        <v>118</v>
      </c>
      <c r="M413" s="15" t="s">
        <v>349</v>
      </c>
      <c r="N413" s="17" t="n">
        <v>0</v>
      </c>
      <c r="O413" s="15" t="s">
        <v>339</v>
      </c>
      <c r="P413" s="19" t="s">
        <v>690</v>
      </c>
      <c r="Q413" s="15" t="s">
        <v>691</v>
      </c>
      <c r="R413" s="15" t="s">
        <v>692</v>
      </c>
      <c r="S413" s="15" t="s">
        <v>345</v>
      </c>
      <c r="T413" s="15" t="s">
        <v>341</v>
      </c>
      <c r="U413" s="15" t="s">
        <v>693</v>
      </c>
    </row>
    <row r="414" customFormat="false" ht="19.5" hidden="false" customHeight="true" outlineLevel="0" collapsed="false">
      <c r="A414" s="26" t="n">
        <v>2778</v>
      </c>
      <c r="B414" s="27" t="s">
        <v>1541</v>
      </c>
      <c r="C414" s="30" t="s">
        <v>1192</v>
      </c>
      <c r="D414" s="39" t="n">
        <v>0</v>
      </c>
      <c r="E414" s="30" t="s">
        <v>39</v>
      </c>
      <c r="F414" s="30" t="s">
        <v>39</v>
      </c>
      <c r="G414" s="27" t="s">
        <v>429</v>
      </c>
      <c r="H414" s="40" t="s">
        <v>429</v>
      </c>
      <c r="I414" s="27" t="s">
        <v>363</v>
      </c>
      <c r="J414" s="30" t="s">
        <v>336</v>
      </c>
      <c r="K414" s="30" t="s">
        <v>140</v>
      </c>
      <c r="L414" s="26" t="s">
        <v>82</v>
      </c>
      <c r="M414" s="27" t="s">
        <v>352</v>
      </c>
      <c r="N414" s="30" t="n">
        <v>0</v>
      </c>
      <c r="O414" s="27" t="s">
        <v>353</v>
      </c>
      <c r="P414" s="26" t="s">
        <v>1193</v>
      </c>
      <c r="Q414" s="27" t="s">
        <v>1194</v>
      </c>
      <c r="R414" s="27" t="s">
        <v>717</v>
      </c>
      <c r="S414" s="27" t="s">
        <v>340</v>
      </c>
      <c r="T414" s="27" t="s">
        <v>341</v>
      </c>
      <c r="U414" s="27" t="s">
        <v>1542</v>
      </c>
    </row>
    <row r="415" customFormat="false" ht="19.5" hidden="false" customHeight="true" outlineLevel="0" collapsed="false">
      <c r="A415" s="19" t="n">
        <v>2783</v>
      </c>
      <c r="B415" s="15" t="s">
        <v>1543</v>
      </c>
      <c r="C415" s="17" t="s">
        <v>1192</v>
      </c>
      <c r="D415" s="16" t="n">
        <v>0</v>
      </c>
      <c r="E415" s="17" t="s">
        <v>39</v>
      </c>
      <c r="F415" s="17" t="s">
        <v>39</v>
      </c>
      <c r="G415" s="15" t="s">
        <v>427</v>
      </c>
      <c r="H415" s="18" t="s">
        <v>427</v>
      </c>
      <c r="I415" s="15" t="s">
        <v>402</v>
      </c>
      <c r="J415" s="17" t="s">
        <v>336</v>
      </c>
      <c r="K415" s="17" t="s">
        <v>140</v>
      </c>
      <c r="L415" s="19" t="s">
        <v>140</v>
      </c>
      <c r="M415" s="15" t="s">
        <v>352</v>
      </c>
      <c r="N415" s="17" t="n">
        <v>0</v>
      </c>
      <c r="O415" s="15" t="s">
        <v>353</v>
      </c>
      <c r="P415" s="19" t="s">
        <v>1193</v>
      </c>
      <c r="Q415" s="15" t="s">
        <v>1194</v>
      </c>
      <c r="R415" s="15" t="s">
        <v>717</v>
      </c>
      <c r="S415" s="15" t="s">
        <v>340</v>
      </c>
      <c r="T415" s="15" t="s">
        <v>341</v>
      </c>
      <c r="U415" s="15" t="s">
        <v>1195</v>
      </c>
    </row>
    <row r="416" customFormat="false" ht="19.5" hidden="false" customHeight="true" outlineLevel="0" collapsed="false">
      <c r="A416" s="26" t="n">
        <v>2784</v>
      </c>
      <c r="B416" s="27" t="s">
        <v>1544</v>
      </c>
      <c r="C416" s="30" t="s">
        <v>1192</v>
      </c>
      <c r="D416" s="39" t="n">
        <v>0</v>
      </c>
      <c r="E416" s="30" t="s">
        <v>39</v>
      </c>
      <c r="F416" s="30" t="s">
        <v>39</v>
      </c>
      <c r="G416" s="27" t="s">
        <v>501</v>
      </c>
      <c r="H416" s="40" t="s">
        <v>501</v>
      </c>
      <c r="I416" s="27" t="s">
        <v>413</v>
      </c>
      <c r="J416" s="30" t="s">
        <v>336</v>
      </c>
      <c r="K416" s="30" t="s">
        <v>136</v>
      </c>
      <c r="L416" s="26" t="s">
        <v>136</v>
      </c>
      <c r="M416" s="27" t="s">
        <v>352</v>
      </c>
      <c r="N416" s="30" t="n">
        <v>9621</v>
      </c>
      <c r="O416" s="27" t="s">
        <v>344</v>
      </c>
      <c r="P416" s="26" t="n">
        <v>9621</v>
      </c>
      <c r="Q416" s="27" t="s">
        <v>1030</v>
      </c>
      <c r="R416" s="27" t="s">
        <v>648</v>
      </c>
      <c r="S416" s="27" t="s">
        <v>340</v>
      </c>
      <c r="T416" s="27" t="s">
        <v>341</v>
      </c>
      <c r="U416" s="27" t="s">
        <v>1397</v>
      </c>
    </row>
    <row r="417" customFormat="false" ht="19.5" hidden="false" customHeight="true" outlineLevel="0" collapsed="false">
      <c r="A417" s="19" t="n">
        <v>2809</v>
      </c>
      <c r="B417" s="15" t="s">
        <v>1545</v>
      </c>
      <c r="C417" s="17" t="s">
        <v>314</v>
      </c>
      <c r="D417" s="16" t="n">
        <v>25</v>
      </c>
      <c r="E417" s="17" t="s">
        <v>63</v>
      </c>
      <c r="F417" s="17" t="s">
        <v>63</v>
      </c>
      <c r="G417" s="15" t="s">
        <v>466</v>
      </c>
      <c r="H417" s="18" t="s">
        <v>466</v>
      </c>
      <c r="I417" s="15" t="s">
        <v>347</v>
      </c>
      <c r="J417" s="17" t="s">
        <v>336</v>
      </c>
      <c r="K417" s="17" t="s">
        <v>1513</v>
      </c>
      <c r="L417" s="19" t="s">
        <v>1513</v>
      </c>
      <c r="M417" s="15" t="s">
        <v>349</v>
      </c>
      <c r="N417" s="17" t="n">
        <v>0</v>
      </c>
      <c r="O417" s="15" t="s">
        <v>339</v>
      </c>
      <c r="P417" s="19" t="s">
        <v>690</v>
      </c>
      <c r="Q417" s="15" t="s">
        <v>691</v>
      </c>
      <c r="R417" s="15" t="s">
        <v>692</v>
      </c>
      <c r="S417" s="15" t="s">
        <v>345</v>
      </c>
      <c r="T417" s="15" t="s">
        <v>341</v>
      </c>
      <c r="U417" s="15" t="s">
        <v>693</v>
      </c>
    </row>
    <row r="418" customFormat="false" ht="19.5" hidden="false" customHeight="true" outlineLevel="0" collapsed="false">
      <c r="A418" s="26" t="n">
        <v>2810</v>
      </c>
      <c r="B418" s="27" t="s">
        <v>1546</v>
      </c>
      <c r="C418" s="30" t="s">
        <v>263</v>
      </c>
      <c r="D418" s="39" t="n">
        <v>20</v>
      </c>
      <c r="E418" s="30" t="s">
        <v>39</v>
      </c>
      <c r="F418" s="30" t="s">
        <v>39</v>
      </c>
      <c r="G418" s="27" t="s">
        <v>117</v>
      </c>
      <c r="H418" s="40" t="s">
        <v>117</v>
      </c>
      <c r="I418" s="27" t="s">
        <v>569</v>
      </c>
      <c r="J418" s="30" t="s">
        <v>336</v>
      </c>
      <c r="K418" s="30" t="s">
        <v>1547</v>
      </c>
      <c r="L418" s="26" t="s">
        <v>1547</v>
      </c>
      <c r="M418" s="27" t="s">
        <v>343</v>
      </c>
      <c r="N418" s="30" t="n">
        <v>0</v>
      </c>
      <c r="O418" s="27" t="s">
        <v>369</v>
      </c>
      <c r="P418" s="26" t="s">
        <v>683</v>
      </c>
      <c r="Q418" s="27" t="s">
        <v>684</v>
      </c>
      <c r="R418" s="27" t="s">
        <v>685</v>
      </c>
      <c r="S418" s="27" t="s">
        <v>370</v>
      </c>
      <c r="T418" s="27" t="s">
        <v>371</v>
      </c>
      <c r="U418" s="27" t="s">
        <v>1548</v>
      </c>
    </row>
    <row r="419" customFormat="false" ht="19.5" hidden="false" customHeight="true" outlineLevel="0" collapsed="false">
      <c r="A419" s="19" t="n">
        <v>2820</v>
      </c>
      <c r="B419" s="15" t="s">
        <v>1549</v>
      </c>
      <c r="C419" s="17" t="s">
        <v>263</v>
      </c>
      <c r="D419" s="16" t="n">
        <v>20</v>
      </c>
      <c r="E419" s="17" t="s">
        <v>39</v>
      </c>
      <c r="F419" s="17" t="s">
        <v>39</v>
      </c>
      <c r="G419" s="15" t="s">
        <v>412</v>
      </c>
      <c r="H419" s="18" t="s">
        <v>412</v>
      </c>
      <c r="I419" s="15" t="s">
        <v>342</v>
      </c>
      <c r="J419" s="17" t="s">
        <v>336</v>
      </c>
      <c r="K419" s="17" t="s">
        <v>111</v>
      </c>
      <c r="L419" s="19" t="s">
        <v>111</v>
      </c>
      <c r="M419" s="15" t="s">
        <v>343</v>
      </c>
      <c r="N419" s="17" t="n">
        <v>23922</v>
      </c>
      <c r="O419" s="15" t="s">
        <v>344</v>
      </c>
      <c r="P419" s="19" t="n">
        <v>23922</v>
      </c>
      <c r="Q419" s="15" t="s">
        <v>1550</v>
      </c>
      <c r="R419" s="15" t="s">
        <v>648</v>
      </c>
      <c r="S419" s="15" t="s">
        <v>345</v>
      </c>
      <c r="T419" s="15" t="s">
        <v>341</v>
      </c>
      <c r="U419" s="15" t="s">
        <v>1551</v>
      </c>
    </row>
    <row r="420" customFormat="false" ht="19.5" hidden="false" customHeight="true" outlineLevel="0" collapsed="false">
      <c r="A420" s="26" t="n">
        <v>2831</v>
      </c>
      <c r="B420" s="27" t="s">
        <v>1552</v>
      </c>
      <c r="C420" s="30" t="s">
        <v>1192</v>
      </c>
      <c r="D420" s="39" t="n">
        <v>0</v>
      </c>
      <c r="E420" s="30" t="s">
        <v>39</v>
      </c>
      <c r="F420" s="30" t="s">
        <v>39</v>
      </c>
      <c r="G420" s="27" t="s">
        <v>358</v>
      </c>
      <c r="H420" s="40" t="s">
        <v>358</v>
      </c>
      <c r="I420" s="27" t="s">
        <v>363</v>
      </c>
      <c r="J420" s="30" t="s">
        <v>336</v>
      </c>
      <c r="K420" s="30" t="s">
        <v>136</v>
      </c>
      <c r="L420" s="26" t="s">
        <v>65</v>
      </c>
      <c r="M420" s="27" t="s">
        <v>352</v>
      </c>
      <c r="N420" s="30" t="n">
        <v>9621</v>
      </c>
      <c r="O420" s="27" t="s">
        <v>344</v>
      </c>
      <c r="P420" s="26" t="n">
        <v>4623</v>
      </c>
      <c r="Q420" s="27" t="s">
        <v>1553</v>
      </c>
      <c r="R420" s="27" t="s">
        <v>702</v>
      </c>
      <c r="S420" s="27" t="s">
        <v>340</v>
      </c>
      <c r="T420" s="27" t="s">
        <v>341</v>
      </c>
      <c r="U420" s="27" t="s">
        <v>1554</v>
      </c>
    </row>
    <row r="421" customFormat="false" ht="19.5" hidden="false" customHeight="true" outlineLevel="0" collapsed="false">
      <c r="A421" s="19" t="n">
        <v>2832</v>
      </c>
      <c r="B421" s="15" t="s">
        <v>1555</v>
      </c>
      <c r="C421" s="17" t="s">
        <v>1192</v>
      </c>
      <c r="D421" s="16" t="n">
        <v>0</v>
      </c>
      <c r="E421" s="17" t="s">
        <v>63</v>
      </c>
      <c r="F421" s="17" t="s">
        <v>63</v>
      </c>
      <c r="G421" s="15" t="s">
        <v>485</v>
      </c>
      <c r="H421" s="18" t="s">
        <v>485</v>
      </c>
      <c r="I421" s="15" t="s">
        <v>413</v>
      </c>
      <c r="J421" s="17" t="s">
        <v>336</v>
      </c>
      <c r="K421" s="17" t="s">
        <v>136</v>
      </c>
      <c r="L421" s="19" t="s">
        <v>111</v>
      </c>
      <c r="M421" s="15" t="s">
        <v>352</v>
      </c>
      <c r="N421" s="17" t="n">
        <v>9621</v>
      </c>
      <c r="O421" s="15" t="s">
        <v>344</v>
      </c>
      <c r="P421" s="19" t="n">
        <v>28120</v>
      </c>
      <c r="Q421" s="15" t="s">
        <v>1556</v>
      </c>
      <c r="R421" s="15" t="s">
        <v>702</v>
      </c>
      <c r="S421" s="15" t="s">
        <v>340</v>
      </c>
      <c r="T421" s="15" t="s">
        <v>341</v>
      </c>
      <c r="U421" s="15" t="s">
        <v>1557</v>
      </c>
    </row>
    <row r="422" customFormat="false" ht="19.5" hidden="false" customHeight="true" outlineLevel="0" collapsed="false">
      <c r="A422" s="26" t="n">
        <v>2833</v>
      </c>
      <c r="B422" s="27" t="s">
        <v>1558</v>
      </c>
      <c r="C422" s="30" t="s">
        <v>263</v>
      </c>
      <c r="D422" s="39" t="n">
        <v>20</v>
      </c>
      <c r="E422" s="30" t="s">
        <v>39</v>
      </c>
      <c r="F422" s="30" t="s">
        <v>39</v>
      </c>
      <c r="G422" s="27" t="s">
        <v>429</v>
      </c>
      <c r="H422" s="40" t="s">
        <v>429</v>
      </c>
      <c r="I422" s="27" t="s">
        <v>356</v>
      </c>
      <c r="J422" s="30" t="s">
        <v>336</v>
      </c>
      <c r="K422" s="30" t="s">
        <v>82</v>
      </c>
      <c r="L422" s="26" t="s">
        <v>82</v>
      </c>
      <c r="M422" s="27" t="s">
        <v>343</v>
      </c>
      <c r="N422" s="30" t="n">
        <v>36822</v>
      </c>
      <c r="O422" s="27" t="s">
        <v>344</v>
      </c>
      <c r="P422" s="26" t="n">
        <v>36822</v>
      </c>
      <c r="Q422" s="27" t="s">
        <v>1446</v>
      </c>
      <c r="R422" s="27" t="s">
        <v>648</v>
      </c>
      <c r="S422" s="27" t="s">
        <v>345</v>
      </c>
      <c r="T422" s="27" t="s">
        <v>341</v>
      </c>
      <c r="U422" s="27" t="s">
        <v>1559</v>
      </c>
    </row>
    <row r="423" customFormat="false" ht="19.5" hidden="false" customHeight="true" outlineLevel="0" collapsed="false">
      <c r="A423" s="19" t="n">
        <v>2834</v>
      </c>
      <c r="B423" s="15" t="s">
        <v>1560</v>
      </c>
      <c r="C423" s="17" t="s">
        <v>751</v>
      </c>
      <c r="D423" s="16" t="n">
        <v>25</v>
      </c>
      <c r="E423" s="17" t="s">
        <v>63</v>
      </c>
      <c r="F423" s="17" t="s">
        <v>63</v>
      </c>
      <c r="G423" s="15" t="s">
        <v>532</v>
      </c>
      <c r="H423" s="18" t="s">
        <v>532</v>
      </c>
      <c r="I423" s="15" t="s">
        <v>379</v>
      </c>
      <c r="J423" s="17" t="s">
        <v>336</v>
      </c>
      <c r="K423" s="17" t="s">
        <v>530</v>
      </c>
      <c r="L423" s="19" t="s">
        <v>530</v>
      </c>
      <c r="M423" s="15" t="s">
        <v>343</v>
      </c>
      <c r="N423" s="17" t="n">
        <v>11819</v>
      </c>
      <c r="O423" s="15" t="s">
        <v>344</v>
      </c>
      <c r="P423" s="19" t="n">
        <v>11819</v>
      </c>
      <c r="Q423" s="15" t="s">
        <v>1350</v>
      </c>
      <c r="R423" s="15" t="s">
        <v>648</v>
      </c>
      <c r="S423" s="15" t="s">
        <v>345</v>
      </c>
      <c r="T423" s="15" t="s">
        <v>341</v>
      </c>
      <c r="U423" s="15" t="s">
        <v>1351</v>
      </c>
    </row>
    <row r="424" customFormat="false" ht="19.5" hidden="false" customHeight="true" outlineLevel="0" collapsed="false">
      <c r="A424" s="26" t="n">
        <v>2878</v>
      </c>
      <c r="B424" s="27" t="s">
        <v>282</v>
      </c>
      <c r="C424" s="30" t="s">
        <v>260</v>
      </c>
      <c r="D424" s="39" t="n">
        <v>5</v>
      </c>
      <c r="E424" s="30" t="s">
        <v>39</v>
      </c>
      <c r="F424" s="30" t="s">
        <v>39</v>
      </c>
      <c r="G424" s="27" t="s">
        <v>44</v>
      </c>
      <c r="H424" s="40" t="s">
        <v>44</v>
      </c>
      <c r="I424" s="27" t="s">
        <v>356</v>
      </c>
      <c r="J424" s="30" t="s">
        <v>360</v>
      </c>
      <c r="K424" s="30" t="s">
        <v>51</v>
      </c>
      <c r="L424" s="26" t="s">
        <v>48</v>
      </c>
      <c r="M424" s="27" t="s">
        <v>361</v>
      </c>
      <c r="N424" s="30" t="n">
        <v>10210</v>
      </c>
      <c r="O424" s="27" t="s">
        <v>344</v>
      </c>
      <c r="P424" s="26" t="n">
        <v>10210</v>
      </c>
      <c r="Q424" s="27" t="s">
        <v>1561</v>
      </c>
      <c r="R424" s="27" t="s">
        <v>648</v>
      </c>
      <c r="S424" s="27" t="s">
        <v>345</v>
      </c>
      <c r="T424" s="27" t="s">
        <v>341</v>
      </c>
      <c r="U424" s="27" t="s">
        <v>1562</v>
      </c>
    </row>
    <row r="425" customFormat="false" ht="19.5" hidden="false" customHeight="true" outlineLevel="0" collapsed="false">
      <c r="A425" s="19" t="n">
        <v>2879</v>
      </c>
      <c r="B425" s="15" t="s">
        <v>1563</v>
      </c>
      <c r="C425" s="17" t="s">
        <v>1192</v>
      </c>
      <c r="D425" s="16" t="n">
        <v>0</v>
      </c>
      <c r="E425" s="17" t="s">
        <v>39</v>
      </c>
      <c r="F425" s="17" t="s">
        <v>39</v>
      </c>
      <c r="G425" s="15" t="s">
        <v>426</v>
      </c>
      <c r="H425" s="18" t="s">
        <v>426</v>
      </c>
      <c r="I425" s="15" t="s">
        <v>402</v>
      </c>
      <c r="J425" s="17" t="s">
        <v>336</v>
      </c>
      <c r="K425" s="17" t="s">
        <v>82</v>
      </c>
      <c r="L425" s="19" t="s">
        <v>140</v>
      </c>
      <c r="M425" s="15" t="s">
        <v>352</v>
      </c>
      <c r="N425" s="17" t="n">
        <v>0</v>
      </c>
      <c r="O425" s="15" t="s">
        <v>353</v>
      </c>
      <c r="P425" s="19" t="n">
        <v>1923</v>
      </c>
      <c r="Q425" s="15" t="s">
        <v>1564</v>
      </c>
      <c r="R425" s="15" t="s">
        <v>717</v>
      </c>
      <c r="S425" s="15" t="s">
        <v>340</v>
      </c>
      <c r="T425" s="15" t="s">
        <v>341</v>
      </c>
      <c r="U425" s="15" t="s">
        <v>1565</v>
      </c>
    </row>
    <row r="426" customFormat="false" ht="19.5" hidden="false" customHeight="true" outlineLevel="0" collapsed="false">
      <c r="A426" s="26" t="n">
        <v>2880</v>
      </c>
      <c r="B426" s="27" t="s">
        <v>1566</v>
      </c>
      <c r="C426" s="30" t="s">
        <v>1192</v>
      </c>
      <c r="D426" s="39" t="n">
        <v>0</v>
      </c>
      <c r="E426" s="30" t="s">
        <v>39</v>
      </c>
      <c r="F426" s="30" t="s">
        <v>39</v>
      </c>
      <c r="G426" s="27" t="s">
        <v>427</v>
      </c>
      <c r="H426" s="40" t="s">
        <v>427</v>
      </c>
      <c r="I426" s="27" t="s">
        <v>402</v>
      </c>
      <c r="J426" s="30" t="s">
        <v>336</v>
      </c>
      <c r="K426" s="30" t="s">
        <v>82</v>
      </c>
      <c r="L426" s="26" t="s">
        <v>140</v>
      </c>
      <c r="M426" s="27" t="s">
        <v>352</v>
      </c>
      <c r="N426" s="30" t="n">
        <v>0</v>
      </c>
      <c r="O426" s="27" t="s">
        <v>344</v>
      </c>
      <c r="P426" s="26" t="n">
        <v>1923</v>
      </c>
      <c r="Q426" s="27" t="s">
        <v>1567</v>
      </c>
      <c r="R426" s="27" t="s">
        <v>1217</v>
      </c>
      <c r="S426" s="27" t="s">
        <v>340</v>
      </c>
      <c r="T426" s="27" t="s">
        <v>341</v>
      </c>
      <c r="U426" s="27" t="s">
        <v>1568</v>
      </c>
    </row>
    <row r="427" customFormat="false" ht="19.5" hidden="false" customHeight="true" outlineLevel="0" collapsed="false">
      <c r="A427" s="19" t="n">
        <v>2881</v>
      </c>
      <c r="B427" s="15" t="s">
        <v>1569</v>
      </c>
      <c r="C427" s="17" t="s">
        <v>263</v>
      </c>
      <c r="D427" s="16" t="n">
        <v>20</v>
      </c>
      <c r="E427" s="17" t="s">
        <v>39</v>
      </c>
      <c r="F427" s="17" t="s">
        <v>39</v>
      </c>
      <c r="G427" s="15" t="s">
        <v>269</v>
      </c>
      <c r="H427" s="18" t="s">
        <v>269</v>
      </c>
      <c r="I427" s="15" t="s">
        <v>356</v>
      </c>
      <c r="J427" s="17" t="s">
        <v>360</v>
      </c>
      <c r="K427" s="17" t="s">
        <v>51</v>
      </c>
      <c r="L427" s="19" t="s">
        <v>51</v>
      </c>
      <c r="M427" s="15" t="s">
        <v>361</v>
      </c>
      <c r="N427" s="17" t="n">
        <v>31422</v>
      </c>
      <c r="O427" s="15" t="s">
        <v>344</v>
      </c>
      <c r="P427" s="19" t="n">
        <v>31422</v>
      </c>
      <c r="Q427" s="15" t="s">
        <v>1120</v>
      </c>
      <c r="R427" s="15" t="s">
        <v>648</v>
      </c>
      <c r="S427" s="15" t="s">
        <v>345</v>
      </c>
      <c r="T427" s="15" t="s">
        <v>341</v>
      </c>
      <c r="U427" s="15" t="s">
        <v>1498</v>
      </c>
    </row>
    <row r="428" customFormat="false" ht="19.5" hidden="false" customHeight="true" outlineLevel="0" collapsed="false">
      <c r="A428" s="26" t="n">
        <v>2903</v>
      </c>
      <c r="B428" s="27" t="s">
        <v>283</v>
      </c>
      <c r="C428" s="30" t="s">
        <v>263</v>
      </c>
      <c r="D428" s="39" t="n">
        <v>20</v>
      </c>
      <c r="E428" s="30" t="s">
        <v>39</v>
      </c>
      <c r="F428" s="30" t="s">
        <v>39</v>
      </c>
      <c r="G428" s="27" t="s">
        <v>70</v>
      </c>
      <c r="H428" s="40" t="s">
        <v>70</v>
      </c>
      <c r="I428" s="27" t="s">
        <v>355</v>
      </c>
      <c r="J428" s="30" t="s">
        <v>360</v>
      </c>
      <c r="K428" s="30" t="s">
        <v>82</v>
      </c>
      <c r="L428" s="26" t="s">
        <v>51</v>
      </c>
      <c r="M428" s="27" t="s">
        <v>361</v>
      </c>
      <c r="N428" s="30" t="n">
        <v>19120</v>
      </c>
      <c r="O428" s="27" t="s">
        <v>344</v>
      </c>
      <c r="P428" s="26" t="n">
        <v>3307</v>
      </c>
      <c r="Q428" s="27" t="s">
        <v>1570</v>
      </c>
      <c r="R428" s="27" t="s">
        <v>702</v>
      </c>
      <c r="S428" s="27" t="s">
        <v>345</v>
      </c>
      <c r="T428" s="27" t="s">
        <v>341</v>
      </c>
      <c r="U428" s="27" t="s">
        <v>1571</v>
      </c>
    </row>
    <row r="429" customFormat="false" ht="19.5" hidden="false" customHeight="true" outlineLevel="0" collapsed="false">
      <c r="A429" s="19" t="n">
        <v>2930</v>
      </c>
      <c r="B429" s="15" t="s">
        <v>1572</v>
      </c>
      <c r="C429" s="17" t="s">
        <v>263</v>
      </c>
      <c r="D429" s="16" t="n">
        <v>20</v>
      </c>
      <c r="E429" s="17" t="s">
        <v>39</v>
      </c>
      <c r="F429" s="17" t="s">
        <v>39</v>
      </c>
      <c r="G429" s="15" t="s">
        <v>429</v>
      </c>
      <c r="H429" s="18" t="s">
        <v>429</v>
      </c>
      <c r="I429" s="15" t="s">
        <v>356</v>
      </c>
      <c r="J429" s="17" t="s">
        <v>336</v>
      </c>
      <c r="K429" s="17" t="s">
        <v>82</v>
      </c>
      <c r="L429" s="19" t="s">
        <v>82</v>
      </c>
      <c r="M429" s="15" t="s">
        <v>343</v>
      </c>
      <c r="N429" s="17" t="n">
        <v>36822</v>
      </c>
      <c r="O429" s="15" t="s">
        <v>344</v>
      </c>
      <c r="P429" s="19" t="n">
        <v>36822</v>
      </c>
      <c r="Q429" s="15" t="s">
        <v>1446</v>
      </c>
      <c r="R429" s="15" t="s">
        <v>648</v>
      </c>
      <c r="S429" s="15" t="s">
        <v>345</v>
      </c>
      <c r="T429" s="15" t="s">
        <v>341</v>
      </c>
      <c r="U429" s="15" t="s">
        <v>1559</v>
      </c>
    </row>
    <row r="430" customFormat="false" ht="19.5" hidden="false" customHeight="true" outlineLevel="0" collapsed="false">
      <c r="A430" s="26" t="n">
        <v>2931</v>
      </c>
      <c r="B430" s="27" t="s">
        <v>1573</v>
      </c>
      <c r="C430" s="30" t="s">
        <v>272</v>
      </c>
      <c r="D430" s="39" t="n">
        <v>5</v>
      </c>
      <c r="E430" s="30" t="s">
        <v>63</v>
      </c>
      <c r="F430" s="30" t="s">
        <v>63</v>
      </c>
      <c r="G430" s="27" t="s">
        <v>470</v>
      </c>
      <c r="H430" s="40" t="s">
        <v>470</v>
      </c>
      <c r="I430" s="27" t="s">
        <v>469</v>
      </c>
      <c r="J430" s="30" t="s">
        <v>336</v>
      </c>
      <c r="K430" s="30" t="s">
        <v>82</v>
      </c>
      <c r="L430" s="26" t="s">
        <v>82</v>
      </c>
      <c r="M430" s="27" t="s">
        <v>343</v>
      </c>
      <c r="N430" s="30" t="n">
        <v>27717</v>
      </c>
      <c r="O430" s="27" t="s">
        <v>344</v>
      </c>
      <c r="P430" s="26" t="n">
        <v>27717</v>
      </c>
      <c r="Q430" s="27" t="s">
        <v>1323</v>
      </c>
      <c r="R430" s="27" t="s">
        <v>648</v>
      </c>
      <c r="S430" s="27" t="s">
        <v>345</v>
      </c>
      <c r="T430" s="27" t="s">
        <v>341</v>
      </c>
      <c r="U430" s="27" t="s">
        <v>1324</v>
      </c>
    </row>
    <row r="431" customFormat="false" ht="19.5" hidden="false" customHeight="true" outlineLevel="0" collapsed="false">
      <c r="A431" s="19" t="n">
        <v>2932</v>
      </c>
      <c r="B431" s="15" t="s">
        <v>1574</v>
      </c>
      <c r="C431" s="17" t="s">
        <v>260</v>
      </c>
      <c r="D431" s="16" t="n">
        <v>5</v>
      </c>
      <c r="E431" s="17" t="s">
        <v>39</v>
      </c>
      <c r="F431" s="17" t="s">
        <v>39</v>
      </c>
      <c r="G431" s="15" t="s">
        <v>110</v>
      </c>
      <c r="H431" s="18" t="s">
        <v>110</v>
      </c>
      <c r="I431" s="15" t="s">
        <v>342</v>
      </c>
      <c r="J431" s="17" t="s">
        <v>336</v>
      </c>
      <c r="K431" s="17" t="s">
        <v>82</v>
      </c>
      <c r="L431" s="19" t="s">
        <v>111</v>
      </c>
      <c r="M431" s="15" t="s">
        <v>343</v>
      </c>
      <c r="N431" s="17" t="n">
        <v>24824</v>
      </c>
      <c r="O431" s="15" t="s">
        <v>344</v>
      </c>
      <c r="P431" s="19" t="n">
        <v>24824</v>
      </c>
      <c r="Q431" s="15" t="s">
        <v>1575</v>
      </c>
      <c r="R431" s="15" t="s">
        <v>648</v>
      </c>
      <c r="S431" s="15" t="s">
        <v>345</v>
      </c>
      <c r="T431" s="15" t="s">
        <v>341</v>
      </c>
      <c r="U431" s="15" t="s">
        <v>1576</v>
      </c>
    </row>
    <row r="432" customFormat="false" ht="19.5" hidden="false" customHeight="true" outlineLevel="0" collapsed="false">
      <c r="A432" s="26" t="n">
        <v>2933</v>
      </c>
      <c r="B432" s="27" t="s">
        <v>1577</v>
      </c>
      <c r="C432" s="30" t="s">
        <v>263</v>
      </c>
      <c r="D432" s="39" t="n">
        <v>20</v>
      </c>
      <c r="E432" s="30" t="s">
        <v>39</v>
      </c>
      <c r="F432" s="30" t="s">
        <v>39</v>
      </c>
      <c r="G432" s="27" t="s">
        <v>110</v>
      </c>
      <c r="H432" s="40" t="s">
        <v>110</v>
      </c>
      <c r="I432" s="27" t="s">
        <v>342</v>
      </c>
      <c r="J432" s="30" t="s">
        <v>336</v>
      </c>
      <c r="K432" s="30" t="s">
        <v>82</v>
      </c>
      <c r="L432" s="26" t="s">
        <v>111</v>
      </c>
      <c r="M432" s="27" t="s">
        <v>343</v>
      </c>
      <c r="N432" s="30" t="n">
        <v>24824</v>
      </c>
      <c r="O432" s="27" t="s">
        <v>344</v>
      </c>
      <c r="P432" s="26" t="n">
        <v>24824</v>
      </c>
      <c r="Q432" s="27" t="s">
        <v>1575</v>
      </c>
      <c r="R432" s="27" t="s">
        <v>648</v>
      </c>
      <c r="S432" s="27" t="s">
        <v>345</v>
      </c>
      <c r="T432" s="27" t="s">
        <v>341</v>
      </c>
      <c r="U432" s="27" t="s">
        <v>1578</v>
      </c>
    </row>
    <row r="433" customFormat="false" ht="19.5" hidden="false" customHeight="true" outlineLevel="0" collapsed="false">
      <c r="A433" s="19" t="n">
        <v>2935</v>
      </c>
      <c r="B433" s="15" t="s">
        <v>1579</v>
      </c>
      <c r="C433" s="17" t="s">
        <v>263</v>
      </c>
      <c r="D433" s="16" t="n">
        <v>20</v>
      </c>
      <c r="E433" s="17" t="s">
        <v>39</v>
      </c>
      <c r="F433" s="17" t="s">
        <v>39</v>
      </c>
      <c r="G433" s="15" t="s">
        <v>40</v>
      </c>
      <c r="H433" s="18" t="s">
        <v>40</v>
      </c>
      <c r="I433" s="15" t="s">
        <v>342</v>
      </c>
      <c r="J433" s="17" t="s">
        <v>336</v>
      </c>
      <c r="K433" s="17" t="s">
        <v>41</v>
      </c>
      <c r="L433" s="19" t="s">
        <v>41</v>
      </c>
      <c r="M433" s="15" t="s">
        <v>343</v>
      </c>
      <c r="N433" s="17" t="n">
        <v>16607</v>
      </c>
      <c r="O433" s="15" t="s">
        <v>344</v>
      </c>
      <c r="P433" s="19" t="n">
        <v>16607</v>
      </c>
      <c r="Q433" s="15" t="s">
        <v>1580</v>
      </c>
      <c r="R433" s="15" t="s">
        <v>648</v>
      </c>
      <c r="S433" s="15" t="s">
        <v>345</v>
      </c>
      <c r="T433" s="15" t="s">
        <v>341</v>
      </c>
      <c r="U433" s="15" t="s">
        <v>1581</v>
      </c>
    </row>
    <row r="434" customFormat="false" ht="19.5" hidden="false" customHeight="true" outlineLevel="0" collapsed="false">
      <c r="A434" s="26" t="n">
        <v>2936</v>
      </c>
      <c r="B434" s="27" t="s">
        <v>1582</v>
      </c>
      <c r="C434" s="30" t="s">
        <v>260</v>
      </c>
      <c r="D434" s="39" t="n">
        <v>5</v>
      </c>
      <c r="E434" s="30" t="s">
        <v>39</v>
      </c>
      <c r="F434" s="30" t="s">
        <v>39</v>
      </c>
      <c r="G434" s="27" t="s">
        <v>427</v>
      </c>
      <c r="H434" s="40" t="s">
        <v>427</v>
      </c>
      <c r="I434" s="27" t="s">
        <v>379</v>
      </c>
      <c r="J434" s="30" t="s">
        <v>336</v>
      </c>
      <c r="K434" s="30" t="s">
        <v>140</v>
      </c>
      <c r="L434" s="26" t="s">
        <v>140</v>
      </c>
      <c r="M434" s="27" t="s">
        <v>343</v>
      </c>
      <c r="N434" s="30" t="n">
        <v>1923</v>
      </c>
      <c r="O434" s="27" t="s">
        <v>344</v>
      </c>
      <c r="P434" s="26" t="n">
        <v>1923</v>
      </c>
      <c r="Q434" s="27" t="s">
        <v>1583</v>
      </c>
      <c r="R434" s="27" t="s">
        <v>648</v>
      </c>
      <c r="S434" s="27" t="s">
        <v>345</v>
      </c>
      <c r="T434" s="27" t="s">
        <v>341</v>
      </c>
      <c r="U434" s="27" t="s">
        <v>1584</v>
      </c>
    </row>
    <row r="435" customFormat="false" ht="19.5" hidden="false" customHeight="true" outlineLevel="0" collapsed="false">
      <c r="A435" s="19" t="n">
        <v>2937</v>
      </c>
      <c r="B435" s="15" t="s">
        <v>1585</v>
      </c>
      <c r="C435" s="17" t="s">
        <v>279</v>
      </c>
      <c r="D435" s="16" t="n">
        <v>10</v>
      </c>
      <c r="E435" s="17" t="s">
        <v>39</v>
      </c>
      <c r="F435" s="17" t="s">
        <v>39</v>
      </c>
      <c r="G435" s="15" t="s">
        <v>427</v>
      </c>
      <c r="H435" s="18" t="s">
        <v>427</v>
      </c>
      <c r="I435" s="15" t="s">
        <v>379</v>
      </c>
      <c r="J435" s="17" t="s">
        <v>336</v>
      </c>
      <c r="K435" s="17" t="s">
        <v>140</v>
      </c>
      <c r="L435" s="19" t="s">
        <v>140</v>
      </c>
      <c r="M435" s="15" t="s">
        <v>343</v>
      </c>
      <c r="N435" s="17" t="n">
        <v>1923</v>
      </c>
      <c r="O435" s="15" t="s">
        <v>344</v>
      </c>
      <c r="P435" s="19" t="n">
        <v>1923</v>
      </c>
      <c r="Q435" s="15" t="s">
        <v>1583</v>
      </c>
      <c r="R435" s="15" t="s">
        <v>648</v>
      </c>
      <c r="S435" s="15" t="s">
        <v>345</v>
      </c>
      <c r="T435" s="15" t="s">
        <v>341</v>
      </c>
      <c r="U435" s="15" t="s">
        <v>1584</v>
      </c>
    </row>
    <row r="436" customFormat="false" ht="19.5" hidden="false" customHeight="true" outlineLevel="0" collapsed="false">
      <c r="A436" s="26" t="n">
        <v>2938</v>
      </c>
      <c r="B436" s="27" t="s">
        <v>1586</v>
      </c>
      <c r="C436" s="30" t="s">
        <v>260</v>
      </c>
      <c r="D436" s="39" t="n">
        <v>5</v>
      </c>
      <c r="E436" s="30" t="s">
        <v>39</v>
      </c>
      <c r="F436" s="30" t="s">
        <v>39</v>
      </c>
      <c r="G436" s="27" t="s">
        <v>445</v>
      </c>
      <c r="H436" s="40" t="s">
        <v>445</v>
      </c>
      <c r="I436" s="27" t="s">
        <v>379</v>
      </c>
      <c r="J436" s="30" t="s">
        <v>336</v>
      </c>
      <c r="K436" s="30" t="s">
        <v>140</v>
      </c>
      <c r="L436" s="26" t="s">
        <v>140</v>
      </c>
      <c r="M436" s="27" t="s">
        <v>343</v>
      </c>
      <c r="N436" s="30" t="n">
        <v>15716</v>
      </c>
      <c r="O436" s="27" t="s">
        <v>344</v>
      </c>
      <c r="P436" s="26" t="n">
        <v>15716</v>
      </c>
      <c r="Q436" s="27" t="s">
        <v>777</v>
      </c>
      <c r="R436" s="27" t="s">
        <v>648</v>
      </c>
      <c r="S436" s="27" t="s">
        <v>345</v>
      </c>
      <c r="T436" s="27" t="s">
        <v>341</v>
      </c>
      <c r="U436" s="27" t="s">
        <v>778</v>
      </c>
    </row>
    <row r="437" customFormat="false" ht="19.5" hidden="false" customHeight="true" outlineLevel="0" collapsed="false">
      <c r="A437" s="19" t="n">
        <v>2944</v>
      </c>
      <c r="B437" s="15" t="s">
        <v>1587</v>
      </c>
      <c r="C437" s="17" t="s">
        <v>263</v>
      </c>
      <c r="D437" s="16" t="n">
        <v>20</v>
      </c>
      <c r="E437" s="17" t="s">
        <v>39</v>
      </c>
      <c r="F437" s="17" t="s">
        <v>39</v>
      </c>
      <c r="G437" s="15" t="s">
        <v>429</v>
      </c>
      <c r="H437" s="18" t="s">
        <v>429</v>
      </c>
      <c r="I437" s="15" t="s">
        <v>356</v>
      </c>
      <c r="J437" s="17" t="s">
        <v>336</v>
      </c>
      <c r="K437" s="17" t="s">
        <v>82</v>
      </c>
      <c r="L437" s="19" t="s">
        <v>82</v>
      </c>
      <c r="M437" s="15" t="s">
        <v>343</v>
      </c>
      <c r="N437" s="17" t="n">
        <v>40624</v>
      </c>
      <c r="O437" s="15" t="s">
        <v>344</v>
      </c>
      <c r="P437" s="19" t="n">
        <v>40624</v>
      </c>
      <c r="Q437" s="15" t="s">
        <v>1588</v>
      </c>
      <c r="R437" s="15" t="s">
        <v>648</v>
      </c>
      <c r="S437" s="15" t="s">
        <v>345</v>
      </c>
      <c r="T437" s="15" t="s">
        <v>341</v>
      </c>
      <c r="U437" s="15" t="s">
        <v>1589</v>
      </c>
    </row>
    <row r="438" customFormat="false" ht="19.5" hidden="false" customHeight="true" outlineLevel="0" collapsed="false">
      <c r="A438" s="26" t="n">
        <v>3004</v>
      </c>
      <c r="B438" s="27" t="s">
        <v>268</v>
      </c>
      <c r="C438" s="30" t="s">
        <v>260</v>
      </c>
      <c r="D438" s="39" t="n">
        <v>5</v>
      </c>
      <c r="E438" s="30" t="s">
        <v>39</v>
      </c>
      <c r="F438" s="30" t="s">
        <v>39</v>
      </c>
      <c r="G438" s="27" t="s">
        <v>269</v>
      </c>
      <c r="H438" s="40" t="s">
        <v>269</v>
      </c>
      <c r="I438" s="27" t="s">
        <v>356</v>
      </c>
      <c r="J438" s="30" t="s">
        <v>360</v>
      </c>
      <c r="K438" s="30" t="s">
        <v>48</v>
      </c>
      <c r="L438" s="26" t="s">
        <v>48</v>
      </c>
      <c r="M438" s="27" t="s">
        <v>361</v>
      </c>
      <c r="N438" s="30" t="n">
        <v>31422</v>
      </c>
      <c r="O438" s="27" t="s">
        <v>344</v>
      </c>
      <c r="P438" s="26" t="n">
        <v>31422</v>
      </c>
      <c r="Q438" s="27" t="s">
        <v>1120</v>
      </c>
      <c r="R438" s="27" t="s">
        <v>648</v>
      </c>
      <c r="S438" s="27" t="s">
        <v>345</v>
      </c>
      <c r="T438" s="27" t="s">
        <v>341</v>
      </c>
      <c r="U438" s="27" t="s">
        <v>1498</v>
      </c>
    </row>
    <row r="439" customFormat="false" ht="19.5" hidden="false" customHeight="true" outlineLevel="0" collapsed="false">
      <c r="A439" s="19" t="n">
        <v>3009</v>
      </c>
      <c r="B439" s="15" t="s">
        <v>1590</v>
      </c>
      <c r="C439" s="17" t="s">
        <v>1591</v>
      </c>
      <c r="D439" s="16" t="n">
        <v>5</v>
      </c>
      <c r="E439" s="17" t="s">
        <v>39</v>
      </c>
      <c r="F439" s="17" t="s">
        <v>39</v>
      </c>
      <c r="G439" s="15" t="s">
        <v>408</v>
      </c>
      <c r="H439" s="18" t="s">
        <v>408</v>
      </c>
      <c r="I439" s="15" t="s">
        <v>356</v>
      </c>
      <c r="J439" s="17" t="s">
        <v>336</v>
      </c>
      <c r="K439" s="17" t="s">
        <v>409</v>
      </c>
      <c r="L439" s="19" t="s">
        <v>409</v>
      </c>
      <c r="M439" s="15" t="s">
        <v>343</v>
      </c>
      <c r="N439" s="17" t="n">
        <v>39617</v>
      </c>
      <c r="O439" s="15" t="s">
        <v>344</v>
      </c>
      <c r="P439" s="19" t="n">
        <v>39617</v>
      </c>
      <c r="Q439" s="15" t="s">
        <v>1592</v>
      </c>
      <c r="R439" s="15" t="s">
        <v>648</v>
      </c>
      <c r="S439" s="15" t="s">
        <v>345</v>
      </c>
      <c r="T439" s="15" t="s">
        <v>341</v>
      </c>
      <c r="U439" s="15" t="s">
        <v>1593</v>
      </c>
    </row>
    <row r="440" customFormat="false" ht="19.5" hidden="false" customHeight="true" outlineLevel="0" collapsed="false">
      <c r="A440" s="26" t="n">
        <v>3010</v>
      </c>
      <c r="B440" s="27" t="s">
        <v>1594</v>
      </c>
      <c r="C440" s="30" t="s">
        <v>263</v>
      </c>
      <c r="D440" s="39" t="n">
        <v>20</v>
      </c>
      <c r="E440" s="30" t="s">
        <v>39</v>
      </c>
      <c r="F440" s="30" t="s">
        <v>39</v>
      </c>
      <c r="G440" s="27" t="s">
        <v>155</v>
      </c>
      <c r="H440" s="40" t="s">
        <v>155</v>
      </c>
      <c r="I440" s="27" t="s">
        <v>342</v>
      </c>
      <c r="J440" s="30" t="s">
        <v>336</v>
      </c>
      <c r="K440" s="30" t="s">
        <v>111</v>
      </c>
      <c r="L440" s="26" t="s">
        <v>111</v>
      </c>
      <c r="M440" s="27" t="s">
        <v>343</v>
      </c>
      <c r="N440" s="30" t="n">
        <v>32821</v>
      </c>
      <c r="O440" s="27" t="s">
        <v>344</v>
      </c>
      <c r="P440" s="26" t="n">
        <v>32821</v>
      </c>
      <c r="Q440" s="27" t="s">
        <v>1595</v>
      </c>
      <c r="R440" s="27" t="s">
        <v>648</v>
      </c>
      <c r="S440" s="27" t="s">
        <v>345</v>
      </c>
      <c r="T440" s="27" t="s">
        <v>341</v>
      </c>
      <c r="U440" s="27" t="s">
        <v>1596</v>
      </c>
    </row>
    <row r="441" customFormat="false" ht="19.5" hidden="false" customHeight="true" outlineLevel="0" collapsed="false">
      <c r="A441" s="19" t="n">
        <v>3028</v>
      </c>
      <c r="B441" s="15" t="s">
        <v>1597</v>
      </c>
      <c r="C441" s="17" t="s">
        <v>1192</v>
      </c>
      <c r="D441" s="16" t="n">
        <v>0</v>
      </c>
      <c r="E441" s="17" t="s">
        <v>39</v>
      </c>
      <c r="F441" s="17" t="s">
        <v>39</v>
      </c>
      <c r="G441" s="15" t="s">
        <v>40</v>
      </c>
      <c r="H441" s="18" t="s">
        <v>40</v>
      </c>
      <c r="I441" s="15" t="s">
        <v>413</v>
      </c>
      <c r="J441" s="17" t="s">
        <v>336</v>
      </c>
      <c r="K441" s="17" t="s">
        <v>41</v>
      </c>
      <c r="L441" s="19" t="s">
        <v>41</v>
      </c>
      <c r="M441" s="15" t="s">
        <v>352</v>
      </c>
      <c r="N441" s="17" t="n">
        <v>24218</v>
      </c>
      <c r="O441" s="15" t="s">
        <v>344</v>
      </c>
      <c r="P441" s="19" t="n">
        <v>24218</v>
      </c>
      <c r="Q441" s="15" t="s">
        <v>1598</v>
      </c>
      <c r="R441" s="15" t="s">
        <v>648</v>
      </c>
      <c r="S441" s="15" t="s">
        <v>340</v>
      </c>
      <c r="T441" s="15" t="s">
        <v>341</v>
      </c>
      <c r="U441" s="15" t="s">
        <v>1599</v>
      </c>
    </row>
    <row r="442" customFormat="false" ht="19.5" hidden="false" customHeight="true" outlineLevel="0" collapsed="false">
      <c r="A442" s="26" t="n">
        <v>3029</v>
      </c>
      <c r="B442" s="27" t="s">
        <v>1600</v>
      </c>
      <c r="C442" s="30" t="s">
        <v>1192</v>
      </c>
      <c r="D442" s="39" t="n">
        <v>0</v>
      </c>
      <c r="E442" s="30" t="s">
        <v>39</v>
      </c>
      <c r="F442" s="30" t="s">
        <v>39</v>
      </c>
      <c r="G442" s="27" t="s">
        <v>44</v>
      </c>
      <c r="H442" s="40" t="s">
        <v>44</v>
      </c>
      <c r="I442" s="27" t="s">
        <v>363</v>
      </c>
      <c r="J442" s="30" t="s">
        <v>360</v>
      </c>
      <c r="K442" s="30" t="s">
        <v>82</v>
      </c>
      <c r="L442" s="26" t="s">
        <v>51</v>
      </c>
      <c r="M442" s="27" t="s">
        <v>361</v>
      </c>
      <c r="N442" s="30" t="n">
        <v>28421</v>
      </c>
      <c r="O442" s="27" t="s">
        <v>344</v>
      </c>
      <c r="P442" s="26" t="n">
        <v>12225</v>
      </c>
      <c r="Q442" s="27" t="s">
        <v>1601</v>
      </c>
      <c r="R442" s="27" t="s">
        <v>702</v>
      </c>
      <c r="S442" s="27" t="s">
        <v>340</v>
      </c>
      <c r="T442" s="27" t="s">
        <v>341</v>
      </c>
      <c r="U442" s="27" t="s">
        <v>1602</v>
      </c>
    </row>
    <row r="443" customFormat="false" ht="19.5" hidden="false" customHeight="true" outlineLevel="0" collapsed="false">
      <c r="A443" s="19" t="n">
        <v>3030</v>
      </c>
      <c r="B443" s="15" t="s">
        <v>1603</v>
      </c>
      <c r="C443" s="17" t="s">
        <v>1192</v>
      </c>
      <c r="D443" s="16" t="n">
        <v>0</v>
      </c>
      <c r="E443" s="17" t="s">
        <v>39</v>
      </c>
      <c r="F443" s="17" t="s">
        <v>39</v>
      </c>
      <c r="G443" s="15" t="s">
        <v>315</v>
      </c>
      <c r="H443" s="18" t="s">
        <v>315</v>
      </c>
      <c r="I443" s="15" t="s">
        <v>351</v>
      </c>
      <c r="J443" s="17" t="s">
        <v>360</v>
      </c>
      <c r="K443" s="17" t="s">
        <v>82</v>
      </c>
      <c r="L443" s="19" t="s">
        <v>51</v>
      </c>
      <c r="M443" s="15" t="s">
        <v>361</v>
      </c>
      <c r="N443" s="17" t="n">
        <v>28421</v>
      </c>
      <c r="O443" s="15" t="s">
        <v>344</v>
      </c>
      <c r="P443" s="19" t="n">
        <v>28421</v>
      </c>
      <c r="Q443" s="15" t="s">
        <v>1421</v>
      </c>
      <c r="R443" s="15" t="s">
        <v>648</v>
      </c>
      <c r="S443" s="15" t="s">
        <v>340</v>
      </c>
      <c r="T443" s="15" t="s">
        <v>341</v>
      </c>
      <c r="U443" s="15" t="s">
        <v>1422</v>
      </c>
    </row>
    <row r="444" customFormat="false" ht="19.5" hidden="false" customHeight="true" outlineLevel="0" collapsed="false">
      <c r="A444" s="26" t="n">
        <v>3031</v>
      </c>
      <c r="B444" s="27" t="s">
        <v>1604</v>
      </c>
      <c r="C444" s="30" t="s">
        <v>1192</v>
      </c>
      <c r="D444" s="39" t="n">
        <v>0</v>
      </c>
      <c r="E444" s="30" t="s">
        <v>39</v>
      </c>
      <c r="F444" s="30" t="s">
        <v>39</v>
      </c>
      <c r="G444" s="27" t="s">
        <v>534</v>
      </c>
      <c r="H444" s="40" t="s">
        <v>534</v>
      </c>
      <c r="I444" s="27" t="s">
        <v>413</v>
      </c>
      <c r="J444" s="30" t="s">
        <v>336</v>
      </c>
      <c r="K444" s="30" t="s">
        <v>82</v>
      </c>
      <c r="L444" s="26" t="s">
        <v>111</v>
      </c>
      <c r="M444" s="27" t="s">
        <v>352</v>
      </c>
      <c r="N444" s="30" t="n">
        <v>28421</v>
      </c>
      <c r="O444" s="27" t="s">
        <v>344</v>
      </c>
      <c r="P444" s="26" t="n">
        <v>26017</v>
      </c>
      <c r="Q444" s="27" t="s">
        <v>1605</v>
      </c>
      <c r="R444" s="27" t="s">
        <v>702</v>
      </c>
      <c r="S444" s="27" t="s">
        <v>340</v>
      </c>
      <c r="T444" s="27" t="s">
        <v>341</v>
      </c>
      <c r="U444" s="27" t="s">
        <v>1606</v>
      </c>
    </row>
    <row r="445" customFormat="false" ht="19.5" hidden="false" customHeight="true" outlineLevel="0" collapsed="false">
      <c r="A445" s="19" t="n">
        <v>3032</v>
      </c>
      <c r="B445" s="15" t="s">
        <v>1607</v>
      </c>
      <c r="C445" s="17" t="s">
        <v>1192</v>
      </c>
      <c r="D445" s="16" t="n">
        <v>0</v>
      </c>
      <c r="E445" s="17" t="s">
        <v>63</v>
      </c>
      <c r="F445" s="17" t="s">
        <v>63</v>
      </c>
      <c r="G445" s="15" t="s">
        <v>359</v>
      </c>
      <c r="H445" s="18" t="s">
        <v>359</v>
      </c>
      <c r="I445" s="15" t="s">
        <v>363</v>
      </c>
      <c r="J445" s="17" t="s">
        <v>336</v>
      </c>
      <c r="K445" s="17" t="s">
        <v>82</v>
      </c>
      <c r="L445" s="19" t="s">
        <v>82</v>
      </c>
      <c r="M445" s="15" t="s">
        <v>352</v>
      </c>
      <c r="N445" s="17" t="n">
        <v>1218</v>
      </c>
      <c r="O445" s="15" t="s">
        <v>344</v>
      </c>
      <c r="P445" s="19" t="n">
        <v>1218</v>
      </c>
      <c r="Q445" s="15" t="s">
        <v>1608</v>
      </c>
      <c r="R445" s="15" t="s">
        <v>648</v>
      </c>
      <c r="S445" s="15" t="s">
        <v>340</v>
      </c>
      <c r="T445" s="15" t="s">
        <v>341</v>
      </c>
      <c r="U445" s="15" t="s">
        <v>1609</v>
      </c>
    </row>
    <row r="446" customFormat="false" ht="19.5" hidden="false" customHeight="true" outlineLevel="0" collapsed="false">
      <c r="A446" s="26" t="n">
        <v>3035</v>
      </c>
      <c r="B446" s="27" t="s">
        <v>1610</v>
      </c>
      <c r="C446" s="30" t="s">
        <v>1611</v>
      </c>
      <c r="D446" s="39" t="n">
        <v>1</v>
      </c>
      <c r="E446" s="30" t="s">
        <v>39</v>
      </c>
      <c r="F446" s="30" t="s">
        <v>39</v>
      </c>
      <c r="G446" s="27" t="s">
        <v>408</v>
      </c>
      <c r="H446" s="40" t="s">
        <v>408</v>
      </c>
      <c r="I446" s="27" t="s">
        <v>356</v>
      </c>
      <c r="J446" s="30" t="s">
        <v>336</v>
      </c>
      <c r="K446" s="30" t="s">
        <v>409</v>
      </c>
      <c r="L446" s="26" t="s">
        <v>409</v>
      </c>
      <c r="M446" s="27" t="s">
        <v>343</v>
      </c>
      <c r="N446" s="30" t="n">
        <v>39617</v>
      </c>
      <c r="O446" s="27" t="s">
        <v>344</v>
      </c>
      <c r="P446" s="26" t="n">
        <v>39617</v>
      </c>
      <c r="Q446" s="27" t="s">
        <v>1592</v>
      </c>
      <c r="R446" s="27" t="s">
        <v>648</v>
      </c>
      <c r="S446" s="27" t="s">
        <v>345</v>
      </c>
      <c r="T446" s="27" t="s">
        <v>341</v>
      </c>
      <c r="U446" s="27" t="s">
        <v>1593</v>
      </c>
    </row>
    <row r="447" customFormat="false" ht="19.5" hidden="false" customHeight="true" outlineLevel="0" collapsed="false">
      <c r="A447" s="19" t="n">
        <v>3043</v>
      </c>
      <c r="B447" s="15" t="s">
        <v>1612</v>
      </c>
      <c r="C447" s="17" t="s">
        <v>260</v>
      </c>
      <c r="D447" s="16" t="n">
        <v>5</v>
      </c>
      <c r="E447" s="17" t="s">
        <v>39</v>
      </c>
      <c r="F447" s="17" t="s">
        <v>39</v>
      </c>
      <c r="G447" s="15" t="s">
        <v>110</v>
      </c>
      <c r="H447" s="18" t="s">
        <v>110</v>
      </c>
      <c r="I447" s="15" t="s">
        <v>342</v>
      </c>
      <c r="J447" s="17" t="s">
        <v>336</v>
      </c>
      <c r="K447" s="17" t="s">
        <v>111</v>
      </c>
      <c r="L447" s="19" t="s">
        <v>111</v>
      </c>
      <c r="M447" s="15" t="s">
        <v>343</v>
      </c>
      <c r="N447" s="17" t="n">
        <v>1223</v>
      </c>
      <c r="O447" s="15" t="s">
        <v>344</v>
      </c>
      <c r="P447" s="19" t="n">
        <v>1223</v>
      </c>
      <c r="Q447" s="15" t="s">
        <v>1613</v>
      </c>
      <c r="R447" s="15" t="s">
        <v>648</v>
      </c>
      <c r="S447" s="15" t="s">
        <v>345</v>
      </c>
      <c r="T447" s="15" t="s">
        <v>341</v>
      </c>
      <c r="U447" s="15" t="s">
        <v>1614</v>
      </c>
    </row>
    <row r="448" customFormat="false" ht="19.5" hidden="false" customHeight="true" outlineLevel="0" collapsed="false">
      <c r="A448" s="26" t="n">
        <v>3044</v>
      </c>
      <c r="B448" s="27" t="s">
        <v>1615</v>
      </c>
      <c r="C448" s="30" t="s">
        <v>1230</v>
      </c>
      <c r="D448" s="39" t="n">
        <v>20</v>
      </c>
      <c r="E448" s="30" t="s">
        <v>39</v>
      </c>
      <c r="F448" s="30" t="s">
        <v>39</v>
      </c>
      <c r="G448" s="27" t="s">
        <v>110</v>
      </c>
      <c r="H448" s="40" t="s">
        <v>110</v>
      </c>
      <c r="I448" s="27" t="s">
        <v>342</v>
      </c>
      <c r="J448" s="30" t="s">
        <v>336</v>
      </c>
      <c r="K448" s="30" t="s">
        <v>111</v>
      </c>
      <c r="L448" s="26" t="s">
        <v>111</v>
      </c>
      <c r="M448" s="27" t="s">
        <v>343</v>
      </c>
      <c r="N448" s="30" t="n">
        <v>1223</v>
      </c>
      <c r="O448" s="27" t="s">
        <v>344</v>
      </c>
      <c r="P448" s="26" t="n">
        <v>1223</v>
      </c>
      <c r="Q448" s="27" t="s">
        <v>1613</v>
      </c>
      <c r="R448" s="27" t="s">
        <v>648</v>
      </c>
      <c r="S448" s="27" t="s">
        <v>345</v>
      </c>
      <c r="T448" s="27" t="s">
        <v>341</v>
      </c>
      <c r="U448" s="27" t="s">
        <v>1614</v>
      </c>
    </row>
    <row r="449" customFormat="false" ht="19.5" hidden="false" customHeight="true" outlineLevel="0" collapsed="false">
      <c r="A449" s="19" t="n">
        <v>3045</v>
      </c>
      <c r="B449" s="15" t="s">
        <v>1616</v>
      </c>
      <c r="C449" s="17" t="s">
        <v>287</v>
      </c>
      <c r="D449" s="16" t="n">
        <v>10</v>
      </c>
      <c r="E449" s="17" t="s">
        <v>63</v>
      </c>
      <c r="F449" s="17" t="s">
        <v>63</v>
      </c>
      <c r="G449" s="15" t="s">
        <v>145</v>
      </c>
      <c r="H449" s="18" t="s">
        <v>145</v>
      </c>
      <c r="I449" s="15" t="s">
        <v>342</v>
      </c>
      <c r="J449" s="17" t="s">
        <v>336</v>
      </c>
      <c r="K449" s="17" t="s">
        <v>146</v>
      </c>
      <c r="L449" s="19" t="s">
        <v>146</v>
      </c>
      <c r="M449" s="15" t="s">
        <v>343</v>
      </c>
      <c r="N449" s="17" t="n">
        <v>5217</v>
      </c>
      <c r="O449" s="15" t="s">
        <v>344</v>
      </c>
      <c r="P449" s="19" t="n">
        <v>5217</v>
      </c>
      <c r="Q449" s="15" t="s">
        <v>705</v>
      </c>
      <c r="R449" s="15" t="s">
        <v>648</v>
      </c>
      <c r="S449" s="15" t="s">
        <v>345</v>
      </c>
      <c r="T449" s="15" t="s">
        <v>341</v>
      </c>
      <c r="U449" s="15" t="s">
        <v>706</v>
      </c>
    </row>
    <row r="450" customFormat="false" ht="19.5" hidden="false" customHeight="true" outlineLevel="0" collapsed="false">
      <c r="A450" s="26" t="n">
        <v>3046</v>
      </c>
      <c r="B450" s="27" t="s">
        <v>1617</v>
      </c>
      <c r="C450" s="30" t="s">
        <v>1230</v>
      </c>
      <c r="D450" s="39" t="n">
        <v>20</v>
      </c>
      <c r="E450" s="30" t="s">
        <v>39</v>
      </c>
      <c r="F450" s="30" t="s">
        <v>39</v>
      </c>
      <c r="G450" s="27" t="s">
        <v>315</v>
      </c>
      <c r="H450" s="40" t="s">
        <v>315</v>
      </c>
      <c r="I450" s="27" t="s">
        <v>355</v>
      </c>
      <c r="J450" s="30" t="s">
        <v>360</v>
      </c>
      <c r="K450" s="30" t="s">
        <v>51</v>
      </c>
      <c r="L450" s="26" t="s">
        <v>51</v>
      </c>
      <c r="M450" s="27" t="s">
        <v>361</v>
      </c>
      <c r="N450" s="30" t="n">
        <v>22225</v>
      </c>
      <c r="O450" s="27" t="s">
        <v>344</v>
      </c>
      <c r="P450" s="26" t="n">
        <v>22225</v>
      </c>
      <c r="Q450" s="27" t="s">
        <v>1618</v>
      </c>
      <c r="R450" s="27" t="s">
        <v>648</v>
      </c>
      <c r="S450" s="27" t="s">
        <v>345</v>
      </c>
      <c r="T450" s="27" t="s">
        <v>341</v>
      </c>
      <c r="U450" s="27" t="s">
        <v>1619</v>
      </c>
    </row>
    <row r="451" customFormat="false" ht="19.5" hidden="false" customHeight="true" outlineLevel="0" collapsed="false">
      <c r="A451" s="19" t="n">
        <v>3048</v>
      </c>
      <c r="B451" s="15" t="s">
        <v>1620</v>
      </c>
      <c r="C451" s="17" t="s">
        <v>263</v>
      </c>
      <c r="D451" s="16" t="n">
        <v>20</v>
      </c>
      <c r="E451" s="17" t="s">
        <v>39</v>
      </c>
      <c r="F451" s="17" t="s">
        <v>39</v>
      </c>
      <c r="G451" s="15" t="s">
        <v>429</v>
      </c>
      <c r="H451" s="18" t="s">
        <v>429</v>
      </c>
      <c r="I451" s="15" t="s">
        <v>356</v>
      </c>
      <c r="J451" s="17" t="s">
        <v>336</v>
      </c>
      <c r="K451" s="17" t="s">
        <v>82</v>
      </c>
      <c r="L451" s="19" t="s">
        <v>82</v>
      </c>
      <c r="M451" s="15" t="s">
        <v>343</v>
      </c>
      <c r="N451" s="17" t="n">
        <v>26924</v>
      </c>
      <c r="O451" s="15" t="s">
        <v>344</v>
      </c>
      <c r="P451" s="19" t="n">
        <v>26924</v>
      </c>
      <c r="Q451" s="15" t="s">
        <v>1621</v>
      </c>
      <c r="R451" s="15" t="s">
        <v>648</v>
      </c>
      <c r="S451" s="15" t="s">
        <v>345</v>
      </c>
      <c r="T451" s="15" t="s">
        <v>341</v>
      </c>
      <c r="U451" s="15" t="s">
        <v>1622</v>
      </c>
    </row>
    <row r="452" customFormat="false" ht="19.5" hidden="false" customHeight="true" outlineLevel="0" collapsed="false">
      <c r="A452" s="26" t="n">
        <v>3049</v>
      </c>
      <c r="B452" s="27" t="s">
        <v>1623</v>
      </c>
      <c r="C452" s="30" t="s">
        <v>1402</v>
      </c>
      <c r="D452" s="39" t="n">
        <v>1000</v>
      </c>
      <c r="E452" s="30" t="s">
        <v>1403</v>
      </c>
      <c r="F452" s="30" t="s">
        <v>1403</v>
      </c>
      <c r="G452" s="27" t="s">
        <v>127</v>
      </c>
      <c r="H452" s="40" t="s">
        <v>127</v>
      </c>
      <c r="I452" s="27" t="s">
        <v>494</v>
      </c>
      <c r="J452" s="30" t="s">
        <v>336</v>
      </c>
      <c r="K452" s="30" t="s">
        <v>128</v>
      </c>
      <c r="L452" s="26" t="s">
        <v>128</v>
      </c>
      <c r="M452" s="27" t="s">
        <v>349</v>
      </c>
      <c r="N452" s="30" t="n">
        <v>0</v>
      </c>
      <c r="O452" s="27" t="s">
        <v>339</v>
      </c>
      <c r="P452" s="26" t="s">
        <v>690</v>
      </c>
      <c r="Q452" s="27" t="s">
        <v>691</v>
      </c>
      <c r="R452" s="27" t="s">
        <v>692</v>
      </c>
      <c r="S452" s="27" t="s">
        <v>345</v>
      </c>
      <c r="T452" s="27" t="s">
        <v>341</v>
      </c>
      <c r="U452" s="27" t="s">
        <v>693</v>
      </c>
    </row>
    <row r="453" customFormat="false" ht="19.5" hidden="false" customHeight="true" outlineLevel="0" collapsed="false">
      <c r="A453" s="19" t="n">
        <v>3053</v>
      </c>
      <c r="B453" s="15" t="s">
        <v>1624</v>
      </c>
      <c r="C453" s="17" t="s">
        <v>263</v>
      </c>
      <c r="D453" s="16" t="n">
        <v>20</v>
      </c>
      <c r="E453" s="17" t="s">
        <v>39</v>
      </c>
      <c r="F453" s="17" t="s">
        <v>39</v>
      </c>
      <c r="G453" s="15" t="s">
        <v>429</v>
      </c>
      <c r="H453" s="18" t="s">
        <v>429</v>
      </c>
      <c r="I453" s="15" t="s">
        <v>356</v>
      </c>
      <c r="J453" s="17" t="s">
        <v>336</v>
      </c>
      <c r="K453" s="17" t="s">
        <v>82</v>
      </c>
      <c r="L453" s="19" t="s">
        <v>82</v>
      </c>
      <c r="M453" s="15" t="s">
        <v>343</v>
      </c>
      <c r="N453" s="17" t="n">
        <v>40624</v>
      </c>
      <c r="O453" s="15" t="s">
        <v>344</v>
      </c>
      <c r="P453" s="19" t="n">
        <v>40624</v>
      </c>
      <c r="Q453" s="15" t="s">
        <v>1588</v>
      </c>
      <c r="R453" s="15" t="s">
        <v>648</v>
      </c>
      <c r="S453" s="15" t="s">
        <v>345</v>
      </c>
      <c r="T453" s="15" t="s">
        <v>341</v>
      </c>
      <c r="U453" s="15" t="s">
        <v>1589</v>
      </c>
    </row>
    <row r="454" customFormat="false" ht="19.5" hidden="false" customHeight="true" outlineLevel="0" collapsed="false">
      <c r="A454" s="26" t="n">
        <v>3057</v>
      </c>
      <c r="B454" s="27" t="s">
        <v>1625</v>
      </c>
      <c r="C454" s="30" t="s">
        <v>263</v>
      </c>
      <c r="D454" s="39" t="n">
        <v>20</v>
      </c>
      <c r="E454" s="30" t="s">
        <v>39</v>
      </c>
      <c r="F454" s="30" t="s">
        <v>39</v>
      </c>
      <c r="G454" s="27" t="s">
        <v>501</v>
      </c>
      <c r="H454" s="40" t="s">
        <v>501</v>
      </c>
      <c r="I454" s="27" t="s">
        <v>342</v>
      </c>
      <c r="J454" s="30" t="s">
        <v>336</v>
      </c>
      <c r="K454" s="30" t="s">
        <v>136</v>
      </c>
      <c r="L454" s="26" t="s">
        <v>136</v>
      </c>
      <c r="M454" s="27" t="s">
        <v>343</v>
      </c>
      <c r="N454" s="30" t="n">
        <v>6223</v>
      </c>
      <c r="O454" s="27" t="s">
        <v>344</v>
      </c>
      <c r="P454" s="26" t="n">
        <v>6223</v>
      </c>
      <c r="Q454" s="27" t="s">
        <v>1626</v>
      </c>
      <c r="R454" s="27" t="s">
        <v>648</v>
      </c>
      <c r="S454" s="27" t="s">
        <v>345</v>
      </c>
      <c r="T454" s="27" t="s">
        <v>341</v>
      </c>
      <c r="U454" s="27" t="s">
        <v>1627</v>
      </c>
    </row>
    <row r="455" customFormat="false" ht="19.5" hidden="false" customHeight="true" outlineLevel="0" collapsed="false">
      <c r="A455" s="19" t="n">
        <v>3066</v>
      </c>
      <c r="B455" s="15" t="s">
        <v>1628</v>
      </c>
      <c r="C455" s="17" t="s">
        <v>263</v>
      </c>
      <c r="D455" s="16" t="n">
        <v>20</v>
      </c>
      <c r="E455" s="17" t="s">
        <v>39</v>
      </c>
      <c r="F455" s="17" t="s">
        <v>39</v>
      </c>
      <c r="G455" s="15" t="s">
        <v>44</v>
      </c>
      <c r="H455" s="18" t="s">
        <v>44</v>
      </c>
      <c r="I455" s="15" t="s">
        <v>356</v>
      </c>
      <c r="J455" s="17" t="s">
        <v>360</v>
      </c>
      <c r="K455" s="17" t="s">
        <v>51</v>
      </c>
      <c r="L455" s="19" t="s">
        <v>51</v>
      </c>
      <c r="M455" s="15" t="s">
        <v>361</v>
      </c>
      <c r="N455" s="17" t="n">
        <v>12225</v>
      </c>
      <c r="O455" s="15" t="s">
        <v>344</v>
      </c>
      <c r="P455" s="19" t="n">
        <v>12225</v>
      </c>
      <c r="Q455" s="15" t="s">
        <v>1629</v>
      </c>
      <c r="R455" s="15" t="s">
        <v>648</v>
      </c>
      <c r="S455" s="15" t="s">
        <v>345</v>
      </c>
      <c r="T455" s="15" t="s">
        <v>341</v>
      </c>
      <c r="U455" s="15" t="s">
        <v>1630</v>
      </c>
    </row>
    <row r="456" customFormat="false" ht="19.5" hidden="false" customHeight="true" outlineLevel="0" collapsed="false">
      <c r="A456" s="26" t="n">
        <v>3067</v>
      </c>
      <c r="B456" s="27" t="s">
        <v>1631</v>
      </c>
      <c r="C456" s="30" t="s">
        <v>260</v>
      </c>
      <c r="D456" s="39" t="n">
        <v>5</v>
      </c>
      <c r="E456" s="30" t="s">
        <v>39</v>
      </c>
      <c r="F456" s="30" t="s">
        <v>39</v>
      </c>
      <c r="G456" s="27" t="s">
        <v>70</v>
      </c>
      <c r="H456" s="40" t="s">
        <v>70</v>
      </c>
      <c r="I456" s="27" t="s">
        <v>355</v>
      </c>
      <c r="J456" s="30" t="s">
        <v>360</v>
      </c>
      <c r="K456" s="30" t="s">
        <v>48</v>
      </c>
      <c r="L456" s="26" t="s">
        <v>48</v>
      </c>
      <c r="M456" s="27" t="s">
        <v>361</v>
      </c>
      <c r="N456" s="30" t="n">
        <v>6922</v>
      </c>
      <c r="O456" s="27" t="s">
        <v>344</v>
      </c>
      <c r="P456" s="26" t="n">
        <v>6922</v>
      </c>
      <c r="Q456" s="27" t="s">
        <v>943</v>
      </c>
      <c r="R456" s="27" t="s">
        <v>648</v>
      </c>
      <c r="S456" s="27" t="s">
        <v>345</v>
      </c>
      <c r="T456" s="27" t="s">
        <v>341</v>
      </c>
      <c r="U456" s="27" t="s">
        <v>1632</v>
      </c>
    </row>
    <row r="457" customFormat="false" ht="19.5" hidden="false" customHeight="true" outlineLevel="0" collapsed="false">
      <c r="A457" s="19" t="n">
        <v>3068</v>
      </c>
      <c r="B457" s="15" t="s">
        <v>69</v>
      </c>
      <c r="C457" s="17" t="s">
        <v>279</v>
      </c>
      <c r="D457" s="16" t="n">
        <v>10</v>
      </c>
      <c r="E457" s="17" t="s">
        <v>39</v>
      </c>
      <c r="F457" s="17" t="s">
        <v>39</v>
      </c>
      <c r="G457" s="15" t="s">
        <v>70</v>
      </c>
      <c r="H457" s="18" t="s">
        <v>70</v>
      </c>
      <c r="I457" s="15" t="s">
        <v>355</v>
      </c>
      <c r="J457" s="17" t="s">
        <v>360</v>
      </c>
      <c r="K457" s="17" t="s">
        <v>48</v>
      </c>
      <c r="L457" s="19" t="s">
        <v>51</v>
      </c>
      <c r="M457" s="15" t="s">
        <v>361</v>
      </c>
      <c r="N457" s="17" t="n">
        <v>6922</v>
      </c>
      <c r="O457" s="15" t="s">
        <v>344</v>
      </c>
      <c r="P457" s="19" t="n">
        <v>6922</v>
      </c>
      <c r="Q457" s="15" t="s">
        <v>943</v>
      </c>
      <c r="R457" s="15" t="s">
        <v>648</v>
      </c>
      <c r="S457" s="15" t="s">
        <v>345</v>
      </c>
      <c r="T457" s="15" t="s">
        <v>341</v>
      </c>
      <c r="U457" s="15" t="s">
        <v>1632</v>
      </c>
    </row>
    <row r="458" customFormat="false" ht="19.5" hidden="false" customHeight="true" outlineLevel="0" collapsed="false">
      <c r="A458" s="26" t="n">
        <v>3069</v>
      </c>
      <c r="B458" s="27" t="s">
        <v>1633</v>
      </c>
      <c r="C458" s="30" t="s">
        <v>1230</v>
      </c>
      <c r="D458" s="39" t="n">
        <v>20</v>
      </c>
      <c r="E458" s="30" t="s">
        <v>39</v>
      </c>
      <c r="F458" s="30" t="s">
        <v>39</v>
      </c>
      <c r="G458" s="27" t="s">
        <v>501</v>
      </c>
      <c r="H458" s="40" t="s">
        <v>501</v>
      </c>
      <c r="I458" s="27" t="s">
        <v>342</v>
      </c>
      <c r="J458" s="30" t="s">
        <v>336</v>
      </c>
      <c r="K458" s="30" t="s">
        <v>136</v>
      </c>
      <c r="L458" s="26" t="s">
        <v>136</v>
      </c>
      <c r="M458" s="27" t="s">
        <v>343</v>
      </c>
      <c r="N458" s="30" t="n">
        <v>6223</v>
      </c>
      <c r="O458" s="27" t="s">
        <v>344</v>
      </c>
      <c r="P458" s="26" t="n">
        <v>6223</v>
      </c>
      <c r="Q458" s="27" t="s">
        <v>1626</v>
      </c>
      <c r="R458" s="27" t="s">
        <v>648</v>
      </c>
      <c r="S458" s="27" t="s">
        <v>345</v>
      </c>
      <c r="T458" s="27" t="s">
        <v>341</v>
      </c>
      <c r="U458" s="27" t="s">
        <v>1627</v>
      </c>
    </row>
    <row r="459" customFormat="false" ht="19.5" hidden="false" customHeight="true" outlineLevel="0" collapsed="false">
      <c r="A459" s="19" t="n">
        <v>3070</v>
      </c>
      <c r="B459" s="15" t="s">
        <v>1634</v>
      </c>
      <c r="C459" s="17" t="s">
        <v>1230</v>
      </c>
      <c r="D459" s="16" t="n">
        <v>20</v>
      </c>
      <c r="E459" s="17" t="s">
        <v>39</v>
      </c>
      <c r="F459" s="17" t="s">
        <v>39</v>
      </c>
      <c r="G459" s="15" t="s">
        <v>485</v>
      </c>
      <c r="H459" s="18" t="s">
        <v>485</v>
      </c>
      <c r="I459" s="15" t="s">
        <v>342</v>
      </c>
      <c r="J459" s="17" t="s">
        <v>336</v>
      </c>
      <c r="K459" s="17" t="s">
        <v>111</v>
      </c>
      <c r="L459" s="19" t="s">
        <v>111</v>
      </c>
      <c r="M459" s="15" t="s">
        <v>343</v>
      </c>
      <c r="N459" s="17" t="n">
        <v>28120</v>
      </c>
      <c r="O459" s="15" t="s">
        <v>344</v>
      </c>
      <c r="P459" s="19" t="n">
        <v>28120</v>
      </c>
      <c r="Q459" s="15" t="s">
        <v>1635</v>
      </c>
      <c r="R459" s="15" t="s">
        <v>648</v>
      </c>
      <c r="S459" s="15" t="s">
        <v>345</v>
      </c>
      <c r="T459" s="15" t="s">
        <v>341</v>
      </c>
      <c r="U459" s="15" t="s">
        <v>1636</v>
      </c>
    </row>
    <row r="460" customFormat="false" ht="19.5" hidden="false" customHeight="true" outlineLevel="0" collapsed="false">
      <c r="A460" s="26" t="n">
        <v>3071</v>
      </c>
      <c r="B460" s="27" t="s">
        <v>1637</v>
      </c>
      <c r="C460" s="30" t="s">
        <v>263</v>
      </c>
      <c r="D460" s="39" t="n">
        <v>20</v>
      </c>
      <c r="E460" s="30" t="s">
        <v>39</v>
      </c>
      <c r="F460" s="30" t="s">
        <v>39</v>
      </c>
      <c r="G460" s="27" t="s">
        <v>599</v>
      </c>
      <c r="H460" s="40" t="s">
        <v>599</v>
      </c>
      <c r="I460" s="27" t="s">
        <v>342</v>
      </c>
      <c r="J460" s="30" t="s">
        <v>336</v>
      </c>
      <c r="K460" s="30" t="s">
        <v>111</v>
      </c>
      <c r="L460" s="26" t="s">
        <v>111</v>
      </c>
      <c r="M460" s="27" t="s">
        <v>343</v>
      </c>
      <c r="N460" s="30" t="n">
        <v>34122</v>
      </c>
      <c r="O460" s="27" t="s">
        <v>344</v>
      </c>
      <c r="P460" s="26" t="n">
        <v>34122</v>
      </c>
      <c r="Q460" s="27" t="s">
        <v>1006</v>
      </c>
      <c r="R460" s="27" t="s">
        <v>648</v>
      </c>
      <c r="S460" s="27" t="s">
        <v>345</v>
      </c>
      <c r="T460" s="27" t="s">
        <v>341</v>
      </c>
      <c r="U460" s="27" t="s">
        <v>1245</v>
      </c>
    </row>
    <row r="461" customFormat="false" ht="19.5" hidden="false" customHeight="true" outlineLevel="0" collapsed="false">
      <c r="A461" s="19" t="n">
        <v>3072</v>
      </c>
      <c r="B461" s="15" t="s">
        <v>1638</v>
      </c>
      <c r="C461" s="17" t="s">
        <v>260</v>
      </c>
      <c r="D461" s="16" t="n">
        <v>5</v>
      </c>
      <c r="E461" s="17" t="s">
        <v>39</v>
      </c>
      <c r="F461" s="17" t="s">
        <v>39</v>
      </c>
      <c r="G461" s="15" t="s">
        <v>70</v>
      </c>
      <c r="H461" s="18" t="s">
        <v>70</v>
      </c>
      <c r="I461" s="15" t="s">
        <v>355</v>
      </c>
      <c r="J461" s="17" t="s">
        <v>360</v>
      </c>
      <c r="K461" s="17" t="s">
        <v>48</v>
      </c>
      <c r="L461" s="19" t="s">
        <v>48</v>
      </c>
      <c r="M461" s="15" t="s">
        <v>361</v>
      </c>
      <c r="N461" s="17" t="n">
        <v>6922</v>
      </c>
      <c r="O461" s="15" t="s">
        <v>344</v>
      </c>
      <c r="P461" s="19" t="n">
        <v>6922</v>
      </c>
      <c r="Q461" s="15" t="s">
        <v>943</v>
      </c>
      <c r="R461" s="15" t="s">
        <v>648</v>
      </c>
      <c r="S461" s="15" t="s">
        <v>345</v>
      </c>
      <c r="T461" s="15" t="s">
        <v>341</v>
      </c>
      <c r="U461" s="15" t="s">
        <v>1632</v>
      </c>
    </row>
    <row r="462" customFormat="false" ht="19.5" hidden="false" customHeight="true" outlineLevel="0" collapsed="false">
      <c r="A462" s="26" t="n">
        <v>3073</v>
      </c>
      <c r="B462" s="27" t="s">
        <v>1639</v>
      </c>
      <c r="C462" s="30" t="s">
        <v>272</v>
      </c>
      <c r="D462" s="39" t="n">
        <v>5</v>
      </c>
      <c r="E462" s="30" t="s">
        <v>63</v>
      </c>
      <c r="F462" s="30" t="s">
        <v>63</v>
      </c>
      <c r="G462" s="27" t="s">
        <v>365</v>
      </c>
      <c r="H462" s="40" t="s">
        <v>365</v>
      </c>
      <c r="I462" s="27" t="s">
        <v>356</v>
      </c>
      <c r="J462" s="30" t="s">
        <v>336</v>
      </c>
      <c r="K462" s="30" t="s">
        <v>82</v>
      </c>
      <c r="L462" s="26" t="s">
        <v>82</v>
      </c>
      <c r="M462" s="27" t="s">
        <v>343</v>
      </c>
      <c r="N462" s="30" t="n">
        <v>27323</v>
      </c>
      <c r="O462" s="27" t="s">
        <v>344</v>
      </c>
      <c r="P462" s="26" t="n">
        <v>27323</v>
      </c>
      <c r="Q462" s="27" t="s">
        <v>1148</v>
      </c>
      <c r="R462" s="27" t="s">
        <v>648</v>
      </c>
      <c r="S462" s="27" t="s">
        <v>345</v>
      </c>
      <c r="T462" s="27" t="s">
        <v>341</v>
      </c>
      <c r="U462" s="27" t="s">
        <v>1149</v>
      </c>
    </row>
    <row r="463" customFormat="false" ht="19.5" hidden="false" customHeight="true" outlineLevel="0" collapsed="false">
      <c r="A463" s="19" t="n">
        <v>3074</v>
      </c>
      <c r="B463" s="15" t="s">
        <v>1640</v>
      </c>
      <c r="C463" s="17" t="s">
        <v>263</v>
      </c>
      <c r="D463" s="16" t="n">
        <v>20</v>
      </c>
      <c r="E463" s="17" t="s">
        <v>39</v>
      </c>
      <c r="F463" s="17" t="s">
        <v>39</v>
      </c>
      <c r="G463" s="15" t="s">
        <v>429</v>
      </c>
      <c r="H463" s="18" t="s">
        <v>429</v>
      </c>
      <c r="I463" s="15" t="s">
        <v>356</v>
      </c>
      <c r="J463" s="17" t="s">
        <v>336</v>
      </c>
      <c r="K463" s="17" t="s">
        <v>82</v>
      </c>
      <c r="L463" s="19" t="s">
        <v>82</v>
      </c>
      <c r="M463" s="15" t="s">
        <v>343</v>
      </c>
      <c r="N463" s="17" t="n">
        <v>45419</v>
      </c>
      <c r="O463" s="15" t="s">
        <v>344</v>
      </c>
      <c r="P463" s="19" t="n">
        <v>45419</v>
      </c>
      <c r="Q463" s="15" t="s">
        <v>1641</v>
      </c>
      <c r="R463" s="15" t="s">
        <v>648</v>
      </c>
      <c r="S463" s="15" t="s">
        <v>345</v>
      </c>
      <c r="T463" s="15" t="s">
        <v>341</v>
      </c>
      <c r="U463" s="15" t="s">
        <v>1642</v>
      </c>
    </row>
    <row r="464" customFormat="false" ht="19.5" hidden="false" customHeight="true" outlineLevel="0" collapsed="false">
      <c r="A464" s="26" t="n">
        <v>3075</v>
      </c>
      <c r="B464" s="27" t="s">
        <v>98</v>
      </c>
      <c r="C464" s="30" t="s">
        <v>260</v>
      </c>
      <c r="D464" s="39" t="n">
        <v>5</v>
      </c>
      <c r="E464" s="30" t="s">
        <v>39</v>
      </c>
      <c r="F464" s="30" t="s">
        <v>63</v>
      </c>
      <c r="G464" s="27" t="s">
        <v>99</v>
      </c>
      <c r="H464" s="40" t="s">
        <v>99</v>
      </c>
      <c r="I464" s="27" t="s">
        <v>355</v>
      </c>
      <c r="J464" s="30" t="s">
        <v>336</v>
      </c>
      <c r="K464" s="30" t="s">
        <v>82</v>
      </c>
      <c r="L464" s="26" t="s">
        <v>82</v>
      </c>
      <c r="M464" s="27" t="s">
        <v>343</v>
      </c>
      <c r="N464" s="30" t="n">
        <v>33424</v>
      </c>
      <c r="O464" s="27" t="s">
        <v>344</v>
      </c>
      <c r="P464" s="26" t="n">
        <v>33424</v>
      </c>
      <c r="Q464" s="27" t="s">
        <v>1643</v>
      </c>
      <c r="R464" s="27" t="s">
        <v>648</v>
      </c>
      <c r="S464" s="27" t="s">
        <v>345</v>
      </c>
      <c r="T464" s="27" t="s">
        <v>341</v>
      </c>
      <c r="U464" s="27" t="s">
        <v>1644</v>
      </c>
    </row>
    <row r="465" customFormat="false" ht="19.5" hidden="false" customHeight="true" outlineLevel="0" collapsed="false">
      <c r="A465" s="19" t="n">
        <v>3076</v>
      </c>
      <c r="B465" s="15" t="s">
        <v>1645</v>
      </c>
      <c r="C465" s="17" t="s">
        <v>260</v>
      </c>
      <c r="D465" s="16" t="n">
        <v>5</v>
      </c>
      <c r="E465" s="17" t="s">
        <v>39</v>
      </c>
      <c r="F465" s="17" t="s">
        <v>39</v>
      </c>
      <c r="G465" s="15" t="s">
        <v>99</v>
      </c>
      <c r="H465" s="18" t="s">
        <v>99</v>
      </c>
      <c r="I465" s="15" t="s">
        <v>355</v>
      </c>
      <c r="J465" s="17" t="s">
        <v>336</v>
      </c>
      <c r="K465" s="17" t="s">
        <v>82</v>
      </c>
      <c r="L465" s="19" t="s">
        <v>82</v>
      </c>
      <c r="M465" s="15" t="s">
        <v>343</v>
      </c>
      <c r="N465" s="17" t="n">
        <v>37624</v>
      </c>
      <c r="O465" s="15" t="s">
        <v>344</v>
      </c>
      <c r="P465" s="19" t="n">
        <v>37624</v>
      </c>
      <c r="Q465" s="15" t="s">
        <v>1646</v>
      </c>
      <c r="R465" s="15" t="s">
        <v>648</v>
      </c>
      <c r="S465" s="15" t="s">
        <v>345</v>
      </c>
      <c r="T465" s="15" t="s">
        <v>341</v>
      </c>
      <c r="U465" s="15" t="s">
        <v>1647</v>
      </c>
    </row>
    <row r="466" customFormat="false" ht="19.5" hidden="false" customHeight="true" outlineLevel="0" collapsed="false">
      <c r="A466" s="26" t="n">
        <v>3122</v>
      </c>
      <c r="B466" s="27" t="s">
        <v>1648</v>
      </c>
      <c r="C466" s="30" t="s">
        <v>263</v>
      </c>
      <c r="D466" s="39" t="n">
        <v>20</v>
      </c>
      <c r="E466" s="30" t="s">
        <v>39</v>
      </c>
      <c r="F466" s="30" t="s">
        <v>39</v>
      </c>
      <c r="G466" s="27" t="s">
        <v>599</v>
      </c>
      <c r="H466" s="40" t="s">
        <v>599</v>
      </c>
      <c r="I466" s="27" t="s">
        <v>342</v>
      </c>
      <c r="J466" s="30" t="s">
        <v>336</v>
      </c>
      <c r="K466" s="30" t="s">
        <v>111</v>
      </c>
      <c r="L466" s="26" t="s">
        <v>111</v>
      </c>
      <c r="M466" s="27" t="s">
        <v>343</v>
      </c>
      <c r="N466" s="30" t="n">
        <v>34122</v>
      </c>
      <c r="O466" s="27" t="s">
        <v>344</v>
      </c>
      <c r="P466" s="26" t="n">
        <v>34122</v>
      </c>
      <c r="Q466" s="27" t="s">
        <v>1006</v>
      </c>
      <c r="R466" s="27" t="s">
        <v>648</v>
      </c>
      <c r="S466" s="27" t="s">
        <v>345</v>
      </c>
      <c r="T466" s="27" t="s">
        <v>341</v>
      </c>
      <c r="U466" s="27" t="s">
        <v>1245</v>
      </c>
    </row>
    <row r="467" customFormat="false" ht="19.5" hidden="false" customHeight="true" outlineLevel="0" collapsed="false">
      <c r="A467" s="19" t="n">
        <v>3133</v>
      </c>
      <c r="B467" s="15" t="s">
        <v>1649</v>
      </c>
      <c r="C467" s="17" t="s">
        <v>1230</v>
      </c>
      <c r="D467" s="16" t="n">
        <v>20</v>
      </c>
      <c r="E467" s="17" t="s">
        <v>39</v>
      </c>
      <c r="F467" s="17" t="s">
        <v>39</v>
      </c>
      <c r="G467" s="15" t="s">
        <v>110</v>
      </c>
      <c r="H467" s="18" t="s">
        <v>110</v>
      </c>
      <c r="I467" s="15" t="s">
        <v>342</v>
      </c>
      <c r="J467" s="17" t="s">
        <v>336</v>
      </c>
      <c r="K467" s="17" t="s">
        <v>111</v>
      </c>
      <c r="L467" s="19" t="s">
        <v>111</v>
      </c>
      <c r="M467" s="15" t="s">
        <v>343</v>
      </c>
      <c r="N467" s="17" t="n">
        <v>1223</v>
      </c>
      <c r="O467" s="15" t="s">
        <v>344</v>
      </c>
      <c r="P467" s="19" t="n">
        <v>1223</v>
      </c>
      <c r="Q467" s="15" t="s">
        <v>1613</v>
      </c>
      <c r="R467" s="15" t="s">
        <v>648</v>
      </c>
      <c r="S467" s="15" t="s">
        <v>345</v>
      </c>
      <c r="T467" s="15" t="s">
        <v>341</v>
      </c>
      <c r="U467" s="15" t="s">
        <v>1614</v>
      </c>
    </row>
    <row r="468" customFormat="false" ht="19.5" hidden="false" customHeight="true" outlineLevel="0" collapsed="false">
      <c r="A468" s="26" t="n">
        <v>3134</v>
      </c>
      <c r="B468" s="27" t="s">
        <v>1650</v>
      </c>
      <c r="C468" s="30" t="s">
        <v>812</v>
      </c>
      <c r="D468" s="39" t="n">
        <v>20</v>
      </c>
      <c r="E468" s="30" t="s">
        <v>63</v>
      </c>
      <c r="F468" s="30" t="s">
        <v>63</v>
      </c>
      <c r="G468" s="27" t="s">
        <v>505</v>
      </c>
      <c r="H468" s="40" t="s">
        <v>505</v>
      </c>
      <c r="I468" s="27" t="s">
        <v>342</v>
      </c>
      <c r="J468" s="30" t="s">
        <v>336</v>
      </c>
      <c r="K468" s="30" t="s">
        <v>136</v>
      </c>
      <c r="L468" s="26" t="s">
        <v>136</v>
      </c>
      <c r="M468" s="27" t="s">
        <v>343</v>
      </c>
      <c r="N468" s="30" t="n">
        <v>13714</v>
      </c>
      <c r="O468" s="27" t="s">
        <v>344</v>
      </c>
      <c r="P468" s="26" t="n">
        <v>13714</v>
      </c>
      <c r="Q468" s="27" t="s">
        <v>813</v>
      </c>
      <c r="R468" s="27" t="s">
        <v>648</v>
      </c>
      <c r="S468" s="27" t="s">
        <v>345</v>
      </c>
      <c r="T468" s="27" t="s">
        <v>341</v>
      </c>
      <c r="U468" s="27" t="s">
        <v>814</v>
      </c>
    </row>
    <row r="469" customFormat="false" ht="19.5" hidden="false" customHeight="true" outlineLevel="0" collapsed="false">
      <c r="A469" s="19" t="n">
        <v>3140</v>
      </c>
      <c r="B469" s="15" t="s">
        <v>1651</v>
      </c>
      <c r="C469" s="17" t="s">
        <v>263</v>
      </c>
      <c r="D469" s="16" t="n">
        <v>20</v>
      </c>
      <c r="E469" s="17" t="s">
        <v>39</v>
      </c>
      <c r="F469" s="17" t="s">
        <v>39</v>
      </c>
      <c r="G469" s="15" t="s">
        <v>114</v>
      </c>
      <c r="H469" s="18" t="s">
        <v>114</v>
      </c>
      <c r="I469" s="15" t="s">
        <v>356</v>
      </c>
      <c r="J469" s="17" t="s">
        <v>336</v>
      </c>
      <c r="K469" s="17" t="s">
        <v>82</v>
      </c>
      <c r="L469" s="19" t="s">
        <v>82</v>
      </c>
      <c r="M469" s="15" t="s">
        <v>343</v>
      </c>
      <c r="N469" s="17" t="n">
        <v>32224</v>
      </c>
      <c r="O469" s="15" t="s">
        <v>344</v>
      </c>
      <c r="P469" s="19" t="n">
        <v>32224</v>
      </c>
      <c r="Q469" s="15" t="s">
        <v>1652</v>
      </c>
      <c r="R469" s="15" t="s">
        <v>648</v>
      </c>
      <c r="S469" s="15" t="s">
        <v>345</v>
      </c>
      <c r="T469" s="15" t="s">
        <v>341</v>
      </c>
      <c r="U469" s="15" t="s">
        <v>1653</v>
      </c>
    </row>
    <row r="470" customFormat="false" ht="19.5" hidden="false" customHeight="true" outlineLevel="0" collapsed="false">
      <c r="A470" s="26" t="n">
        <v>3159</v>
      </c>
      <c r="B470" s="27" t="s">
        <v>1654</v>
      </c>
      <c r="C470" s="30" t="s">
        <v>272</v>
      </c>
      <c r="D470" s="39" t="n">
        <v>5</v>
      </c>
      <c r="E470" s="30" t="s">
        <v>63</v>
      </c>
      <c r="F470" s="30" t="s">
        <v>63</v>
      </c>
      <c r="G470" s="27" t="s">
        <v>358</v>
      </c>
      <c r="H470" s="40" t="s">
        <v>358</v>
      </c>
      <c r="I470" s="27" t="s">
        <v>356</v>
      </c>
      <c r="J470" s="30" t="s">
        <v>336</v>
      </c>
      <c r="K470" s="30" t="s">
        <v>65</v>
      </c>
      <c r="L470" s="26" t="s">
        <v>65</v>
      </c>
      <c r="M470" s="27" t="s">
        <v>343</v>
      </c>
      <c r="N470" s="30" t="n">
        <v>15925</v>
      </c>
      <c r="O470" s="27" t="s">
        <v>344</v>
      </c>
      <c r="P470" s="26" t="n">
        <v>15925</v>
      </c>
      <c r="Q470" s="27" t="s">
        <v>1655</v>
      </c>
      <c r="R470" s="27" t="s">
        <v>648</v>
      </c>
      <c r="S470" s="27" t="s">
        <v>345</v>
      </c>
      <c r="T470" s="27" t="s">
        <v>341</v>
      </c>
      <c r="U470" s="27" t="s">
        <v>1656</v>
      </c>
    </row>
    <row r="471" customFormat="false" ht="19.5" hidden="false" customHeight="true" outlineLevel="0" collapsed="false">
      <c r="A471" s="19" t="n">
        <v>3172</v>
      </c>
      <c r="B471" s="15" t="s">
        <v>1657</v>
      </c>
      <c r="C471" s="17" t="s">
        <v>1402</v>
      </c>
      <c r="D471" s="16" t="n">
        <v>1000</v>
      </c>
      <c r="E471" s="17" t="s">
        <v>1403</v>
      </c>
      <c r="F471" s="17" t="s">
        <v>1403</v>
      </c>
      <c r="G471" s="15" t="s">
        <v>466</v>
      </c>
      <c r="H471" s="18" t="s">
        <v>466</v>
      </c>
      <c r="I471" s="15" t="s">
        <v>560</v>
      </c>
      <c r="J471" s="17" t="s">
        <v>336</v>
      </c>
      <c r="K471" s="17" t="s">
        <v>159</v>
      </c>
      <c r="L471" s="19" t="s">
        <v>159</v>
      </c>
      <c r="M471" s="15" t="s">
        <v>349</v>
      </c>
      <c r="N471" s="17" t="n">
        <v>0</v>
      </c>
      <c r="O471" s="15" t="s">
        <v>339</v>
      </c>
      <c r="P471" s="19" t="s">
        <v>690</v>
      </c>
      <c r="Q471" s="15" t="s">
        <v>691</v>
      </c>
      <c r="R471" s="15" t="s">
        <v>692</v>
      </c>
      <c r="S471" s="15" t="s">
        <v>345</v>
      </c>
      <c r="T471" s="15" t="s">
        <v>341</v>
      </c>
      <c r="U471" s="15" t="s">
        <v>693</v>
      </c>
    </row>
    <row r="472" customFormat="false" ht="19.5" hidden="false" customHeight="true" outlineLevel="0" collapsed="false">
      <c r="A472" s="26" t="n">
        <v>3173</v>
      </c>
      <c r="B472" s="27" t="s">
        <v>1658</v>
      </c>
      <c r="C472" s="30" t="s">
        <v>1402</v>
      </c>
      <c r="D472" s="39" t="n">
        <v>1000</v>
      </c>
      <c r="E472" s="30" t="s">
        <v>1403</v>
      </c>
      <c r="F472" s="30" t="s">
        <v>1403</v>
      </c>
      <c r="G472" s="27" t="s">
        <v>466</v>
      </c>
      <c r="H472" s="40" t="s">
        <v>466</v>
      </c>
      <c r="I472" s="27" t="s">
        <v>560</v>
      </c>
      <c r="J472" s="30" t="s">
        <v>336</v>
      </c>
      <c r="K472" s="30" t="s">
        <v>159</v>
      </c>
      <c r="L472" s="26" t="s">
        <v>159</v>
      </c>
      <c r="M472" s="27" t="s">
        <v>349</v>
      </c>
      <c r="N472" s="30" t="n">
        <v>0</v>
      </c>
      <c r="O472" s="27" t="s">
        <v>339</v>
      </c>
      <c r="P472" s="26" t="s">
        <v>690</v>
      </c>
      <c r="Q472" s="27" t="s">
        <v>691</v>
      </c>
      <c r="R472" s="27" t="s">
        <v>692</v>
      </c>
      <c r="S472" s="27" t="s">
        <v>345</v>
      </c>
      <c r="T472" s="27" t="s">
        <v>341</v>
      </c>
      <c r="U472" s="27" t="s">
        <v>693</v>
      </c>
    </row>
    <row r="473" customFormat="false" ht="19.5" hidden="false" customHeight="true" outlineLevel="0" collapsed="false">
      <c r="A473" s="19" t="n">
        <v>3174</v>
      </c>
      <c r="B473" s="15" t="s">
        <v>1659</v>
      </c>
      <c r="C473" s="17" t="s">
        <v>260</v>
      </c>
      <c r="D473" s="16" t="n">
        <v>5</v>
      </c>
      <c r="E473" s="17" t="s">
        <v>39</v>
      </c>
      <c r="F473" s="17" t="s">
        <v>39</v>
      </c>
      <c r="G473" s="15" t="s">
        <v>412</v>
      </c>
      <c r="H473" s="18" t="s">
        <v>412</v>
      </c>
      <c r="I473" s="15" t="s">
        <v>342</v>
      </c>
      <c r="J473" s="17" t="s">
        <v>336</v>
      </c>
      <c r="K473" s="17" t="s">
        <v>111</v>
      </c>
      <c r="L473" s="19" t="s">
        <v>111</v>
      </c>
      <c r="M473" s="15" t="s">
        <v>343</v>
      </c>
      <c r="N473" s="17" t="n">
        <v>23922</v>
      </c>
      <c r="O473" s="15" t="s">
        <v>344</v>
      </c>
      <c r="P473" s="19" t="n">
        <v>23922</v>
      </c>
      <c r="Q473" s="15" t="s">
        <v>1550</v>
      </c>
      <c r="R473" s="15" t="s">
        <v>648</v>
      </c>
      <c r="S473" s="15" t="s">
        <v>345</v>
      </c>
      <c r="T473" s="15" t="s">
        <v>341</v>
      </c>
      <c r="U473" s="15" t="s">
        <v>1551</v>
      </c>
    </row>
    <row r="474" customFormat="false" ht="19.5" hidden="false" customHeight="true" outlineLevel="0" collapsed="false">
      <c r="A474" s="26" t="n">
        <v>3175</v>
      </c>
      <c r="B474" s="27" t="s">
        <v>1660</v>
      </c>
      <c r="C474" s="30" t="s">
        <v>272</v>
      </c>
      <c r="D474" s="39" t="n">
        <v>5</v>
      </c>
      <c r="E474" s="30" t="s">
        <v>63</v>
      </c>
      <c r="F474" s="30" t="s">
        <v>63</v>
      </c>
      <c r="G474" s="27" t="s">
        <v>102</v>
      </c>
      <c r="H474" s="40" t="s">
        <v>102</v>
      </c>
      <c r="I474" s="27" t="s">
        <v>356</v>
      </c>
      <c r="J474" s="30" t="s">
        <v>336</v>
      </c>
      <c r="K474" s="30" t="s">
        <v>82</v>
      </c>
      <c r="L474" s="26" t="s">
        <v>82</v>
      </c>
      <c r="M474" s="27" t="s">
        <v>343</v>
      </c>
      <c r="N474" s="30" t="n">
        <v>31522</v>
      </c>
      <c r="O474" s="27" t="s">
        <v>344</v>
      </c>
      <c r="P474" s="26" t="n">
        <v>31522</v>
      </c>
      <c r="Q474" s="27" t="s">
        <v>876</v>
      </c>
      <c r="R474" s="27" t="s">
        <v>648</v>
      </c>
      <c r="S474" s="27" t="s">
        <v>345</v>
      </c>
      <c r="T474" s="27" t="s">
        <v>341</v>
      </c>
      <c r="U474" s="27" t="s">
        <v>877</v>
      </c>
    </row>
    <row r="475" customFormat="false" ht="19.5" hidden="false" customHeight="true" outlineLevel="0" collapsed="false">
      <c r="A475" s="19" t="n">
        <v>3177</v>
      </c>
      <c r="B475" s="15" t="s">
        <v>1661</v>
      </c>
      <c r="C475" s="17" t="s">
        <v>1402</v>
      </c>
      <c r="D475" s="16" t="n">
        <v>1000</v>
      </c>
      <c r="E475" s="17" t="s">
        <v>1403</v>
      </c>
      <c r="F475" s="17" t="s">
        <v>1403</v>
      </c>
      <c r="G475" s="15" t="s">
        <v>400</v>
      </c>
      <c r="H475" s="18" t="s">
        <v>400</v>
      </c>
      <c r="I475" s="15" t="s">
        <v>335</v>
      </c>
      <c r="J475" s="17" t="s">
        <v>336</v>
      </c>
      <c r="K475" s="17" t="s">
        <v>337</v>
      </c>
      <c r="L475" s="19" t="s">
        <v>337</v>
      </c>
      <c r="M475" s="15" t="s">
        <v>338</v>
      </c>
      <c r="N475" s="17" t="n">
        <v>0</v>
      </c>
      <c r="O475" s="15" t="s">
        <v>339</v>
      </c>
      <c r="P475" s="19" t="s">
        <v>690</v>
      </c>
      <c r="Q475" s="15" t="s">
        <v>691</v>
      </c>
      <c r="R475" s="15" t="s">
        <v>692</v>
      </c>
      <c r="S475" s="15" t="s">
        <v>340</v>
      </c>
      <c r="T475" s="15" t="s">
        <v>341</v>
      </c>
      <c r="U475" s="15" t="s">
        <v>942</v>
      </c>
    </row>
    <row r="476" customFormat="false" ht="19.5" hidden="false" customHeight="true" outlineLevel="0" collapsed="false">
      <c r="A476" s="26" t="n">
        <v>3178</v>
      </c>
      <c r="B476" s="27" t="s">
        <v>1662</v>
      </c>
      <c r="C476" s="30" t="s">
        <v>1402</v>
      </c>
      <c r="D476" s="39" t="n">
        <v>1000</v>
      </c>
      <c r="E476" s="30" t="s">
        <v>1403</v>
      </c>
      <c r="F476" s="30" t="s">
        <v>1403</v>
      </c>
      <c r="G476" s="27" t="s">
        <v>400</v>
      </c>
      <c r="H476" s="40" t="s">
        <v>400</v>
      </c>
      <c r="I476" s="27" t="s">
        <v>335</v>
      </c>
      <c r="J476" s="30" t="s">
        <v>336</v>
      </c>
      <c r="K476" s="30" t="s">
        <v>337</v>
      </c>
      <c r="L476" s="26" t="s">
        <v>337</v>
      </c>
      <c r="M476" s="27" t="s">
        <v>338</v>
      </c>
      <c r="N476" s="30" t="n">
        <v>0</v>
      </c>
      <c r="O476" s="27" t="s">
        <v>339</v>
      </c>
      <c r="P476" s="26" t="s">
        <v>690</v>
      </c>
      <c r="Q476" s="27" t="s">
        <v>691</v>
      </c>
      <c r="R476" s="27" t="s">
        <v>692</v>
      </c>
      <c r="S476" s="27" t="s">
        <v>340</v>
      </c>
      <c r="T476" s="27" t="s">
        <v>341</v>
      </c>
      <c r="U476" s="27" t="s">
        <v>942</v>
      </c>
    </row>
    <row r="477" customFormat="false" ht="19.5" hidden="false" customHeight="true" outlineLevel="0" collapsed="false">
      <c r="A477" s="19" t="n">
        <v>3179</v>
      </c>
      <c r="B477" s="15" t="s">
        <v>1663</v>
      </c>
      <c r="C477" s="17" t="s">
        <v>1192</v>
      </c>
      <c r="D477" s="16" t="n">
        <v>0</v>
      </c>
      <c r="E477" s="17" t="s">
        <v>39</v>
      </c>
      <c r="F477" s="17" t="s">
        <v>39</v>
      </c>
      <c r="G477" s="15" t="s">
        <v>608</v>
      </c>
      <c r="H477" s="18" t="s">
        <v>608</v>
      </c>
      <c r="I477" s="15" t="s">
        <v>413</v>
      </c>
      <c r="J477" s="17" t="s">
        <v>336</v>
      </c>
      <c r="K477" s="17" t="s">
        <v>111</v>
      </c>
      <c r="L477" s="19" t="s">
        <v>111</v>
      </c>
      <c r="M477" s="15" t="s">
        <v>352</v>
      </c>
      <c r="N477" s="17" t="n">
        <v>0</v>
      </c>
      <c r="O477" s="15" t="s">
        <v>353</v>
      </c>
      <c r="P477" s="19" t="n">
        <v>20920</v>
      </c>
      <c r="Q477" s="15" t="s">
        <v>1664</v>
      </c>
      <c r="R477" s="15" t="s">
        <v>717</v>
      </c>
      <c r="S477" s="15" t="s">
        <v>340</v>
      </c>
      <c r="T477" s="15" t="s">
        <v>341</v>
      </c>
      <c r="U477" s="15" t="s">
        <v>1665</v>
      </c>
    </row>
    <row r="478" customFormat="false" ht="19.5" hidden="false" customHeight="true" outlineLevel="0" collapsed="false">
      <c r="A478" s="26" t="n">
        <v>3195</v>
      </c>
      <c r="B478" s="27" t="s">
        <v>1666</v>
      </c>
      <c r="C478" s="30" t="s">
        <v>314</v>
      </c>
      <c r="D478" s="39" t="n">
        <v>25</v>
      </c>
      <c r="E478" s="30" t="s">
        <v>63</v>
      </c>
      <c r="F478" s="30" t="s">
        <v>63</v>
      </c>
      <c r="G478" s="27" t="s">
        <v>481</v>
      </c>
      <c r="H478" s="40" t="s">
        <v>481</v>
      </c>
      <c r="I478" s="27" t="s">
        <v>342</v>
      </c>
      <c r="J478" s="30" t="s">
        <v>336</v>
      </c>
      <c r="K478" s="30" t="s">
        <v>479</v>
      </c>
      <c r="L478" s="26" t="s">
        <v>479</v>
      </c>
      <c r="M478" s="27" t="s">
        <v>343</v>
      </c>
      <c r="N478" s="30" t="n">
        <v>3623</v>
      </c>
      <c r="O478" s="27" t="s">
        <v>344</v>
      </c>
      <c r="P478" s="26" t="n">
        <v>3623</v>
      </c>
      <c r="Q478" s="27" t="s">
        <v>1667</v>
      </c>
      <c r="R478" s="27" t="s">
        <v>648</v>
      </c>
      <c r="S478" s="27" t="s">
        <v>345</v>
      </c>
      <c r="T478" s="27" t="s">
        <v>341</v>
      </c>
      <c r="U478" s="27" t="s">
        <v>1668</v>
      </c>
    </row>
    <row r="479" customFormat="false" ht="19.5" hidden="false" customHeight="true" outlineLevel="0" collapsed="false">
      <c r="A479" s="19" t="n">
        <v>3209</v>
      </c>
      <c r="B479" s="15" t="s">
        <v>1669</v>
      </c>
      <c r="C479" s="17" t="s">
        <v>260</v>
      </c>
      <c r="D479" s="16" t="n">
        <v>5</v>
      </c>
      <c r="E479" s="17" t="s">
        <v>39</v>
      </c>
      <c r="F479" s="17" t="s">
        <v>39</v>
      </c>
      <c r="G479" s="15" t="s">
        <v>114</v>
      </c>
      <c r="H479" s="18" t="s">
        <v>114</v>
      </c>
      <c r="I479" s="15" t="s">
        <v>356</v>
      </c>
      <c r="J479" s="17" t="s">
        <v>336</v>
      </c>
      <c r="K479" s="17" t="s">
        <v>82</v>
      </c>
      <c r="L479" s="19" t="s">
        <v>82</v>
      </c>
      <c r="M479" s="15" t="s">
        <v>343</v>
      </c>
      <c r="N479" s="17" t="n">
        <v>32224</v>
      </c>
      <c r="O479" s="15" t="s">
        <v>344</v>
      </c>
      <c r="P479" s="19" t="n">
        <v>32224</v>
      </c>
      <c r="Q479" s="15" t="s">
        <v>1652</v>
      </c>
      <c r="R479" s="15" t="s">
        <v>648</v>
      </c>
      <c r="S479" s="15" t="s">
        <v>345</v>
      </c>
      <c r="T479" s="15" t="s">
        <v>341</v>
      </c>
      <c r="U479" s="15" t="s">
        <v>1653</v>
      </c>
    </row>
    <row r="480" customFormat="false" ht="19.5" hidden="false" customHeight="true" outlineLevel="0" collapsed="false">
      <c r="A480" s="26" t="n">
        <v>3210</v>
      </c>
      <c r="B480" s="27" t="s">
        <v>286</v>
      </c>
      <c r="C480" s="30" t="s">
        <v>287</v>
      </c>
      <c r="D480" s="39" t="n">
        <v>10</v>
      </c>
      <c r="E480" s="30" t="s">
        <v>63</v>
      </c>
      <c r="F480" s="30" t="s">
        <v>63</v>
      </c>
      <c r="G480" s="27" t="s">
        <v>78</v>
      </c>
      <c r="H480" s="40" t="s">
        <v>78</v>
      </c>
      <c r="I480" s="27" t="s">
        <v>356</v>
      </c>
      <c r="J480" s="30" t="s">
        <v>360</v>
      </c>
      <c r="K480" s="30" t="s">
        <v>82</v>
      </c>
      <c r="L480" s="26" t="s">
        <v>51</v>
      </c>
      <c r="M480" s="27" t="s">
        <v>361</v>
      </c>
      <c r="N480" s="30" t="n">
        <v>1924</v>
      </c>
      <c r="O480" s="27" t="s">
        <v>344</v>
      </c>
      <c r="P480" s="26" t="n">
        <v>1924</v>
      </c>
      <c r="Q480" s="27" t="s">
        <v>1263</v>
      </c>
      <c r="R480" s="27" t="s">
        <v>648</v>
      </c>
      <c r="S480" s="27" t="s">
        <v>345</v>
      </c>
      <c r="T480" s="27" t="s">
        <v>341</v>
      </c>
      <c r="U480" s="27" t="s">
        <v>1264</v>
      </c>
    </row>
    <row r="481" customFormat="false" ht="19.5" hidden="false" customHeight="true" outlineLevel="0" collapsed="false">
      <c r="A481" s="19" t="n">
        <v>3211</v>
      </c>
      <c r="B481" s="15" t="s">
        <v>1670</v>
      </c>
      <c r="C481" s="17" t="s">
        <v>1192</v>
      </c>
      <c r="D481" s="16" t="n">
        <v>0</v>
      </c>
      <c r="E481" s="17" t="s">
        <v>39</v>
      </c>
      <c r="F481" s="17" t="s">
        <v>39</v>
      </c>
      <c r="G481" s="15" t="s">
        <v>589</v>
      </c>
      <c r="H481" s="18" t="s">
        <v>589</v>
      </c>
      <c r="I481" s="15" t="s">
        <v>402</v>
      </c>
      <c r="J481" s="17" t="s">
        <v>336</v>
      </c>
      <c r="K481" s="17" t="s">
        <v>82</v>
      </c>
      <c r="L481" s="19" t="s">
        <v>140</v>
      </c>
      <c r="M481" s="15" t="s">
        <v>352</v>
      </c>
      <c r="N481" s="17" t="n">
        <v>0</v>
      </c>
      <c r="O481" s="15" t="s">
        <v>353</v>
      </c>
      <c r="P481" s="19" t="s">
        <v>1193</v>
      </c>
      <c r="Q481" s="15" t="s">
        <v>1194</v>
      </c>
      <c r="R481" s="15" t="s">
        <v>717</v>
      </c>
      <c r="S481" s="15" t="s">
        <v>340</v>
      </c>
      <c r="T481" s="15" t="s">
        <v>341</v>
      </c>
      <c r="U481" s="15" t="s">
        <v>1671</v>
      </c>
    </row>
    <row r="482" customFormat="false" ht="19.5" hidden="false" customHeight="true" outlineLevel="0" collapsed="false">
      <c r="A482" s="26" t="n">
        <v>3212</v>
      </c>
      <c r="B482" s="27" t="s">
        <v>1672</v>
      </c>
      <c r="C482" s="30" t="s">
        <v>260</v>
      </c>
      <c r="D482" s="39" t="n">
        <v>5</v>
      </c>
      <c r="E482" s="30" t="s">
        <v>39</v>
      </c>
      <c r="F482" s="30" t="s">
        <v>39</v>
      </c>
      <c r="G482" s="27" t="s">
        <v>411</v>
      </c>
      <c r="H482" s="40" t="s">
        <v>411</v>
      </c>
      <c r="I482" s="27" t="s">
        <v>342</v>
      </c>
      <c r="J482" s="30" t="s">
        <v>336</v>
      </c>
      <c r="K482" s="30" t="s">
        <v>111</v>
      </c>
      <c r="L482" s="26" t="s">
        <v>111</v>
      </c>
      <c r="M482" s="27" t="s">
        <v>343</v>
      </c>
      <c r="N482" s="30" t="n">
        <v>19018</v>
      </c>
      <c r="O482" s="27" t="s">
        <v>344</v>
      </c>
      <c r="P482" s="26" t="n">
        <v>19018</v>
      </c>
      <c r="Q482" s="27" t="s">
        <v>1673</v>
      </c>
      <c r="R482" s="27" t="s">
        <v>648</v>
      </c>
      <c r="S482" s="27" t="s">
        <v>345</v>
      </c>
      <c r="T482" s="27" t="s">
        <v>341</v>
      </c>
      <c r="U482" s="27" t="s">
        <v>1674</v>
      </c>
    </row>
    <row r="483" customFormat="false" ht="19.5" hidden="false" customHeight="true" outlineLevel="0" collapsed="false">
      <c r="A483" s="19" t="n">
        <v>3233</v>
      </c>
      <c r="B483" s="15" t="s">
        <v>1675</v>
      </c>
      <c r="C483" s="17" t="s">
        <v>263</v>
      </c>
      <c r="D483" s="16" t="n">
        <v>20</v>
      </c>
      <c r="E483" s="17" t="s">
        <v>39</v>
      </c>
      <c r="F483" s="17" t="s">
        <v>39</v>
      </c>
      <c r="G483" s="15" t="s">
        <v>456</v>
      </c>
      <c r="H483" s="18" t="s">
        <v>456</v>
      </c>
      <c r="I483" s="15" t="s">
        <v>457</v>
      </c>
      <c r="J483" s="17" t="s">
        <v>336</v>
      </c>
      <c r="K483" s="17" t="s">
        <v>367</v>
      </c>
      <c r="L483" s="19" t="s">
        <v>367</v>
      </c>
      <c r="M483" s="15" t="s">
        <v>368</v>
      </c>
      <c r="N483" s="17" t="n">
        <v>0</v>
      </c>
      <c r="O483" s="15" t="s">
        <v>369</v>
      </c>
      <c r="P483" s="19" t="s">
        <v>683</v>
      </c>
      <c r="Q483" s="15" t="s">
        <v>684</v>
      </c>
      <c r="R483" s="15" t="s">
        <v>685</v>
      </c>
      <c r="S483" s="15" t="s">
        <v>370</v>
      </c>
      <c r="T483" s="15" t="s">
        <v>371</v>
      </c>
      <c r="U483" s="15" t="s">
        <v>1362</v>
      </c>
    </row>
    <row r="484" customFormat="false" ht="19.5" hidden="false" customHeight="true" outlineLevel="0" collapsed="false">
      <c r="A484" s="26" t="n">
        <v>3234</v>
      </c>
      <c r="B484" s="27" t="s">
        <v>1676</v>
      </c>
      <c r="C484" s="30" t="s">
        <v>263</v>
      </c>
      <c r="D484" s="39" t="n">
        <v>20</v>
      </c>
      <c r="E484" s="30" t="s">
        <v>39</v>
      </c>
      <c r="F484" s="30" t="s">
        <v>39</v>
      </c>
      <c r="G484" s="27" t="s">
        <v>608</v>
      </c>
      <c r="H484" s="40" t="s">
        <v>608</v>
      </c>
      <c r="I484" s="27" t="s">
        <v>342</v>
      </c>
      <c r="J484" s="30" t="s">
        <v>336</v>
      </c>
      <c r="K484" s="30" t="s">
        <v>111</v>
      </c>
      <c r="L484" s="26" t="s">
        <v>111</v>
      </c>
      <c r="M484" s="27" t="s">
        <v>343</v>
      </c>
      <c r="N484" s="30" t="n">
        <v>10122</v>
      </c>
      <c r="O484" s="27" t="s">
        <v>344</v>
      </c>
      <c r="P484" s="26" t="n">
        <v>10122</v>
      </c>
      <c r="Q484" s="27" t="s">
        <v>1677</v>
      </c>
      <c r="R484" s="27" t="s">
        <v>648</v>
      </c>
      <c r="S484" s="27" t="s">
        <v>345</v>
      </c>
      <c r="T484" s="27" t="s">
        <v>341</v>
      </c>
      <c r="U484" s="27" t="s">
        <v>1678</v>
      </c>
    </row>
    <row r="485" customFormat="false" ht="19.5" hidden="false" customHeight="true" outlineLevel="0" collapsed="false">
      <c r="A485" s="19" t="n">
        <v>3237</v>
      </c>
      <c r="B485" s="15" t="s">
        <v>1679</v>
      </c>
      <c r="C485" s="17" t="s">
        <v>1192</v>
      </c>
      <c r="D485" s="16" t="n">
        <v>0</v>
      </c>
      <c r="E485" s="17" t="s">
        <v>63</v>
      </c>
      <c r="F485" s="17" t="s">
        <v>63</v>
      </c>
      <c r="G485" s="15" t="s">
        <v>401</v>
      </c>
      <c r="H485" s="18" t="s">
        <v>401</v>
      </c>
      <c r="I485" s="15" t="s">
        <v>402</v>
      </c>
      <c r="J485" s="17" t="s">
        <v>336</v>
      </c>
      <c r="K485" s="17" t="s">
        <v>82</v>
      </c>
      <c r="L485" s="19" t="s">
        <v>140</v>
      </c>
      <c r="M485" s="15" t="s">
        <v>352</v>
      </c>
      <c r="N485" s="17" t="n">
        <v>0</v>
      </c>
      <c r="O485" s="15" t="s">
        <v>353</v>
      </c>
      <c r="P485" s="19" t="s">
        <v>1193</v>
      </c>
      <c r="Q485" s="15" t="s">
        <v>1194</v>
      </c>
      <c r="R485" s="15" t="s">
        <v>717</v>
      </c>
      <c r="S485" s="15" t="s">
        <v>340</v>
      </c>
      <c r="T485" s="15" t="s">
        <v>341</v>
      </c>
      <c r="U485" s="15" t="s">
        <v>1680</v>
      </c>
    </row>
    <row r="486" customFormat="false" ht="19.5" hidden="false" customHeight="true" outlineLevel="0" collapsed="false">
      <c r="A486" s="26" t="n">
        <v>3239</v>
      </c>
      <c r="B486" s="27" t="s">
        <v>1681</v>
      </c>
      <c r="C486" s="30" t="s">
        <v>288</v>
      </c>
      <c r="D486" s="39" t="n">
        <v>0.2</v>
      </c>
      <c r="E486" s="30" t="s">
        <v>39</v>
      </c>
      <c r="F486" s="30" t="s">
        <v>39</v>
      </c>
      <c r="G486" s="27" t="s">
        <v>506</v>
      </c>
      <c r="H486" s="40" t="s">
        <v>506</v>
      </c>
      <c r="I486" s="27" t="s">
        <v>342</v>
      </c>
      <c r="J486" s="30" t="s">
        <v>336</v>
      </c>
      <c r="K486" s="30" t="s">
        <v>111</v>
      </c>
      <c r="L486" s="26" t="s">
        <v>111</v>
      </c>
      <c r="M486" s="27" t="s">
        <v>343</v>
      </c>
      <c r="N486" s="30" t="n">
        <v>40818</v>
      </c>
      <c r="O486" s="27" t="s">
        <v>344</v>
      </c>
      <c r="P486" s="26" t="n">
        <v>40818</v>
      </c>
      <c r="Q486" s="27" t="s">
        <v>1021</v>
      </c>
      <c r="R486" s="27" t="s">
        <v>648</v>
      </c>
      <c r="S486" s="27" t="s">
        <v>345</v>
      </c>
      <c r="T486" s="27" t="s">
        <v>341</v>
      </c>
      <c r="U486" s="27" t="s">
        <v>1682</v>
      </c>
    </row>
    <row r="487" customFormat="false" ht="19.5" hidden="false" customHeight="true" outlineLevel="0" collapsed="false">
      <c r="A487" s="19" t="n">
        <v>3243</v>
      </c>
      <c r="B487" s="15" t="s">
        <v>1683</v>
      </c>
      <c r="C487" s="17" t="s">
        <v>263</v>
      </c>
      <c r="D487" s="16" t="n">
        <v>20</v>
      </c>
      <c r="E487" s="17" t="s">
        <v>39</v>
      </c>
      <c r="F487" s="17" t="s">
        <v>39</v>
      </c>
      <c r="G487" s="15" t="s">
        <v>135</v>
      </c>
      <c r="H487" s="18" t="s">
        <v>135</v>
      </c>
      <c r="I487" s="15" t="s">
        <v>379</v>
      </c>
      <c r="J487" s="17" t="s">
        <v>336</v>
      </c>
      <c r="K487" s="17" t="s">
        <v>111</v>
      </c>
      <c r="L487" s="19" t="s">
        <v>140</v>
      </c>
      <c r="M487" s="15" t="s">
        <v>343</v>
      </c>
      <c r="N487" s="17" t="n">
        <v>3224</v>
      </c>
      <c r="O487" s="15" t="s">
        <v>344</v>
      </c>
      <c r="P487" s="19" t="n">
        <v>3224</v>
      </c>
      <c r="Q487" s="15" t="s">
        <v>1684</v>
      </c>
      <c r="R487" s="15" t="s">
        <v>648</v>
      </c>
      <c r="S487" s="15" t="s">
        <v>345</v>
      </c>
      <c r="T487" s="15" t="s">
        <v>341</v>
      </c>
      <c r="U487" s="15" t="s">
        <v>1685</v>
      </c>
    </row>
    <row r="488" customFormat="false" ht="19.5" hidden="false" customHeight="true" outlineLevel="0" collapsed="false">
      <c r="A488" s="26" t="n">
        <v>3244</v>
      </c>
      <c r="B488" s="27" t="s">
        <v>1686</v>
      </c>
      <c r="C488" s="30" t="s">
        <v>263</v>
      </c>
      <c r="D488" s="39" t="n">
        <v>20</v>
      </c>
      <c r="E488" s="30" t="s">
        <v>39</v>
      </c>
      <c r="F488" s="30" t="s">
        <v>39</v>
      </c>
      <c r="G488" s="27" t="s">
        <v>473</v>
      </c>
      <c r="H488" s="40" t="s">
        <v>473</v>
      </c>
      <c r="I488" s="27" t="s">
        <v>379</v>
      </c>
      <c r="J488" s="30" t="s">
        <v>336</v>
      </c>
      <c r="K488" s="30" t="s">
        <v>140</v>
      </c>
      <c r="L488" s="26" t="s">
        <v>140</v>
      </c>
      <c r="M488" s="27" t="s">
        <v>343</v>
      </c>
      <c r="N488" s="30" t="n">
        <v>16724</v>
      </c>
      <c r="O488" s="27" t="s">
        <v>344</v>
      </c>
      <c r="P488" s="26" t="n">
        <v>16724</v>
      </c>
      <c r="Q488" s="27" t="s">
        <v>1687</v>
      </c>
      <c r="R488" s="27" t="s">
        <v>648</v>
      </c>
      <c r="S488" s="27" t="s">
        <v>345</v>
      </c>
      <c r="T488" s="27" t="s">
        <v>341</v>
      </c>
      <c r="U488" s="27" t="s">
        <v>1688</v>
      </c>
    </row>
    <row r="489" customFormat="false" ht="19.5" hidden="false" customHeight="true" outlineLevel="0" collapsed="false">
      <c r="A489" s="19" t="n">
        <v>3245</v>
      </c>
      <c r="B489" s="15" t="s">
        <v>1689</v>
      </c>
      <c r="C489" s="17" t="s">
        <v>1690</v>
      </c>
      <c r="D489" s="16" t="n">
        <v>0.5</v>
      </c>
      <c r="E489" s="17" t="s">
        <v>63</v>
      </c>
      <c r="F489" s="17" t="s">
        <v>63</v>
      </c>
      <c r="G489" s="15" t="s">
        <v>401</v>
      </c>
      <c r="H489" s="18" t="s">
        <v>401</v>
      </c>
      <c r="I489" s="15" t="s">
        <v>379</v>
      </c>
      <c r="J489" s="17" t="s">
        <v>336</v>
      </c>
      <c r="K489" s="17" t="s">
        <v>140</v>
      </c>
      <c r="L489" s="19" t="s">
        <v>140</v>
      </c>
      <c r="M489" s="15" t="s">
        <v>343</v>
      </c>
      <c r="N489" s="17" t="n">
        <v>0</v>
      </c>
      <c r="O489" s="15" t="s">
        <v>344</v>
      </c>
      <c r="P489" s="19" t="n">
        <v>7925</v>
      </c>
      <c r="Q489" s="15" t="s">
        <v>1691</v>
      </c>
      <c r="R489" s="15" t="s">
        <v>1217</v>
      </c>
      <c r="S489" s="15" t="s">
        <v>345</v>
      </c>
      <c r="T489" s="15" t="s">
        <v>341</v>
      </c>
      <c r="U489" s="15" t="s">
        <v>1692</v>
      </c>
    </row>
    <row r="490" customFormat="false" ht="19.5" hidden="false" customHeight="true" outlineLevel="0" collapsed="false">
      <c r="A490" s="26" t="n">
        <v>3246</v>
      </c>
      <c r="B490" s="27" t="s">
        <v>1693</v>
      </c>
      <c r="C490" s="30" t="s">
        <v>263</v>
      </c>
      <c r="D490" s="39" t="n">
        <v>20</v>
      </c>
      <c r="E490" s="30" t="s">
        <v>39</v>
      </c>
      <c r="F490" s="30" t="s">
        <v>39</v>
      </c>
      <c r="G490" s="27" t="s">
        <v>589</v>
      </c>
      <c r="H490" s="40" t="s">
        <v>589</v>
      </c>
      <c r="I490" s="27" t="s">
        <v>379</v>
      </c>
      <c r="J490" s="30" t="s">
        <v>336</v>
      </c>
      <c r="K490" s="30" t="s">
        <v>140</v>
      </c>
      <c r="L490" s="26" t="s">
        <v>140</v>
      </c>
      <c r="M490" s="27" t="s">
        <v>343</v>
      </c>
      <c r="N490" s="30" t="n">
        <v>24324</v>
      </c>
      <c r="O490" s="27" t="s">
        <v>344</v>
      </c>
      <c r="P490" s="26" t="n">
        <v>24324</v>
      </c>
      <c r="Q490" s="27" t="s">
        <v>1694</v>
      </c>
      <c r="R490" s="27" t="s">
        <v>648</v>
      </c>
      <c r="S490" s="27" t="s">
        <v>345</v>
      </c>
      <c r="T490" s="27" t="s">
        <v>341</v>
      </c>
      <c r="U490" s="27" t="s">
        <v>1695</v>
      </c>
    </row>
    <row r="491" customFormat="false" ht="19.5" hidden="false" customHeight="true" outlineLevel="0" collapsed="false">
      <c r="A491" s="19" t="n">
        <v>3247</v>
      </c>
      <c r="B491" s="15" t="s">
        <v>1696</v>
      </c>
      <c r="C491" s="17" t="s">
        <v>263</v>
      </c>
      <c r="D491" s="16" t="n">
        <v>20</v>
      </c>
      <c r="E491" s="17" t="s">
        <v>39</v>
      </c>
      <c r="F491" s="17" t="s">
        <v>39</v>
      </c>
      <c r="G491" s="15" t="s">
        <v>75</v>
      </c>
      <c r="H491" s="18" t="s">
        <v>75</v>
      </c>
      <c r="I491" s="15" t="s">
        <v>356</v>
      </c>
      <c r="J491" s="17" t="s">
        <v>360</v>
      </c>
      <c r="K491" s="17" t="s">
        <v>51</v>
      </c>
      <c r="L491" s="19" t="s">
        <v>51</v>
      </c>
      <c r="M491" s="15" t="s">
        <v>361</v>
      </c>
      <c r="N491" s="17" t="n">
        <v>26023</v>
      </c>
      <c r="O491" s="15" t="s">
        <v>344</v>
      </c>
      <c r="P491" s="19" t="n">
        <v>26023</v>
      </c>
      <c r="Q491" s="15" t="s">
        <v>1697</v>
      </c>
      <c r="R491" s="15" t="s">
        <v>648</v>
      </c>
      <c r="S491" s="15" t="s">
        <v>345</v>
      </c>
      <c r="T491" s="15" t="s">
        <v>341</v>
      </c>
      <c r="U491" s="15" t="s">
        <v>1698</v>
      </c>
    </row>
    <row r="492" customFormat="false" ht="19.5" hidden="false" customHeight="true" outlineLevel="0" collapsed="false">
      <c r="A492" s="26" t="n">
        <v>3248</v>
      </c>
      <c r="B492" s="27" t="s">
        <v>1699</v>
      </c>
      <c r="C492" s="30" t="s">
        <v>1402</v>
      </c>
      <c r="D492" s="39" t="n">
        <v>1000</v>
      </c>
      <c r="E492" s="30" t="s">
        <v>1403</v>
      </c>
      <c r="F492" s="30" t="s">
        <v>1403</v>
      </c>
      <c r="G492" s="27" t="s">
        <v>466</v>
      </c>
      <c r="H492" s="40" t="s">
        <v>466</v>
      </c>
      <c r="I492" s="27" t="s">
        <v>560</v>
      </c>
      <c r="J492" s="30" t="s">
        <v>336</v>
      </c>
      <c r="K492" s="30" t="s">
        <v>159</v>
      </c>
      <c r="L492" s="26" t="s">
        <v>159</v>
      </c>
      <c r="M492" s="27" t="s">
        <v>349</v>
      </c>
      <c r="N492" s="30" t="n">
        <v>0</v>
      </c>
      <c r="O492" s="27" t="s">
        <v>339</v>
      </c>
      <c r="P492" s="26" t="s">
        <v>690</v>
      </c>
      <c r="Q492" s="27" t="s">
        <v>691</v>
      </c>
      <c r="R492" s="27" t="s">
        <v>692</v>
      </c>
      <c r="S492" s="27" t="s">
        <v>345</v>
      </c>
      <c r="T492" s="27" t="s">
        <v>341</v>
      </c>
      <c r="U492" s="27" t="s">
        <v>693</v>
      </c>
    </row>
    <row r="493" customFormat="false" ht="19.5" hidden="false" customHeight="true" outlineLevel="0" collapsed="false">
      <c r="A493" s="19" t="n">
        <v>3354</v>
      </c>
      <c r="B493" s="15" t="s">
        <v>1700</v>
      </c>
      <c r="C493" s="17" t="s">
        <v>272</v>
      </c>
      <c r="D493" s="16" t="n">
        <v>5</v>
      </c>
      <c r="E493" s="17" t="s">
        <v>63</v>
      </c>
      <c r="F493" s="17" t="s">
        <v>63</v>
      </c>
      <c r="G493" s="15" t="s">
        <v>365</v>
      </c>
      <c r="H493" s="18" t="s">
        <v>365</v>
      </c>
      <c r="I493" s="15" t="s">
        <v>356</v>
      </c>
      <c r="J493" s="17" t="s">
        <v>336</v>
      </c>
      <c r="K493" s="17" t="s">
        <v>82</v>
      </c>
      <c r="L493" s="19" t="s">
        <v>82</v>
      </c>
      <c r="M493" s="15" t="s">
        <v>343</v>
      </c>
      <c r="N493" s="17" t="n">
        <v>27323</v>
      </c>
      <c r="O493" s="15" t="s">
        <v>344</v>
      </c>
      <c r="P493" s="19" t="n">
        <v>27323</v>
      </c>
      <c r="Q493" s="15" t="s">
        <v>1148</v>
      </c>
      <c r="R493" s="15" t="s">
        <v>648</v>
      </c>
      <c r="S493" s="15" t="s">
        <v>345</v>
      </c>
      <c r="T493" s="15" t="s">
        <v>341</v>
      </c>
      <c r="U493" s="15" t="s">
        <v>1149</v>
      </c>
    </row>
    <row r="494" customFormat="false" ht="19.5" hidden="false" customHeight="true" outlineLevel="0" collapsed="false">
      <c r="A494" s="26" t="n">
        <v>3355</v>
      </c>
      <c r="B494" s="27" t="s">
        <v>1701</v>
      </c>
      <c r="C494" s="30" t="s">
        <v>905</v>
      </c>
      <c r="D494" s="39" t="n">
        <v>1</v>
      </c>
      <c r="E494" s="30" t="s">
        <v>63</v>
      </c>
      <c r="F494" s="30" t="s">
        <v>63</v>
      </c>
      <c r="G494" s="27" t="s">
        <v>102</v>
      </c>
      <c r="H494" s="40" t="s">
        <v>102</v>
      </c>
      <c r="I494" s="27" t="s">
        <v>356</v>
      </c>
      <c r="J494" s="30" t="s">
        <v>336</v>
      </c>
      <c r="K494" s="30" t="s">
        <v>82</v>
      </c>
      <c r="L494" s="26" t="s">
        <v>82</v>
      </c>
      <c r="M494" s="27" t="s">
        <v>343</v>
      </c>
      <c r="N494" s="30" t="n">
        <v>31522</v>
      </c>
      <c r="O494" s="27" t="s">
        <v>344</v>
      </c>
      <c r="P494" s="26" t="n">
        <v>31522</v>
      </c>
      <c r="Q494" s="27" t="s">
        <v>876</v>
      </c>
      <c r="R494" s="27" t="s">
        <v>648</v>
      </c>
      <c r="S494" s="27" t="s">
        <v>345</v>
      </c>
      <c r="T494" s="27" t="s">
        <v>341</v>
      </c>
      <c r="U494" s="27" t="s">
        <v>1004</v>
      </c>
    </row>
    <row r="495" customFormat="false" ht="19.5" hidden="false" customHeight="true" outlineLevel="0" collapsed="false">
      <c r="A495" s="19" t="n">
        <v>3414</v>
      </c>
      <c r="B495" s="15" t="s">
        <v>1702</v>
      </c>
      <c r="C495" s="17" t="s">
        <v>1140</v>
      </c>
      <c r="D495" s="16" t="n">
        <v>1000</v>
      </c>
      <c r="E495" s="17" t="s">
        <v>63</v>
      </c>
      <c r="F495" s="17" t="s">
        <v>63</v>
      </c>
      <c r="G495" s="15" t="s">
        <v>466</v>
      </c>
      <c r="H495" s="18" t="s">
        <v>466</v>
      </c>
      <c r="I495" s="15" t="s">
        <v>347</v>
      </c>
      <c r="J495" s="17" t="s">
        <v>336</v>
      </c>
      <c r="K495" s="17" t="s">
        <v>1513</v>
      </c>
      <c r="L495" s="19" t="s">
        <v>1513</v>
      </c>
      <c r="M495" s="15" t="s">
        <v>349</v>
      </c>
      <c r="N495" s="17" t="n">
        <v>0</v>
      </c>
      <c r="O495" s="15" t="s">
        <v>339</v>
      </c>
      <c r="P495" s="19" t="s">
        <v>690</v>
      </c>
      <c r="Q495" s="15" t="s">
        <v>691</v>
      </c>
      <c r="R495" s="15" t="s">
        <v>692</v>
      </c>
      <c r="S495" s="15" t="s">
        <v>345</v>
      </c>
      <c r="T495" s="15" t="s">
        <v>341</v>
      </c>
      <c r="U495" s="15" t="s">
        <v>693</v>
      </c>
    </row>
    <row r="496" customFormat="false" ht="19.5" hidden="false" customHeight="true" outlineLevel="0" collapsed="false">
      <c r="A496" s="26" t="n">
        <v>3538</v>
      </c>
      <c r="B496" s="27" t="s">
        <v>1703</v>
      </c>
      <c r="C496" s="30" t="s">
        <v>260</v>
      </c>
      <c r="D496" s="39" t="n">
        <v>5</v>
      </c>
      <c r="E496" s="30" t="s">
        <v>39</v>
      </c>
      <c r="F496" s="30" t="s">
        <v>39</v>
      </c>
      <c r="G496" s="27" t="s">
        <v>110</v>
      </c>
      <c r="H496" s="40" t="s">
        <v>110</v>
      </c>
      <c r="I496" s="27" t="s">
        <v>342</v>
      </c>
      <c r="J496" s="30" t="s">
        <v>336</v>
      </c>
      <c r="K496" s="30" t="s">
        <v>111</v>
      </c>
      <c r="L496" s="26" t="s">
        <v>111</v>
      </c>
      <c r="M496" s="27" t="s">
        <v>343</v>
      </c>
      <c r="N496" s="30" t="n">
        <v>4900</v>
      </c>
      <c r="O496" s="27" t="s">
        <v>344</v>
      </c>
      <c r="P496" s="26" t="n">
        <v>4900</v>
      </c>
      <c r="Q496" s="27" t="s">
        <v>1704</v>
      </c>
      <c r="R496" s="27" t="s">
        <v>648</v>
      </c>
      <c r="S496" s="27" t="s">
        <v>345</v>
      </c>
      <c r="T496" s="27" t="s">
        <v>341</v>
      </c>
      <c r="U496" s="27" t="s">
        <v>1705</v>
      </c>
    </row>
    <row r="497" customFormat="false" ht="19.5" hidden="false" customHeight="true" outlineLevel="0" collapsed="false">
      <c r="A497" s="19" t="n">
        <v>3539</v>
      </c>
      <c r="B497" s="15" t="s">
        <v>154</v>
      </c>
      <c r="C497" s="17" t="s">
        <v>260</v>
      </c>
      <c r="D497" s="16" t="n">
        <v>5</v>
      </c>
      <c r="E497" s="17" t="s">
        <v>39</v>
      </c>
      <c r="F497" s="17" t="s">
        <v>39</v>
      </c>
      <c r="G497" s="15" t="s">
        <v>155</v>
      </c>
      <c r="H497" s="18" t="s">
        <v>155</v>
      </c>
      <c r="I497" s="15" t="s">
        <v>342</v>
      </c>
      <c r="J497" s="17" t="s">
        <v>336</v>
      </c>
      <c r="K497" s="17" t="s">
        <v>111</v>
      </c>
      <c r="L497" s="19" t="s">
        <v>111</v>
      </c>
      <c r="M497" s="15" t="s">
        <v>343</v>
      </c>
      <c r="N497" s="17" t="n">
        <v>0</v>
      </c>
      <c r="O497" s="15" t="s">
        <v>344</v>
      </c>
      <c r="P497" s="19" t="n">
        <v>1109</v>
      </c>
      <c r="Q497" s="15" t="s">
        <v>1706</v>
      </c>
      <c r="R497" s="15" t="s">
        <v>1217</v>
      </c>
      <c r="S497" s="15" t="s">
        <v>345</v>
      </c>
      <c r="T497" s="15" t="s">
        <v>341</v>
      </c>
      <c r="U497" s="15" t="s">
        <v>1707</v>
      </c>
    </row>
    <row r="498" customFormat="false" ht="19.5" hidden="false" customHeight="true" outlineLevel="0" collapsed="false">
      <c r="A498" s="26" t="n">
        <v>3598</v>
      </c>
      <c r="B498" s="27" t="s">
        <v>1708</v>
      </c>
      <c r="C498" s="30" t="s">
        <v>1709</v>
      </c>
      <c r="D498" s="39" t="n">
        <v>1200</v>
      </c>
      <c r="E498" s="30" t="s">
        <v>63</v>
      </c>
      <c r="F498" s="30" t="s">
        <v>63</v>
      </c>
      <c r="G498" s="27" t="s">
        <v>466</v>
      </c>
      <c r="H498" s="40" t="s">
        <v>466</v>
      </c>
      <c r="I498" s="27" t="s">
        <v>452</v>
      </c>
      <c r="J498" s="30" t="s">
        <v>336</v>
      </c>
      <c r="K498" s="30" t="s">
        <v>453</v>
      </c>
      <c r="L498" s="26" t="s">
        <v>453</v>
      </c>
      <c r="M498" s="27" t="s">
        <v>338</v>
      </c>
      <c r="N498" s="30" t="n">
        <v>0</v>
      </c>
      <c r="O498" s="27" t="s">
        <v>339</v>
      </c>
      <c r="P498" s="26" t="s">
        <v>690</v>
      </c>
      <c r="Q498" s="27" t="s">
        <v>691</v>
      </c>
      <c r="R498" s="27" t="s">
        <v>692</v>
      </c>
      <c r="S498" s="27" t="s">
        <v>340</v>
      </c>
      <c r="T498" s="27" t="s">
        <v>341</v>
      </c>
      <c r="U498" s="27" t="s">
        <v>939</v>
      </c>
    </row>
    <row r="499" customFormat="false" ht="19.5" hidden="false" customHeight="true" outlineLevel="0" collapsed="false">
      <c r="A499" s="19" t="n">
        <v>3686</v>
      </c>
      <c r="B499" s="15" t="s">
        <v>1710</v>
      </c>
      <c r="C499" s="17" t="s">
        <v>1172</v>
      </c>
      <c r="D499" s="16" t="n">
        <v>1</v>
      </c>
      <c r="E499" s="17" t="s">
        <v>39</v>
      </c>
      <c r="F499" s="17" t="s">
        <v>39</v>
      </c>
      <c r="G499" s="15" t="s">
        <v>429</v>
      </c>
      <c r="H499" s="18" t="s">
        <v>429</v>
      </c>
      <c r="I499" s="15" t="s">
        <v>356</v>
      </c>
      <c r="J499" s="17" t="s">
        <v>336</v>
      </c>
      <c r="K499" s="17" t="s">
        <v>82</v>
      </c>
      <c r="L499" s="19" t="s">
        <v>82</v>
      </c>
      <c r="M499" s="15" t="s">
        <v>343</v>
      </c>
      <c r="N499" s="17" t="n">
        <v>40624</v>
      </c>
      <c r="O499" s="15" t="s">
        <v>344</v>
      </c>
      <c r="P499" s="19" t="n">
        <v>40624</v>
      </c>
      <c r="Q499" s="15" t="s">
        <v>1588</v>
      </c>
      <c r="R499" s="15" t="s">
        <v>648</v>
      </c>
      <c r="S499" s="15" t="s">
        <v>345</v>
      </c>
      <c r="T499" s="15" t="s">
        <v>341</v>
      </c>
      <c r="U499" s="15" t="s">
        <v>1589</v>
      </c>
    </row>
    <row r="500" customFormat="false" ht="19.5" hidden="false" customHeight="true" outlineLevel="0" collapsed="false">
      <c r="A500" s="26" t="n">
        <v>3750</v>
      </c>
      <c r="B500" s="27" t="s">
        <v>1711</v>
      </c>
      <c r="C500" s="30" t="s">
        <v>1712</v>
      </c>
      <c r="D500" s="39" t="n">
        <v>0.2</v>
      </c>
      <c r="E500" s="30" t="s">
        <v>63</v>
      </c>
      <c r="F500" s="30" t="s">
        <v>63</v>
      </c>
      <c r="G500" s="27" t="s">
        <v>470</v>
      </c>
      <c r="H500" s="40" t="s">
        <v>470</v>
      </c>
      <c r="I500" s="27" t="s">
        <v>469</v>
      </c>
      <c r="J500" s="30" t="s">
        <v>336</v>
      </c>
      <c r="K500" s="30" t="s">
        <v>82</v>
      </c>
      <c r="L500" s="26" t="s">
        <v>82</v>
      </c>
      <c r="M500" s="27" t="s">
        <v>343</v>
      </c>
      <c r="N500" s="30" t="n">
        <v>27717</v>
      </c>
      <c r="O500" s="27" t="s">
        <v>344</v>
      </c>
      <c r="P500" s="26" t="n">
        <v>27717</v>
      </c>
      <c r="Q500" s="27" t="s">
        <v>1323</v>
      </c>
      <c r="R500" s="27" t="s">
        <v>648</v>
      </c>
      <c r="S500" s="27" t="s">
        <v>345</v>
      </c>
      <c r="T500" s="27" t="s">
        <v>341</v>
      </c>
      <c r="U500" s="27" t="s">
        <v>1713</v>
      </c>
    </row>
    <row r="501" customFormat="false" ht="19.5" hidden="false" customHeight="true" outlineLevel="0" collapsed="false">
      <c r="A501" s="19" t="n">
        <v>3751</v>
      </c>
      <c r="B501" s="15" t="s">
        <v>1714</v>
      </c>
      <c r="C501" s="17" t="s">
        <v>1712</v>
      </c>
      <c r="D501" s="16" t="n">
        <v>0.2</v>
      </c>
      <c r="E501" s="17" t="s">
        <v>63</v>
      </c>
      <c r="F501" s="17" t="s">
        <v>63</v>
      </c>
      <c r="G501" s="15" t="s">
        <v>468</v>
      </c>
      <c r="H501" s="18" t="s">
        <v>468</v>
      </c>
      <c r="I501" s="15" t="s">
        <v>469</v>
      </c>
      <c r="J501" s="17" t="s">
        <v>336</v>
      </c>
      <c r="K501" s="17" t="s">
        <v>82</v>
      </c>
      <c r="L501" s="19" t="s">
        <v>82</v>
      </c>
      <c r="M501" s="15" t="s">
        <v>343</v>
      </c>
      <c r="N501" s="17" t="n">
        <v>14421</v>
      </c>
      <c r="O501" s="15" t="s">
        <v>344</v>
      </c>
      <c r="P501" s="19" t="n">
        <v>14421</v>
      </c>
      <c r="Q501" s="15" t="s">
        <v>1271</v>
      </c>
      <c r="R501" s="15" t="s">
        <v>648</v>
      </c>
      <c r="S501" s="15" t="s">
        <v>345</v>
      </c>
      <c r="T501" s="15" t="s">
        <v>341</v>
      </c>
      <c r="U501" s="15" t="s">
        <v>1715</v>
      </c>
    </row>
    <row r="502" customFormat="false" ht="19.5" hidden="false" customHeight="true" outlineLevel="0" collapsed="false">
      <c r="A502" s="26" t="n">
        <v>3752</v>
      </c>
      <c r="B502" s="27" t="s">
        <v>1716</v>
      </c>
      <c r="C502" s="30" t="s">
        <v>288</v>
      </c>
      <c r="D502" s="39" t="n">
        <v>0.2</v>
      </c>
      <c r="E502" s="30" t="s">
        <v>39</v>
      </c>
      <c r="F502" s="30" t="s">
        <v>39</v>
      </c>
      <c r="G502" s="27" t="s">
        <v>446</v>
      </c>
      <c r="H502" s="40" t="s">
        <v>446</v>
      </c>
      <c r="I502" s="27" t="s">
        <v>447</v>
      </c>
      <c r="J502" s="30" t="s">
        <v>336</v>
      </c>
      <c r="K502" s="30" t="s">
        <v>111</v>
      </c>
      <c r="L502" s="26" t="s">
        <v>111</v>
      </c>
      <c r="M502" s="27" t="s">
        <v>343</v>
      </c>
      <c r="N502" s="30" t="n">
        <v>34621</v>
      </c>
      <c r="O502" s="27" t="s">
        <v>344</v>
      </c>
      <c r="P502" s="26" t="n">
        <v>34621</v>
      </c>
      <c r="Q502" s="27" t="s">
        <v>959</v>
      </c>
      <c r="R502" s="27" t="s">
        <v>648</v>
      </c>
      <c r="S502" s="27" t="s">
        <v>345</v>
      </c>
      <c r="T502" s="27" t="s">
        <v>341</v>
      </c>
      <c r="U502" s="27" t="s">
        <v>1717</v>
      </c>
    </row>
    <row r="503" customFormat="false" ht="19.5" hidden="false" customHeight="true" outlineLevel="0" collapsed="false">
      <c r="A503" s="19" t="n">
        <v>3753</v>
      </c>
      <c r="B503" s="15" t="s">
        <v>1718</v>
      </c>
      <c r="C503" s="17" t="s">
        <v>288</v>
      </c>
      <c r="D503" s="16" t="n">
        <v>0.2</v>
      </c>
      <c r="E503" s="17" t="s">
        <v>39</v>
      </c>
      <c r="F503" s="17" t="s">
        <v>39</v>
      </c>
      <c r="G503" s="15" t="s">
        <v>460</v>
      </c>
      <c r="H503" s="18" t="s">
        <v>460</v>
      </c>
      <c r="I503" s="15" t="s">
        <v>356</v>
      </c>
      <c r="J503" s="17" t="s">
        <v>336</v>
      </c>
      <c r="K503" s="17" t="s">
        <v>82</v>
      </c>
      <c r="L503" s="19" t="s">
        <v>82</v>
      </c>
      <c r="M503" s="15" t="s">
        <v>343</v>
      </c>
      <c r="N503" s="17" t="n">
        <v>14024</v>
      </c>
      <c r="O503" s="15" t="s">
        <v>344</v>
      </c>
      <c r="P503" s="19" t="n">
        <v>14024</v>
      </c>
      <c r="Q503" s="15" t="s">
        <v>1274</v>
      </c>
      <c r="R503" s="15" t="s">
        <v>648</v>
      </c>
      <c r="S503" s="15" t="s">
        <v>345</v>
      </c>
      <c r="T503" s="15" t="s">
        <v>341</v>
      </c>
      <c r="U503" s="15" t="s">
        <v>1719</v>
      </c>
    </row>
    <row r="504" customFormat="false" ht="19.5" hidden="false" customHeight="true" outlineLevel="0" collapsed="false">
      <c r="A504" s="26" t="n">
        <v>3754</v>
      </c>
      <c r="B504" s="27" t="s">
        <v>1720</v>
      </c>
      <c r="C504" s="30" t="s">
        <v>314</v>
      </c>
      <c r="D504" s="39" t="n">
        <v>25</v>
      </c>
      <c r="E504" s="30" t="s">
        <v>63</v>
      </c>
      <c r="F504" s="30" t="s">
        <v>63</v>
      </c>
      <c r="G504" s="27" t="s">
        <v>466</v>
      </c>
      <c r="H504" s="40" t="s">
        <v>466</v>
      </c>
      <c r="I504" s="27" t="s">
        <v>560</v>
      </c>
      <c r="J504" s="30" t="s">
        <v>336</v>
      </c>
      <c r="K504" s="30" t="s">
        <v>561</v>
      </c>
      <c r="L504" s="26" t="s">
        <v>561</v>
      </c>
      <c r="M504" s="27" t="s">
        <v>349</v>
      </c>
      <c r="N504" s="30" t="n">
        <v>0</v>
      </c>
      <c r="O504" s="27" t="s">
        <v>339</v>
      </c>
      <c r="P504" s="26" t="s">
        <v>690</v>
      </c>
      <c r="Q504" s="27" t="s">
        <v>691</v>
      </c>
      <c r="R504" s="27" t="s">
        <v>692</v>
      </c>
      <c r="S504" s="27" t="s">
        <v>345</v>
      </c>
      <c r="T504" s="27" t="s">
        <v>341</v>
      </c>
      <c r="U504" s="27" t="s">
        <v>693</v>
      </c>
    </row>
    <row r="505" customFormat="false" ht="19.5" hidden="false" customHeight="true" outlineLevel="0" collapsed="false">
      <c r="A505" s="19" t="n">
        <v>3755</v>
      </c>
      <c r="B505" s="15" t="s">
        <v>1721</v>
      </c>
      <c r="C505" s="17" t="s">
        <v>1712</v>
      </c>
      <c r="D505" s="16" t="n">
        <v>0.2</v>
      </c>
      <c r="E505" s="17" t="s">
        <v>63</v>
      </c>
      <c r="F505" s="17" t="s">
        <v>63</v>
      </c>
      <c r="G505" s="15" t="s">
        <v>505</v>
      </c>
      <c r="H505" s="18" t="s">
        <v>505</v>
      </c>
      <c r="I505" s="15" t="s">
        <v>342</v>
      </c>
      <c r="J505" s="17" t="s">
        <v>336</v>
      </c>
      <c r="K505" s="17" t="s">
        <v>136</v>
      </c>
      <c r="L505" s="19" t="s">
        <v>136</v>
      </c>
      <c r="M505" s="15" t="s">
        <v>343</v>
      </c>
      <c r="N505" s="17" t="n">
        <v>28520</v>
      </c>
      <c r="O505" s="15" t="s">
        <v>344</v>
      </c>
      <c r="P505" s="19" t="n">
        <v>28520</v>
      </c>
      <c r="Q505" s="15" t="s">
        <v>809</v>
      </c>
      <c r="R505" s="15" t="s">
        <v>648</v>
      </c>
      <c r="S505" s="15" t="s">
        <v>345</v>
      </c>
      <c r="T505" s="15" t="s">
        <v>341</v>
      </c>
      <c r="U505" s="15" t="s">
        <v>1722</v>
      </c>
    </row>
    <row r="506" customFormat="false" ht="19.5" hidden="false" customHeight="true" outlineLevel="0" collapsed="false">
      <c r="A506" s="26" t="n">
        <v>3776</v>
      </c>
      <c r="B506" s="27" t="s">
        <v>673</v>
      </c>
      <c r="C506" s="30" t="s">
        <v>272</v>
      </c>
      <c r="D506" s="39" t="n">
        <v>5</v>
      </c>
      <c r="E506" s="30" t="s">
        <v>63</v>
      </c>
      <c r="F506" s="30" t="s">
        <v>63</v>
      </c>
      <c r="G506" s="27" t="s">
        <v>359</v>
      </c>
      <c r="H506" s="40" t="s">
        <v>359</v>
      </c>
      <c r="I506" s="27" t="s">
        <v>356</v>
      </c>
      <c r="J506" s="30" t="s">
        <v>336</v>
      </c>
      <c r="K506" s="30" t="s">
        <v>82</v>
      </c>
      <c r="L506" s="26" t="s">
        <v>82</v>
      </c>
      <c r="M506" s="27" t="s">
        <v>343</v>
      </c>
      <c r="N506" s="30" t="n">
        <v>26718</v>
      </c>
      <c r="O506" s="27" t="s">
        <v>344</v>
      </c>
      <c r="P506" s="26" t="n">
        <v>26718</v>
      </c>
      <c r="Q506" s="27" t="s">
        <v>674</v>
      </c>
      <c r="R506" s="27" t="s">
        <v>648</v>
      </c>
      <c r="S506" s="27" t="s">
        <v>345</v>
      </c>
      <c r="T506" s="27" t="s">
        <v>341</v>
      </c>
      <c r="U506" s="27" t="s">
        <v>675</v>
      </c>
    </row>
    <row r="507" customFormat="false" ht="19.5" hidden="false" customHeight="true" outlineLevel="0" collapsed="false">
      <c r="A507" s="19" t="n">
        <v>3789</v>
      </c>
      <c r="B507" s="15" t="s">
        <v>1723</v>
      </c>
      <c r="C507" s="17" t="s">
        <v>275</v>
      </c>
      <c r="D507" s="16" t="n">
        <v>10</v>
      </c>
      <c r="E507" s="17" t="s">
        <v>63</v>
      </c>
      <c r="F507" s="17" t="s">
        <v>63</v>
      </c>
      <c r="G507" s="15" t="s">
        <v>78</v>
      </c>
      <c r="H507" s="18" t="s">
        <v>78</v>
      </c>
      <c r="I507" s="15" t="s">
        <v>356</v>
      </c>
      <c r="J507" s="17" t="s">
        <v>360</v>
      </c>
      <c r="K507" s="17" t="s">
        <v>51</v>
      </c>
      <c r="L507" s="19" t="s">
        <v>51</v>
      </c>
      <c r="M507" s="15" t="s">
        <v>361</v>
      </c>
      <c r="N507" s="17" t="n">
        <v>5924</v>
      </c>
      <c r="O507" s="15" t="s">
        <v>344</v>
      </c>
      <c r="P507" s="19" t="n">
        <v>5924</v>
      </c>
      <c r="Q507" s="15" t="s">
        <v>1724</v>
      </c>
      <c r="R507" s="15" t="s">
        <v>648</v>
      </c>
      <c r="S507" s="15" t="s">
        <v>345</v>
      </c>
      <c r="T507" s="15" t="s">
        <v>341</v>
      </c>
      <c r="U507" s="15" t="s">
        <v>1725</v>
      </c>
    </row>
    <row r="508" customFormat="false" ht="19.5" hidden="false" customHeight="true" outlineLevel="0" collapsed="false">
      <c r="A508" s="26" t="n">
        <v>3882</v>
      </c>
      <c r="B508" s="27" t="s">
        <v>1726</v>
      </c>
      <c r="C508" s="30" t="s">
        <v>287</v>
      </c>
      <c r="D508" s="39" t="n">
        <v>10</v>
      </c>
      <c r="E508" s="30" t="s">
        <v>63</v>
      </c>
      <c r="F508" s="30" t="s">
        <v>63</v>
      </c>
      <c r="G508" s="27" t="s">
        <v>532</v>
      </c>
      <c r="H508" s="40" t="s">
        <v>532</v>
      </c>
      <c r="I508" s="27" t="s">
        <v>379</v>
      </c>
      <c r="J508" s="30" t="s">
        <v>336</v>
      </c>
      <c r="K508" s="30" t="s">
        <v>530</v>
      </c>
      <c r="L508" s="26" t="s">
        <v>530</v>
      </c>
      <c r="M508" s="27" t="s">
        <v>343</v>
      </c>
      <c r="N508" s="30" t="n">
        <v>6313</v>
      </c>
      <c r="O508" s="27" t="s">
        <v>344</v>
      </c>
      <c r="P508" s="26" t="n">
        <v>6313</v>
      </c>
      <c r="Q508" s="27" t="s">
        <v>861</v>
      </c>
      <c r="R508" s="27" t="s">
        <v>648</v>
      </c>
      <c r="S508" s="27" t="s">
        <v>345</v>
      </c>
      <c r="T508" s="27" t="s">
        <v>341</v>
      </c>
      <c r="U508" s="27" t="s">
        <v>862</v>
      </c>
    </row>
    <row r="509" customFormat="false" ht="19.5" hidden="false" customHeight="true" outlineLevel="0" collapsed="false">
      <c r="A509" s="19" t="n">
        <v>3883</v>
      </c>
      <c r="B509" s="15" t="s">
        <v>1727</v>
      </c>
      <c r="C509" s="17" t="s">
        <v>263</v>
      </c>
      <c r="D509" s="16" t="n">
        <v>20</v>
      </c>
      <c r="E509" s="17" t="s">
        <v>39</v>
      </c>
      <c r="F509" s="17" t="s">
        <v>39</v>
      </c>
      <c r="G509" s="15" t="s">
        <v>110</v>
      </c>
      <c r="H509" s="18" t="s">
        <v>110</v>
      </c>
      <c r="I509" s="15" t="s">
        <v>342</v>
      </c>
      <c r="J509" s="17" t="s">
        <v>336</v>
      </c>
      <c r="K509" s="17" t="s">
        <v>111</v>
      </c>
      <c r="L509" s="19" t="s">
        <v>111</v>
      </c>
      <c r="M509" s="15" t="s">
        <v>343</v>
      </c>
      <c r="N509" s="17" t="n">
        <v>4900</v>
      </c>
      <c r="O509" s="15" t="s">
        <v>344</v>
      </c>
      <c r="P509" s="19" t="n">
        <v>4900</v>
      </c>
      <c r="Q509" s="15" t="s">
        <v>1704</v>
      </c>
      <c r="R509" s="15" t="s">
        <v>648</v>
      </c>
      <c r="S509" s="15" t="s">
        <v>345</v>
      </c>
      <c r="T509" s="15" t="s">
        <v>341</v>
      </c>
      <c r="U509" s="15" t="s">
        <v>1705</v>
      </c>
    </row>
    <row r="510" customFormat="false" ht="19.5" hidden="false" customHeight="true" outlineLevel="0" collapsed="false">
      <c r="A510" s="26" t="n">
        <v>3884</v>
      </c>
      <c r="B510" s="27" t="s">
        <v>1728</v>
      </c>
      <c r="C510" s="30" t="s">
        <v>263</v>
      </c>
      <c r="D510" s="39" t="n">
        <v>20</v>
      </c>
      <c r="E510" s="30" t="s">
        <v>39</v>
      </c>
      <c r="F510" s="30" t="s">
        <v>39</v>
      </c>
      <c r="G510" s="27" t="s">
        <v>155</v>
      </c>
      <c r="H510" s="40" t="s">
        <v>155</v>
      </c>
      <c r="I510" s="27" t="s">
        <v>342</v>
      </c>
      <c r="J510" s="30" t="s">
        <v>336</v>
      </c>
      <c r="K510" s="30" t="s">
        <v>111</v>
      </c>
      <c r="L510" s="26" t="s">
        <v>111</v>
      </c>
      <c r="M510" s="27" t="s">
        <v>343</v>
      </c>
      <c r="N510" s="30" t="n">
        <v>1109</v>
      </c>
      <c r="O510" s="27" t="s">
        <v>344</v>
      </c>
      <c r="P510" s="26" t="n">
        <v>1109</v>
      </c>
      <c r="Q510" s="27" t="s">
        <v>1729</v>
      </c>
      <c r="R510" s="27" t="s">
        <v>648</v>
      </c>
      <c r="S510" s="27" t="s">
        <v>345</v>
      </c>
      <c r="T510" s="27" t="s">
        <v>341</v>
      </c>
      <c r="U510" s="27" t="s">
        <v>1730</v>
      </c>
    </row>
    <row r="511" customFormat="false" ht="19.5" hidden="false" customHeight="true" outlineLevel="0" collapsed="false">
      <c r="A511" s="19" t="n">
        <v>3895</v>
      </c>
      <c r="B511" s="15" t="s">
        <v>1731</v>
      </c>
      <c r="C511" s="17" t="s">
        <v>263</v>
      </c>
      <c r="D511" s="16" t="n">
        <v>20</v>
      </c>
      <c r="E511" s="17" t="s">
        <v>39</v>
      </c>
      <c r="F511" s="17" t="s">
        <v>39</v>
      </c>
      <c r="G511" s="15" t="s">
        <v>411</v>
      </c>
      <c r="H511" s="18" t="s">
        <v>411</v>
      </c>
      <c r="I511" s="15" t="s">
        <v>342</v>
      </c>
      <c r="J511" s="17" t="s">
        <v>336</v>
      </c>
      <c r="K511" s="17" t="s">
        <v>111</v>
      </c>
      <c r="L511" s="19" t="s">
        <v>111</v>
      </c>
      <c r="M511" s="15" t="s">
        <v>343</v>
      </c>
      <c r="N511" s="17" t="n">
        <v>19018</v>
      </c>
      <c r="O511" s="15" t="s">
        <v>344</v>
      </c>
      <c r="P511" s="19" t="n">
        <v>19018</v>
      </c>
      <c r="Q511" s="15" t="s">
        <v>1673</v>
      </c>
      <c r="R511" s="15" t="s">
        <v>648</v>
      </c>
      <c r="S511" s="15" t="s">
        <v>345</v>
      </c>
      <c r="T511" s="15" t="s">
        <v>341</v>
      </c>
      <c r="U511" s="15" t="s">
        <v>1732</v>
      </c>
    </row>
    <row r="512" customFormat="false" ht="19.5" hidden="false" customHeight="true" outlineLevel="0" collapsed="false">
      <c r="A512" s="26" t="n">
        <v>3898</v>
      </c>
      <c r="B512" s="27" t="s">
        <v>1733</v>
      </c>
      <c r="C512" s="30" t="s">
        <v>288</v>
      </c>
      <c r="D512" s="39" t="n">
        <v>0.2</v>
      </c>
      <c r="E512" s="30" t="s">
        <v>39</v>
      </c>
      <c r="F512" s="30" t="s">
        <v>39</v>
      </c>
      <c r="G512" s="27" t="s">
        <v>114</v>
      </c>
      <c r="H512" s="40" t="s">
        <v>114</v>
      </c>
      <c r="I512" s="27" t="s">
        <v>356</v>
      </c>
      <c r="J512" s="30" t="s">
        <v>336</v>
      </c>
      <c r="K512" s="30" t="s">
        <v>82</v>
      </c>
      <c r="L512" s="26" t="s">
        <v>82</v>
      </c>
      <c r="M512" s="27" t="s">
        <v>343</v>
      </c>
      <c r="N512" s="30" t="n">
        <v>36419</v>
      </c>
      <c r="O512" s="27" t="s">
        <v>344</v>
      </c>
      <c r="P512" s="26" t="n">
        <v>36419</v>
      </c>
      <c r="Q512" s="27" t="s">
        <v>1481</v>
      </c>
      <c r="R512" s="27" t="s">
        <v>648</v>
      </c>
      <c r="S512" s="27" t="s">
        <v>345</v>
      </c>
      <c r="T512" s="27" t="s">
        <v>341</v>
      </c>
      <c r="U512" s="27" t="s">
        <v>1490</v>
      </c>
    </row>
    <row r="513" customFormat="false" ht="19.5" hidden="false" customHeight="true" outlineLevel="0" collapsed="false">
      <c r="A513" s="19" t="n">
        <v>3900</v>
      </c>
      <c r="B513" s="15" t="s">
        <v>1734</v>
      </c>
      <c r="C513" s="17" t="s">
        <v>263</v>
      </c>
      <c r="D513" s="16" t="n">
        <v>20</v>
      </c>
      <c r="E513" s="17" t="s">
        <v>39</v>
      </c>
      <c r="F513" s="17" t="s">
        <v>39</v>
      </c>
      <c r="G513" s="15" t="s">
        <v>468</v>
      </c>
      <c r="H513" s="18" t="s">
        <v>468</v>
      </c>
      <c r="I513" s="15" t="s">
        <v>469</v>
      </c>
      <c r="J513" s="17" t="s">
        <v>336</v>
      </c>
      <c r="K513" s="17" t="s">
        <v>82</v>
      </c>
      <c r="L513" s="19" t="s">
        <v>82</v>
      </c>
      <c r="M513" s="15" t="s">
        <v>343</v>
      </c>
      <c r="N513" s="17" t="n">
        <v>2520</v>
      </c>
      <c r="O513" s="15" t="s">
        <v>344</v>
      </c>
      <c r="P513" s="19" t="n">
        <v>2520</v>
      </c>
      <c r="Q513" s="15" t="s">
        <v>794</v>
      </c>
      <c r="R513" s="15" t="s">
        <v>648</v>
      </c>
      <c r="S513" s="15" t="s">
        <v>345</v>
      </c>
      <c r="T513" s="15" t="s">
        <v>341</v>
      </c>
      <c r="U513" s="15" t="s">
        <v>795</v>
      </c>
    </row>
    <row r="514" customFormat="false" ht="19.5" hidden="false" customHeight="true" outlineLevel="0" collapsed="false">
      <c r="A514" s="26" t="n">
        <v>3905</v>
      </c>
      <c r="B514" s="27" t="s">
        <v>1735</v>
      </c>
      <c r="C514" s="30" t="s">
        <v>263</v>
      </c>
      <c r="D514" s="39" t="n">
        <v>20</v>
      </c>
      <c r="E514" s="30" t="s">
        <v>39</v>
      </c>
      <c r="F514" s="30" t="s">
        <v>39</v>
      </c>
      <c r="G514" s="27" t="s">
        <v>446</v>
      </c>
      <c r="H514" s="40" t="s">
        <v>446</v>
      </c>
      <c r="I514" s="27" t="s">
        <v>447</v>
      </c>
      <c r="J514" s="30" t="s">
        <v>336</v>
      </c>
      <c r="K514" s="30" t="s">
        <v>111</v>
      </c>
      <c r="L514" s="26" t="s">
        <v>111</v>
      </c>
      <c r="M514" s="27" t="s">
        <v>343</v>
      </c>
      <c r="N514" s="30" t="n">
        <v>34621</v>
      </c>
      <c r="O514" s="27" t="s">
        <v>344</v>
      </c>
      <c r="P514" s="26" t="n">
        <v>34621</v>
      </c>
      <c r="Q514" s="27" t="s">
        <v>959</v>
      </c>
      <c r="R514" s="27" t="s">
        <v>648</v>
      </c>
      <c r="S514" s="27" t="s">
        <v>345</v>
      </c>
      <c r="T514" s="27" t="s">
        <v>341</v>
      </c>
      <c r="U514" s="27" t="s">
        <v>960</v>
      </c>
    </row>
    <row r="515" customFormat="false" ht="19.5" hidden="false" customHeight="true" outlineLevel="0" collapsed="false">
      <c r="A515" s="19" t="n">
        <v>3936</v>
      </c>
      <c r="B515" s="15" t="s">
        <v>1736</v>
      </c>
      <c r="C515" s="17" t="s">
        <v>275</v>
      </c>
      <c r="D515" s="16" t="n">
        <v>10</v>
      </c>
      <c r="E515" s="17" t="s">
        <v>63</v>
      </c>
      <c r="F515" s="17" t="s">
        <v>63</v>
      </c>
      <c r="G515" s="15" t="s">
        <v>78</v>
      </c>
      <c r="H515" s="18" t="s">
        <v>78</v>
      </c>
      <c r="I515" s="15" t="s">
        <v>356</v>
      </c>
      <c r="J515" s="17" t="s">
        <v>360</v>
      </c>
      <c r="K515" s="17" t="s">
        <v>51</v>
      </c>
      <c r="L515" s="19" t="s">
        <v>51</v>
      </c>
      <c r="M515" s="15" t="s">
        <v>361</v>
      </c>
      <c r="N515" s="17" t="n">
        <v>5924</v>
      </c>
      <c r="O515" s="15" t="s">
        <v>344</v>
      </c>
      <c r="P515" s="19" t="n">
        <v>5924</v>
      </c>
      <c r="Q515" s="15" t="s">
        <v>1724</v>
      </c>
      <c r="R515" s="15" t="s">
        <v>648</v>
      </c>
      <c r="S515" s="15" t="s">
        <v>345</v>
      </c>
      <c r="T515" s="15" t="s">
        <v>341</v>
      </c>
      <c r="U515" s="15" t="s">
        <v>1725</v>
      </c>
    </row>
    <row r="516" customFormat="false" ht="19.5" hidden="false" customHeight="true" outlineLevel="0" collapsed="false">
      <c r="A516" s="26" t="n">
        <v>3968</v>
      </c>
      <c r="B516" s="27" t="s">
        <v>1737</v>
      </c>
      <c r="C516" s="30" t="s">
        <v>903</v>
      </c>
      <c r="D516" s="39" t="n">
        <v>25</v>
      </c>
      <c r="E516" s="30" t="s">
        <v>39</v>
      </c>
      <c r="F516" s="30" t="s">
        <v>39</v>
      </c>
      <c r="G516" s="27" t="s">
        <v>552</v>
      </c>
      <c r="H516" s="40" t="s">
        <v>552</v>
      </c>
      <c r="I516" s="27" t="s">
        <v>542</v>
      </c>
      <c r="J516" s="30" t="s">
        <v>336</v>
      </c>
      <c r="K516" s="30" t="s">
        <v>543</v>
      </c>
      <c r="L516" s="26" t="s">
        <v>543</v>
      </c>
      <c r="M516" s="27" t="s">
        <v>349</v>
      </c>
      <c r="N516" s="30" t="n">
        <v>0</v>
      </c>
      <c r="O516" s="27" t="s">
        <v>339</v>
      </c>
      <c r="P516" s="26" t="s">
        <v>690</v>
      </c>
      <c r="Q516" s="27" t="s">
        <v>691</v>
      </c>
      <c r="R516" s="27" t="s">
        <v>692</v>
      </c>
      <c r="S516" s="27" t="s">
        <v>345</v>
      </c>
      <c r="T516" s="27" t="s">
        <v>341</v>
      </c>
      <c r="U516" s="27" t="s">
        <v>693</v>
      </c>
    </row>
    <row r="517" customFormat="false" ht="19.5" hidden="false" customHeight="true" outlineLevel="0" collapsed="false">
      <c r="A517" s="19" t="n">
        <v>3974</v>
      </c>
      <c r="B517" s="15" t="s">
        <v>101</v>
      </c>
      <c r="C517" s="17" t="s">
        <v>288</v>
      </c>
      <c r="D517" s="16" t="n">
        <v>0.2</v>
      </c>
      <c r="E517" s="17" t="s">
        <v>39</v>
      </c>
      <c r="F517" s="17" t="s">
        <v>63</v>
      </c>
      <c r="G517" s="15" t="s">
        <v>102</v>
      </c>
      <c r="H517" s="18" t="s">
        <v>102</v>
      </c>
      <c r="I517" s="15" t="s">
        <v>356</v>
      </c>
      <c r="J517" s="17" t="s">
        <v>336</v>
      </c>
      <c r="K517" s="17" t="s">
        <v>82</v>
      </c>
      <c r="L517" s="19" t="s">
        <v>82</v>
      </c>
      <c r="M517" s="15" t="s">
        <v>343</v>
      </c>
      <c r="N517" s="17" t="n">
        <v>31522</v>
      </c>
      <c r="O517" s="15" t="s">
        <v>344</v>
      </c>
      <c r="P517" s="19" t="n">
        <v>31522</v>
      </c>
      <c r="Q517" s="15" t="s">
        <v>876</v>
      </c>
      <c r="R517" s="15" t="s">
        <v>648</v>
      </c>
      <c r="S517" s="15" t="s">
        <v>345</v>
      </c>
      <c r="T517" s="15" t="s">
        <v>341</v>
      </c>
      <c r="U517" s="15" t="s">
        <v>1738</v>
      </c>
    </row>
    <row r="518" customFormat="false" ht="19.5" hidden="false" customHeight="true" outlineLevel="0" collapsed="false">
      <c r="A518" s="26" t="n">
        <v>3975</v>
      </c>
      <c r="B518" s="27" t="s">
        <v>1739</v>
      </c>
      <c r="C518" s="30" t="s">
        <v>288</v>
      </c>
      <c r="D518" s="39" t="n">
        <v>0.2</v>
      </c>
      <c r="E518" s="30" t="s">
        <v>39</v>
      </c>
      <c r="F518" s="30" t="s">
        <v>39</v>
      </c>
      <c r="G518" s="27" t="s">
        <v>411</v>
      </c>
      <c r="H518" s="40" t="s">
        <v>411</v>
      </c>
      <c r="I518" s="27" t="s">
        <v>342</v>
      </c>
      <c r="J518" s="30" t="s">
        <v>336</v>
      </c>
      <c r="K518" s="30" t="s">
        <v>111</v>
      </c>
      <c r="L518" s="26" t="s">
        <v>111</v>
      </c>
      <c r="M518" s="27" t="s">
        <v>343</v>
      </c>
      <c r="N518" s="30" t="n">
        <v>22221</v>
      </c>
      <c r="O518" s="27" t="s">
        <v>344</v>
      </c>
      <c r="P518" s="26" t="n">
        <v>22221</v>
      </c>
      <c r="Q518" s="27" t="s">
        <v>732</v>
      </c>
      <c r="R518" s="27" t="s">
        <v>648</v>
      </c>
      <c r="S518" s="27" t="s">
        <v>345</v>
      </c>
      <c r="T518" s="27" t="s">
        <v>341</v>
      </c>
      <c r="U518" s="27" t="s">
        <v>1740</v>
      </c>
    </row>
    <row r="519" customFormat="false" ht="19.5" hidden="false" customHeight="true" outlineLevel="0" collapsed="false">
      <c r="A519" s="19" t="n">
        <v>4007</v>
      </c>
      <c r="B519" s="15" t="s">
        <v>1741</v>
      </c>
      <c r="C519" s="17" t="s">
        <v>260</v>
      </c>
      <c r="D519" s="16" t="n">
        <v>5</v>
      </c>
      <c r="E519" s="17" t="s">
        <v>39</v>
      </c>
      <c r="F519" s="17" t="s">
        <v>39</v>
      </c>
      <c r="G519" s="15" t="s">
        <v>114</v>
      </c>
      <c r="H519" s="18" t="s">
        <v>114</v>
      </c>
      <c r="I519" s="15" t="s">
        <v>356</v>
      </c>
      <c r="J519" s="17" t="s">
        <v>336</v>
      </c>
      <c r="K519" s="17" t="s">
        <v>82</v>
      </c>
      <c r="L519" s="19" t="s">
        <v>82</v>
      </c>
      <c r="M519" s="15" t="s">
        <v>343</v>
      </c>
      <c r="N519" s="17" t="n">
        <v>12123</v>
      </c>
      <c r="O519" s="15" t="s">
        <v>344</v>
      </c>
      <c r="P519" s="19" t="n">
        <v>12123</v>
      </c>
      <c r="Q519" s="15" t="s">
        <v>1742</v>
      </c>
      <c r="R519" s="15" t="s">
        <v>648</v>
      </c>
      <c r="S519" s="15" t="s">
        <v>345</v>
      </c>
      <c r="T519" s="15" t="s">
        <v>341</v>
      </c>
      <c r="U519" s="15" t="s">
        <v>1743</v>
      </c>
    </row>
    <row r="520" customFormat="false" ht="19.5" hidden="false" customHeight="true" outlineLevel="0" collapsed="false">
      <c r="A520" s="26" t="n">
        <v>4008</v>
      </c>
      <c r="B520" s="27" t="s">
        <v>1744</v>
      </c>
      <c r="C520" s="30" t="s">
        <v>263</v>
      </c>
      <c r="D520" s="39" t="n">
        <v>20</v>
      </c>
      <c r="E520" s="30" t="s">
        <v>39</v>
      </c>
      <c r="F520" s="30" t="s">
        <v>39</v>
      </c>
      <c r="G520" s="27" t="s">
        <v>315</v>
      </c>
      <c r="H520" s="40" t="s">
        <v>315</v>
      </c>
      <c r="I520" s="27" t="s">
        <v>355</v>
      </c>
      <c r="J520" s="30" t="s">
        <v>360</v>
      </c>
      <c r="K520" s="30" t="s">
        <v>51</v>
      </c>
      <c r="L520" s="26" t="s">
        <v>51</v>
      </c>
      <c r="M520" s="27" t="s">
        <v>361</v>
      </c>
      <c r="N520" s="30" t="n">
        <v>28421</v>
      </c>
      <c r="O520" s="27" t="s">
        <v>344</v>
      </c>
      <c r="P520" s="26" t="n">
        <v>28421</v>
      </c>
      <c r="Q520" s="27" t="s">
        <v>1421</v>
      </c>
      <c r="R520" s="27" t="s">
        <v>648</v>
      </c>
      <c r="S520" s="27" t="s">
        <v>345</v>
      </c>
      <c r="T520" s="27" t="s">
        <v>341</v>
      </c>
      <c r="U520" s="27" t="s">
        <v>1745</v>
      </c>
    </row>
    <row r="521" customFormat="false" ht="19.5" hidden="false" customHeight="true" outlineLevel="0" collapsed="false">
      <c r="A521" s="19" t="n">
        <v>4016</v>
      </c>
      <c r="B521" s="15" t="s">
        <v>1746</v>
      </c>
      <c r="C521" s="17" t="s">
        <v>854</v>
      </c>
      <c r="D521" s="16" t="n">
        <v>15</v>
      </c>
      <c r="E521" s="17" t="s">
        <v>63</v>
      </c>
      <c r="F521" s="17" t="s">
        <v>63</v>
      </c>
      <c r="G521" s="15" t="s">
        <v>531</v>
      </c>
      <c r="H521" s="18" t="s">
        <v>531</v>
      </c>
      <c r="I521" s="15" t="s">
        <v>379</v>
      </c>
      <c r="J521" s="17" t="s">
        <v>336</v>
      </c>
      <c r="K521" s="17" t="s">
        <v>530</v>
      </c>
      <c r="L521" s="19" t="s">
        <v>530</v>
      </c>
      <c r="M521" s="15" t="s">
        <v>343</v>
      </c>
      <c r="N521" s="17" t="n">
        <v>2004</v>
      </c>
      <c r="O521" s="15" t="s">
        <v>344</v>
      </c>
      <c r="P521" s="19" t="n">
        <v>2004</v>
      </c>
      <c r="Q521" s="15" t="s">
        <v>1277</v>
      </c>
      <c r="R521" s="15" t="s">
        <v>648</v>
      </c>
      <c r="S521" s="15" t="s">
        <v>345</v>
      </c>
      <c r="T521" s="15" t="s">
        <v>341</v>
      </c>
      <c r="U521" s="15" t="s">
        <v>1278</v>
      </c>
    </row>
    <row r="522" customFormat="false" ht="19.5" hidden="false" customHeight="true" outlineLevel="0" collapsed="false">
      <c r="A522" s="26" t="n">
        <v>4158</v>
      </c>
      <c r="B522" s="27" t="s">
        <v>1747</v>
      </c>
      <c r="C522" s="30" t="s">
        <v>263</v>
      </c>
      <c r="D522" s="39" t="n">
        <v>20</v>
      </c>
      <c r="E522" s="30" t="s">
        <v>39</v>
      </c>
      <c r="F522" s="30" t="s">
        <v>39</v>
      </c>
      <c r="G522" s="27" t="s">
        <v>411</v>
      </c>
      <c r="H522" s="40" t="s">
        <v>411</v>
      </c>
      <c r="I522" s="27" t="s">
        <v>342</v>
      </c>
      <c r="J522" s="30" t="s">
        <v>336</v>
      </c>
      <c r="K522" s="30" t="s">
        <v>111</v>
      </c>
      <c r="L522" s="26" t="s">
        <v>111</v>
      </c>
      <c r="M522" s="27" t="s">
        <v>343</v>
      </c>
      <c r="N522" s="30" t="n">
        <v>8510</v>
      </c>
      <c r="O522" s="27" t="s">
        <v>344</v>
      </c>
      <c r="P522" s="26" t="n">
        <v>8510</v>
      </c>
      <c r="Q522" s="27" t="s">
        <v>1748</v>
      </c>
      <c r="R522" s="27" t="s">
        <v>648</v>
      </c>
      <c r="S522" s="27" t="s">
        <v>345</v>
      </c>
      <c r="T522" s="27" t="s">
        <v>341</v>
      </c>
      <c r="U522" s="27" t="s">
        <v>1749</v>
      </c>
    </row>
    <row r="523" customFormat="false" ht="19.5" hidden="false" customHeight="true" outlineLevel="0" collapsed="false">
      <c r="A523" s="19" t="n">
        <v>4161</v>
      </c>
      <c r="B523" s="15" t="s">
        <v>1750</v>
      </c>
      <c r="C523" s="17" t="s">
        <v>260</v>
      </c>
      <c r="D523" s="16" t="n">
        <v>5</v>
      </c>
      <c r="E523" s="17" t="s">
        <v>39</v>
      </c>
      <c r="F523" s="17" t="s">
        <v>39</v>
      </c>
      <c r="G523" s="15" t="s">
        <v>114</v>
      </c>
      <c r="H523" s="18" t="s">
        <v>114</v>
      </c>
      <c r="I523" s="15" t="s">
        <v>356</v>
      </c>
      <c r="J523" s="17" t="s">
        <v>336</v>
      </c>
      <c r="K523" s="17" t="s">
        <v>82</v>
      </c>
      <c r="L523" s="19" t="s">
        <v>82</v>
      </c>
      <c r="M523" s="15" t="s">
        <v>343</v>
      </c>
      <c r="N523" s="17" t="n">
        <v>23522</v>
      </c>
      <c r="O523" s="15" t="s">
        <v>344</v>
      </c>
      <c r="P523" s="19" t="n">
        <v>23522</v>
      </c>
      <c r="Q523" s="15" t="s">
        <v>1751</v>
      </c>
      <c r="R523" s="15" t="s">
        <v>648</v>
      </c>
      <c r="S523" s="15" t="s">
        <v>345</v>
      </c>
      <c r="T523" s="15" t="s">
        <v>341</v>
      </c>
      <c r="U523" s="15" t="s">
        <v>1752</v>
      </c>
    </row>
    <row r="524" customFormat="false" ht="19.5" hidden="false" customHeight="true" outlineLevel="0" collapsed="false">
      <c r="A524" s="26" t="n">
        <v>4218</v>
      </c>
      <c r="B524" s="27" t="s">
        <v>1753</v>
      </c>
      <c r="C524" s="30" t="s">
        <v>288</v>
      </c>
      <c r="D524" s="39" t="n">
        <v>0.2</v>
      </c>
      <c r="E524" s="30" t="s">
        <v>39</v>
      </c>
      <c r="F524" s="30" t="s">
        <v>39</v>
      </c>
      <c r="G524" s="27" t="s">
        <v>412</v>
      </c>
      <c r="H524" s="40" t="s">
        <v>412</v>
      </c>
      <c r="I524" s="27" t="s">
        <v>342</v>
      </c>
      <c r="J524" s="30" t="s">
        <v>336</v>
      </c>
      <c r="K524" s="30" t="s">
        <v>111</v>
      </c>
      <c r="L524" s="26" t="s">
        <v>111</v>
      </c>
      <c r="M524" s="27" t="s">
        <v>343</v>
      </c>
      <c r="N524" s="30" t="n">
        <v>23922</v>
      </c>
      <c r="O524" s="27" t="s">
        <v>344</v>
      </c>
      <c r="P524" s="26" t="n">
        <v>23922</v>
      </c>
      <c r="Q524" s="27" t="s">
        <v>1550</v>
      </c>
      <c r="R524" s="27" t="s">
        <v>648</v>
      </c>
      <c r="S524" s="27" t="s">
        <v>345</v>
      </c>
      <c r="T524" s="27" t="s">
        <v>341</v>
      </c>
      <c r="U524" s="27" t="s">
        <v>1754</v>
      </c>
    </row>
    <row r="525" customFormat="false" ht="19.5" hidden="false" customHeight="true" outlineLevel="0" collapsed="false">
      <c r="A525" s="19" t="n">
        <v>4222</v>
      </c>
      <c r="B525" s="15" t="s">
        <v>1755</v>
      </c>
      <c r="C525" s="17" t="s">
        <v>288</v>
      </c>
      <c r="D525" s="16" t="n">
        <v>0.2</v>
      </c>
      <c r="E525" s="17" t="s">
        <v>39</v>
      </c>
      <c r="F525" s="17" t="s">
        <v>39</v>
      </c>
      <c r="G525" s="15" t="s">
        <v>534</v>
      </c>
      <c r="H525" s="18" t="s">
        <v>534</v>
      </c>
      <c r="I525" s="15" t="s">
        <v>342</v>
      </c>
      <c r="J525" s="17" t="s">
        <v>336</v>
      </c>
      <c r="K525" s="17" t="s">
        <v>111</v>
      </c>
      <c r="L525" s="19" t="s">
        <v>111</v>
      </c>
      <c r="M525" s="15" t="s">
        <v>343</v>
      </c>
      <c r="N525" s="17" t="n">
        <v>26017</v>
      </c>
      <c r="O525" s="15" t="s">
        <v>344</v>
      </c>
      <c r="P525" s="19" t="n">
        <v>26017</v>
      </c>
      <c r="Q525" s="15" t="s">
        <v>1154</v>
      </c>
      <c r="R525" s="15" t="s">
        <v>648</v>
      </c>
      <c r="S525" s="15" t="s">
        <v>345</v>
      </c>
      <c r="T525" s="15" t="s">
        <v>341</v>
      </c>
      <c r="U525" s="15" t="s">
        <v>1155</v>
      </c>
    </row>
    <row r="526" customFormat="false" ht="19.5" hidden="false" customHeight="true" outlineLevel="0" collapsed="false">
      <c r="A526" s="26" t="n">
        <v>4260</v>
      </c>
      <c r="B526" s="27" t="s">
        <v>1756</v>
      </c>
      <c r="C526" s="30" t="s">
        <v>1143</v>
      </c>
      <c r="D526" s="39" t="n">
        <v>1</v>
      </c>
      <c r="E526" s="30" t="s">
        <v>39</v>
      </c>
      <c r="F526" s="30" t="s">
        <v>39</v>
      </c>
      <c r="G526" s="27" t="s">
        <v>487</v>
      </c>
      <c r="H526" s="40" t="s">
        <v>487</v>
      </c>
      <c r="I526" s="27" t="s">
        <v>379</v>
      </c>
      <c r="J526" s="30" t="s">
        <v>336</v>
      </c>
      <c r="K526" s="30" t="s">
        <v>140</v>
      </c>
      <c r="L526" s="26" t="s">
        <v>140</v>
      </c>
      <c r="M526" s="27" t="s">
        <v>343</v>
      </c>
      <c r="N526" s="30" t="n">
        <v>8813</v>
      </c>
      <c r="O526" s="27" t="s">
        <v>344</v>
      </c>
      <c r="P526" s="26" t="n">
        <v>8813</v>
      </c>
      <c r="Q526" s="27" t="s">
        <v>800</v>
      </c>
      <c r="R526" s="27" t="s">
        <v>648</v>
      </c>
      <c r="S526" s="27" t="s">
        <v>345</v>
      </c>
      <c r="T526" s="27" t="s">
        <v>341</v>
      </c>
      <c r="U526" s="27" t="s">
        <v>801</v>
      </c>
    </row>
    <row r="527" customFormat="false" ht="19.5" hidden="false" customHeight="true" outlineLevel="0" collapsed="false">
      <c r="A527" s="19" t="n">
        <v>4278</v>
      </c>
      <c r="B527" s="15" t="s">
        <v>1757</v>
      </c>
      <c r="C527" s="17" t="s">
        <v>1082</v>
      </c>
      <c r="D527" s="16" t="n">
        <v>1000</v>
      </c>
      <c r="E527" s="17" t="s">
        <v>39</v>
      </c>
      <c r="F527" s="17" t="s">
        <v>39</v>
      </c>
      <c r="G527" s="15" t="s">
        <v>540</v>
      </c>
      <c r="H527" s="18" t="s">
        <v>540</v>
      </c>
      <c r="I527" s="15" t="s">
        <v>467</v>
      </c>
      <c r="J527" s="17" t="s">
        <v>336</v>
      </c>
      <c r="K527" s="17" t="s">
        <v>159</v>
      </c>
      <c r="L527" s="19" t="s">
        <v>159</v>
      </c>
      <c r="M527" s="15" t="s">
        <v>349</v>
      </c>
      <c r="N527" s="17" t="n">
        <v>0</v>
      </c>
      <c r="O527" s="15" t="s">
        <v>339</v>
      </c>
      <c r="P527" s="19" t="s">
        <v>690</v>
      </c>
      <c r="Q527" s="15" t="s">
        <v>691</v>
      </c>
      <c r="R527" s="15" t="s">
        <v>692</v>
      </c>
      <c r="S527" s="15" t="s">
        <v>345</v>
      </c>
      <c r="T527" s="15" t="s">
        <v>341</v>
      </c>
      <c r="U527" s="15" t="s">
        <v>693</v>
      </c>
    </row>
    <row r="528" customFormat="false" ht="19.5" hidden="false" customHeight="true" outlineLevel="0" collapsed="false">
      <c r="A528" s="26" t="n">
        <v>4279</v>
      </c>
      <c r="B528" s="27" t="s">
        <v>1758</v>
      </c>
      <c r="C528" s="30" t="s">
        <v>288</v>
      </c>
      <c r="D528" s="39" t="n">
        <v>0.2</v>
      </c>
      <c r="E528" s="30" t="s">
        <v>39</v>
      </c>
      <c r="F528" s="30" t="s">
        <v>39</v>
      </c>
      <c r="G528" s="27" t="s">
        <v>429</v>
      </c>
      <c r="H528" s="40" t="s">
        <v>429</v>
      </c>
      <c r="I528" s="27" t="s">
        <v>356</v>
      </c>
      <c r="J528" s="30" t="s">
        <v>336</v>
      </c>
      <c r="K528" s="30" t="s">
        <v>82</v>
      </c>
      <c r="L528" s="26" t="s">
        <v>82</v>
      </c>
      <c r="M528" s="27" t="s">
        <v>343</v>
      </c>
      <c r="N528" s="30" t="n">
        <v>45419</v>
      </c>
      <c r="O528" s="27" t="s">
        <v>344</v>
      </c>
      <c r="P528" s="26" t="n">
        <v>45419</v>
      </c>
      <c r="Q528" s="27" t="s">
        <v>1641</v>
      </c>
      <c r="R528" s="27" t="s">
        <v>648</v>
      </c>
      <c r="S528" s="27" t="s">
        <v>345</v>
      </c>
      <c r="T528" s="27" t="s">
        <v>341</v>
      </c>
      <c r="U528" s="27" t="s">
        <v>1759</v>
      </c>
    </row>
    <row r="529" customFormat="false" ht="19.5" hidden="false" customHeight="true" outlineLevel="0" collapsed="false">
      <c r="A529" s="19" t="n">
        <v>4290</v>
      </c>
      <c r="B529" s="15" t="s">
        <v>43</v>
      </c>
      <c r="C529" s="17" t="s">
        <v>288</v>
      </c>
      <c r="D529" s="16" t="n">
        <v>0.2</v>
      </c>
      <c r="E529" s="17" t="s">
        <v>39</v>
      </c>
      <c r="F529" s="17" t="s">
        <v>39</v>
      </c>
      <c r="G529" s="15" t="s">
        <v>44</v>
      </c>
      <c r="H529" s="18" t="s">
        <v>44</v>
      </c>
      <c r="I529" s="15" t="s">
        <v>356</v>
      </c>
      <c r="J529" s="17" t="s">
        <v>360</v>
      </c>
      <c r="K529" s="17" t="s">
        <v>45</v>
      </c>
      <c r="L529" s="19" t="s">
        <v>45</v>
      </c>
      <c r="M529" s="15" t="s">
        <v>361</v>
      </c>
      <c r="N529" s="17" t="n">
        <v>12225</v>
      </c>
      <c r="O529" s="15" t="s">
        <v>344</v>
      </c>
      <c r="P529" s="19" t="n">
        <v>12225</v>
      </c>
      <c r="Q529" s="15" t="s">
        <v>1629</v>
      </c>
      <c r="R529" s="15" t="s">
        <v>648</v>
      </c>
      <c r="S529" s="15" t="s">
        <v>345</v>
      </c>
      <c r="T529" s="15" t="s">
        <v>341</v>
      </c>
      <c r="U529" s="15" t="s">
        <v>1760</v>
      </c>
    </row>
    <row r="530" customFormat="false" ht="19.5" hidden="false" customHeight="true" outlineLevel="0" collapsed="false">
      <c r="A530" s="26" t="n">
        <v>4388</v>
      </c>
      <c r="B530" s="27" t="s">
        <v>1761</v>
      </c>
      <c r="C530" s="30" t="s">
        <v>288</v>
      </c>
      <c r="D530" s="39" t="n">
        <v>0.2</v>
      </c>
      <c r="E530" s="30" t="s">
        <v>39</v>
      </c>
      <c r="F530" s="30" t="s">
        <v>39</v>
      </c>
      <c r="G530" s="27" t="s">
        <v>429</v>
      </c>
      <c r="H530" s="40" t="s">
        <v>429</v>
      </c>
      <c r="I530" s="27" t="s">
        <v>356</v>
      </c>
      <c r="J530" s="30" t="s">
        <v>336</v>
      </c>
      <c r="K530" s="30" t="s">
        <v>82</v>
      </c>
      <c r="L530" s="26" t="s">
        <v>82</v>
      </c>
      <c r="M530" s="27" t="s">
        <v>343</v>
      </c>
      <c r="N530" s="30" t="n">
        <v>26924</v>
      </c>
      <c r="O530" s="27" t="s">
        <v>344</v>
      </c>
      <c r="P530" s="26" t="n">
        <v>26924</v>
      </c>
      <c r="Q530" s="27" t="s">
        <v>1621</v>
      </c>
      <c r="R530" s="27" t="s">
        <v>648</v>
      </c>
      <c r="S530" s="27" t="s">
        <v>345</v>
      </c>
      <c r="T530" s="27" t="s">
        <v>341</v>
      </c>
      <c r="U530" s="27" t="s">
        <v>1762</v>
      </c>
    </row>
    <row r="531" customFormat="false" ht="19.5" hidden="false" customHeight="true" outlineLevel="0" collapsed="false">
      <c r="A531" s="19" t="n">
        <v>4389</v>
      </c>
      <c r="B531" s="15" t="s">
        <v>1763</v>
      </c>
      <c r="C531" s="17" t="s">
        <v>288</v>
      </c>
      <c r="D531" s="16" t="n">
        <v>0.2</v>
      </c>
      <c r="E531" s="17" t="s">
        <v>39</v>
      </c>
      <c r="F531" s="17" t="s">
        <v>39</v>
      </c>
      <c r="G531" s="15" t="s">
        <v>269</v>
      </c>
      <c r="H531" s="18" t="s">
        <v>269</v>
      </c>
      <c r="I531" s="15" t="s">
        <v>356</v>
      </c>
      <c r="J531" s="17" t="s">
        <v>360</v>
      </c>
      <c r="K531" s="17" t="s">
        <v>45</v>
      </c>
      <c r="L531" s="19" t="s">
        <v>45</v>
      </c>
      <c r="M531" s="15" t="s">
        <v>361</v>
      </c>
      <c r="N531" s="17" t="n">
        <v>31422</v>
      </c>
      <c r="O531" s="15" t="s">
        <v>344</v>
      </c>
      <c r="P531" s="19" t="n">
        <v>31422</v>
      </c>
      <c r="Q531" s="15" t="s">
        <v>1120</v>
      </c>
      <c r="R531" s="15" t="s">
        <v>648</v>
      </c>
      <c r="S531" s="15" t="s">
        <v>345</v>
      </c>
      <c r="T531" s="15" t="s">
        <v>341</v>
      </c>
      <c r="U531" s="15" t="s">
        <v>1764</v>
      </c>
    </row>
    <row r="532" customFormat="false" ht="19.5" hidden="false" customHeight="true" outlineLevel="0" collapsed="false">
      <c r="A532" s="26" t="n">
        <v>4390</v>
      </c>
      <c r="B532" s="27" t="s">
        <v>1765</v>
      </c>
      <c r="C532" s="30" t="s">
        <v>288</v>
      </c>
      <c r="D532" s="39" t="n">
        <v>0.2</v>
      </c>
      <c r="E532" s="30" t="s">
        <v>39</v>
      </c>
      <c r="F532" s="30" t="s">
        <v>39</v>
      </c>
      <c r="G532" s="27" t="s">
        <v>445</v>
      </c>
      <c r="H532" s="40" t="s">
        <v>445</v>
      </c>
      <c r="I532" s="27" t="s">
        <v>379</v>
      </c>
      <c r="J532" s="30" t="s">
        <v>336</v>
      </c>
      <c r="K532" s="30" t="s">
        <v>140</v>
      </c>
      <c r="L532" s="26" t="s">
        <v>140</v>
      </c>
      <c r="M532" s="27" t="s">
        <v>343</v>
      </c>
      <c r="N532" s="30" t="n">
        <v>15716</v>
      </c>
      <c r="O532" s="27" t="s">
        <v>344</v>
      </c>
      <c r="P532" s="26" t="n">
        <v>15716</v>
      </c>
      <c r="Q532" s="27" t="s">
        <v>777</v>
      </c>
      <c r="R532" s="27" t="s">
        <v>648</v>
      </c>
      <c r="S532" s="27" t="s">
        <v>345</v>
      </c>
      <c r="T532" s="27" t="s">
        <v>341</v>
      </c>
      <c r="U532" s="27" t="s">
        <v>1766</v>
      </c>
    </row>
    <row r="533" customFormat="false" ht="19.5" hidden="false" customHeight="true" outlineLevel="0" collapsed="false">
      <c r="A533" s="19" t="n">
        <v>4392</v>
      </c>
      <c r="B533" s="15" t="s">
        <v>1767</v>
      </c>
      <c r="C533" s="17" t="s">
        <v>260</v>
      </c>
      <c r="D533" s="16" t="n">
        <v>5</v>
      </c>
      <c r="E533" s="17" t="s">
        <v>39</v>
      </c>
      <c r="F533" s="17" t="s">
        <v>39</v>
      </c>
      <c r="G533" s="15" t="s">
        <v>534</v>
      </c>
      <c r="H533" s="18" t="s">
        <v>534</v>
      </c>
      <c r="I533" s="15" t="s">
        <v>342</v>
      </c>
      <c r="J533" s="17" t="s">
        <v>336</v>
      </c>
      <c r="K533" s="17" t="s">
        <v>111</v>
      </c>
      <c r="L533" s="19" t="s">
        <v>111</v>
      </c>
      <c r="M533" s="15" t="s">
        <v>343</v>
      </c>
      <c r="N533" s="17" t="n">
        <v>26017</v>
      </c>
      <c r="O533" s="15" t="s">
        <v>344</v>
      </c>
      <c r="P533" s="19" t="n">
        <v>26017</v>
      </c>
      <c r="Q533" s="15" t="s">
        <v>1154</v>
      </c>
      <c r="R533" s="15" t="s">
        <v>648</v>
      </c>
      <c r="S533" s="15" t="s">
        <v>345</v>
      </c>
      <c r="T533" s="15" t="s">
        <v>341</v>
      </c>
      <c r="U533" s="15" t="s">
        <v>1155</v>
      </c>
    </row>
    <row r="534" customFormat="false" ht="19.5" hidden="false" customHeight="true" outlineLevel="0" collapsed="false">
      <c r="A534" s="26" t="n">
        <v>4422</v>
      </c>
      <c r="B534" s="27" t="s">
        <v>1768</v>
      </c>
      <c r="C534" s="30" t="s">
        <v>263</v>
      </c>
      <c r="D534" s="39" t="n">
        <v>20</v>
      </c>
      <c r="E534" s="30" t="s">
        <v>39</v>
      </c>
      <c r="F534" s="30" t="s">
        <v>39</v>
      </c>
      <c r="G534" s="27" t="s">
        <v>411</v>
      </c>
      <c r="H534" s="40" t="s">
        <v>411</v>
      </c>
      <c r="I534" s="27" t="s">
        <v>342</v>
      </c>
      <c r="J534" s="30" t="s">
        <v>336</v>
      </c>
      <c r="K534" s="30" t="s">
        <v>111</v>
      </c>
      <c r="L534" s="26" t="s">
        <v>111</v>
      </c>
      <c r="M534" s="27" t="s">
        <v>343</v>
      </c>
      <c r="N534" s="30" t="n">
        <v>22221</v>
      </c>
      <c r="O534" s="27" t="s">
        <v>344</v>
      </c>
      <c r="P534" s="26" t="n">
        <v>22221</v>
      </c>
      <c r="Q534" s="27" t="s">
        <v>732</v>
      </c>
      <c r="R534" s="27" t="s">
        <v>648</v>
      </c>
      <c r="S534" s="27" t="s">
        <v>345</v>
      </c>
      <c r="T534" s="27" t="s">
        <v>341</v>
      </c>
      <c r="U534" s="27" t="s">
        <v>733</v>
      </c>
    </row>
    <row r="535" customFormat="false" ht="19.5" hidden="false" customHeight="true" outlineLevel="0" collapsed="false">
      <c r="A535" s="19" t="n">
        <v>4423</v>
      </c>
      <c r="B535" s="15" t="s">
        <v>1769</v>
      </c>
      <c r="C535" s="17" t="s">
        <v>287</v>
      </c>
      <c r="D535" s="16" t="n">
        <v>10</v>
      </c>
      <c r="E535" s="17" t="s">
        <v>63</v>
      </c>
      <c r="F535" s="17" t="s">
        <v>63</v>
      </c>
      <c r="G535" s="15" t="s">
        <v>505</v>
      </c>
      <c r="H535" s="18" t="s">
        <v>505</v>
      </c>
      <c r="I535" s="15" t="s">
        <v>342</v>
      </c>
      <c r="J535" s="17" t="s">
        <v>336</v>
      </c>
      <c r="K535" s="17" t="s">
        <v>136</v>
      </c>
      <c r="L535" s="19" t="s">
        <v>136</v>
      </c>
      <c r="M535" s="15" t="s">
        <v>343</v>
      </c>
      <c r="N535" s="17" t="n">
        <v>28520</v>
      </c>
      <c r="O535" s="15" t="s">
        <v>344</v>
      </c>
      <c r="P535" s="19" t="n">
        <v>28520</v>
      </c>
      <c r="Q535" s="15" t="s">
        <v>809</v>
      </c>
      <c r="R535" s="15" t="s">
        <v>648</v>
      </c>
      <c r="S535" s="15" t="s">
        <v>345</v>
      </c>
      <c r="T535" s="15" t="s">
        <v>341</v>
      </c>
      <c r="U535" s="15" t="s">
        <v>810</v>
      </c>
    </row>
    <row r="536" customFormat="false" ht="19.5" hidden="false" customHeight="true" outlineLevel="0" collapsed="false">
      <c r="A536" s="26" t="n">
        <v>4487</v>
      </c>
      <c r="B536" s="27" t="s">
        <v>1770</v>
      </c>
      <c r="C536" s="30" t="s">
        <v>763</v>
      </c>
      <c r="D536" s="39" t="n">
        <v>10</v>
      </c>
      <c r="E536" s="30" t="s">
        <v>39</v>
      </c>
      <c r="F536" s="30" t="s">
        <v>39</v>
      </c>
      <c r="G536" s="27" t="s">
        <v>568</v>
      </c>
      <c r="H536" s="40" t="s">
        <v>568</v>
      </c>
      <c r="I536" s="27" t="s">
        <v>457</v>
      </c>
      <c r="J536" s="30" t="s">
        <v>336</v>
      </c>
      <c r="K536" s="30" t="s">
        <v>159</v>
      </c>
      <c r="L536" s="26" t="s">
        <v>367</v>
      </c>
      <c r="M536" s="27" t="s">
        <v>368</v>
      </c>
      <c r="N536" s="30" t="n">
        <v>0</v>
      </c>
      <c r="O536" s="27" t="s">
        <v>369</v>
      </c>
      <c r="P536" s="26" t="s">
        <v>683</v>
      </c>
      <c r="Q536" s="27" t="s">
        <v>684</v>
      </c>
      <c r="R536" s="27" t="s">
        <v>685</v>
      </c>
      <c r="S536" s="27" t="s">
        <v>370</v>
      </c>
      <c r="T536" s="27" t="s">
        <v>371</v>
      </c>
      <c r="U536" s="27" t="s">
        <v>1771</v>
      </c>
    </row>
    <row r="537" customFormat="false" ht="19.5" hidden="false" customHeight="true" outlineLevel="0" collapsed="false">
      <c r="A537" s="19" t="n">
        <v>4488</v>
      </c>
      <c r="B537" s="15" t="s">
        <v>1772</v>
      </c>
      <c r="C537" s="17" t="s">
        <v>1712</v>
      </c>
      <c r="D537" s="16" t="n">
        <v>0.2</v>
      </c>
      <c r="E537" s="17" t="s">
        <v>63</v>
      </c>
      <c r="F537" s="17" t="s">
        <v>63</v>
      </c>
      <c r="G537" s="15" t="s">
        <v>359</v>
      </c>
      <c r="H537" s="18" t="s">
        <v>359</v>
      </c>
      <c r="I537" s="15" t="s">
        <v>356</v>
      </c>
      <c r="J537" s="17" t="s">
        <v>336</v>
      </c>
      <c r="K537" s="17" t="s">
        <v>82</v>
      </c>
      <c r="L537" s="19" t="s">
        <v>82</v>
      </c>
      <c r="M537" s="15" t="s">
        <v>343</v>
      </c>
      <c r="N537" s="17" t="n">
        <v>26718</v>
      </c>
      <c r="O537" s="15" t="s">
        <v>344</v>
      </c>
      <c r="P537" s="19" t="n">
        <v>26718</v>
      </c>
      <c r="Q537" s="15" t="s">
        <v>674</v>
      </c>
      <c r="R537" s="15" t="s">
        <v>648</v>
      </c>
      <c r="S537" s="15" t="s">
        <v>345</v>
      </c>
      <c r="T537" s="15" t="s">
        <v>341</v>
      </c>
      <c r="U537" s="15" t="s">
        <v>1773</v>
      </c>
    </row>
    <row r="538" customFormat="false" ht="19.5" hidden="false" customHeight="true" outlineLevel="0" collapsed="false">
      <c r="A538" s="26" t="n">
        <v>4490</v>
      </c>
      <c r="B538" s="27" t="s">
        <v>72</v>
      </c>
      <c r="C538" s="30" t="s">
        <v>288</v>
      </c>
      <c r="D538" s="39" t="n">
        <v>0.2</v>
      </c>
      <c r="E538" s="30" t="s">
        <v>39</v>
      </c>
      <c r="F538" s="30" t="s">
        <v>39</v>
      </c>
      <c r="G538" s="27" t="s">
        <v>70</v>
      </c>
      <c r="H538" s="40" t="s">
        <v>70</v>
      </c>
      <c r="I538" s="27" t="s">
        <v>355</v>
      </c>
      <c r="J538" s="30" t="s">
        <v>360</v>
      </c>
      <c r="K538" s="30" t="s">
        <v>48</v>
      </c>
      <c r="L538" s="26" t="s">
        <v>45</v>
      </c>
      <c r="M538" s="27" t="s">
        <v>361</v>
      </c>
      <c r="N538" s="30" t="n">
        <v>6922</v>
      </c>
      <c r="O538" s="27" t="s">
        <v>344</v>
      </c>
      <c r="P538" s="26" t="n">
        <v>6922</v>
      </c>
      <c r="Q538" s="27" t="s">
        <v>943</v>
      </c>
      <c r="R538" s="27" t="s">
        <v>648</v>
      </c>
      <c r="S538" s="27" t="s">
        <v>345</v>
      </c>
      <c r="T538" s="27" t="s">
        <v>341</v>
      </c>
      <c r="U538" s="27" t="s">
        <v>1632</v>
      </c>
    </row>
    <row r="539" customFormat="false" ht="19.5" hidden="false" customHeight="true" outlineLevel="0" collapsed="false">
      <c r="A539" s="19" t="n">
        <v>4518</v>
      </c>
      <c r="B539" s="15" t="s">
        <v>1774</v>
      </c>
      <c r="C539" s="17" t="s">
        <v>288</v>
      </c>
      <c r="D539" s="16" t="n">
        <v>0.2</v>
      </c>
      <c r="E539" s="17" t="s">
        <v>39</v>
      </c>
      <c r="F539" s="17" t="s">
        <v>39</v>
      </c>
      <c r="G539" s="15" t="s">
        <v>135</v>
      </c>
      <c r="H539" s="18" t="s">
        <v>135</v>
      </c>
      <c r="I539" s="15" t="s">
        <v>379</v>
      </c>
      <c r="J539" s="17" t="s">
        <v>336</v>
      </c>
      <c r="K539" s="17" t="s">
        <v>111</v>
      </c>
      <c r="L539" s="19" t="s">
        <v>140</v>
      </c>
      <c r="M539" s="15" t="s">
        <v>343</v>
      </c>
      <c r="N539" s="17" t="n">
        <v>3224</v>
      </c>
      <c r="O539" s="15" t="s">
        <v>344</v>
      </c>
      <c r="P539" s="19" t="n">
        <v>3224</v>
      </c>
      <c r="Q539" s="15" t="s">
        <v>1684</v>
      </c>
      <c r="R539" s="15" t="s">
        <v>648</v>
      </c>
      <c r="S539" s="15" t="s">
        <v>345</v>
      </c>
      <c r="T539" s="15" t="s">
        <v>341</v>
      </c>
      <c r="U539" s="15" t="s">
        <v>1685</v>
      </c>
    </row>
    <row r="540" customFormat="false" ht="19.5" hidden="false" customHeight="true" outlineLevel="0" collapsed="false">
      <c r="A540" s="26" t="n">
        <v>4544</v>
      </c>
      <c r="B540" s="27" t="s">
        <v>1775</v>
      </c>
      <c r="C540" s="30" t="s">
        <v>314</v>
      </c>
      <c r="D540" s="39" t="n">
        <v>20</v>
      </c>
      <c r="E540" s="30" t="s">
        <v>39</v>
      </c>
      <c r="F540" s="30" t="s">
        <v>39</v>
      </c>
      <c r="G540" s="27" t="s">
        <v>429</v>
      </c>
      <c r="H540" s="40" t="s">
        <v>429</v>
      </c>
      <c r="I540" s="27" t="s">
        <v>356</v>
      </c>
      <c r="J540" s="30" t="s">
        <v>336</v>
      </c>
      <c r="K540" s="30" t="s">
        <v>82</v>
      </c>
      <c r="L540" s="26" t="s">
        <v>82</v>
      </c>
      <c r="M540" s="27" t="s">
        <v>343</v>
      </c>
      <c r="N540" s="30" t="n">
        <v>40624</v>
      </c>
      <c r="O540" s="27" t="s">
        <v>344</v>
      </c>
      <c r="P540" s="26" t="n">
        <v>40624</v>
      </c>
      <c r="Q540" s="27" t="s">
        <v>1588</v>
      </c>
      <c r="R540" s="27" t="s">
        <v>648</v>
      </c>
      <c r="S540" s="27" t="s">
        <v>345</v>
      </c>
      <c r="T540" s="27" t="s">
        <v>341</v>
      </c>
      <c r="U540" s="27" t="s">
        <v>1589</v>
      </c>
    </row>
    <row r="541" customFormat="false" ht="19.5" hidden="false" customHeight="true" outlineLevel="0" collapsed="false">
      <c r="A541" s="19" t="n">
        <v>4574</v>
      </c>
      <c r="B541" s="15" t="s">
        <v>1776</v>
      </c>
      <c r="C541" s="17" t="s">
        <v>1712</v>
      </c>
      <c r="D541" s="16" t="n">
        <v>0.2</v>
      </c>
      <c r="E541" s="17" t="s">
        <v>63</v>
      </c>
      <c r="F541" s="17" t="s">
        <v>63</v>
      </c>
      <c r="G541" s="15" t="s">
        <v>508</v>
      </c>
      <c r="H541" s="18" t="s">
        <v>508</v>
      </c>
      <c r="I541" s="15" t="s">
        <v>342</v>
      </c>
      <c r="J541" s="17" t="s">
        <v>336</v>
      </c>
      <c r="K541" s="17" t="s">
        <v>111</v>
      </c>
      <c r="L541" s="19" t="s">
        <v>111</v>
      </c>
      <c r="M541" s="15" t="s">
        <v>343</v>
      </c>
      <c r="N541" s="17" t="n">
        <v>18022</v>
      </c>
      <c r="O541" s="15" t="s">
        <v>344</v>
      </c>
      <c r="P541" s="19" t="n">
        <v>18022</v>
      </c>
      <c r="Q541" s="15" t="s">
        <v>962</v>
      </c>
      <c r="R541" s="15" t="s">
        <v>648</v>
      </c>
      <c r="S541" s="15" t="s">
        <v>345</v>
      </c>
      <c r="T541" s="15" t="s">
        <v>341</v>
      </c>
      <c r="U541" s="15" t="s">
        <v>1777</v>
      </c>
    </row>
    <row r="542" customFormat="false" ht="19.5" hidden="false" customHeight="true" outlineLevel="0" collapsed="false">
      <c r="A542" s="26" t="n">
        <v>4612</v>
      </c>
      <c r="B542" s="27" t="s">
        <v>1778</v>
      </c>
      <c r="C542" s="30" t="s">
        <v>288</v>
      </c>
      <c r="D542" s="39" t="n">
        <v>0.2</v>
      </c>
      <c r="E542" s="30" t="s">
        <v>39</v>
      </c>
      <c r="F542" s="30" t="s">
        <v>39</v>
      </c>
      <c r="G542" s="27" t="s">
        <v>315</v>
      </c>
      <c r="H542" s="40" t="s">
        <v>315</v>
      </c>
      <c r="I542" s="27" t="s">
        <v>355</v>
      </c>
      <c r="J542" s="30" t="s">
        <v>360</v>
      </c>
      <c r="K542" s="30" t="s">
        <v>45</v>
      </c>
      <c r="L542" s="26" t="s">
        <v>45</v>
      </c>
      <c r="M542" s="27" t="s">
        <v>361</v>
      </c>
      <c r="N542" s="30" t="n">
        <v>22225</v>
      </c>
      <c r="O542" s="27" t="s">
        <v>344</v>
      </c>
      <c r="P542" s="26" t="n">
        <v>22225</v>
      </c>
      <c r="Q542" s="27" t="s">
        <v>1618</v>
      </c>
      <c r="R542" s="27" t="s">
        <v>648</v>
      </c>
      <c r="S542" s="27" t="s">
        <v>345</v>
      </c>
      <c r="T542" s="27" t="s">
        <v>341</v>
      </c>
      <c r="U542" s="27" t="s">
        <v>1779</v>
      </c>
    </row>
    <row r="543" customFormat="false" ht="19.5" hidden="false" customHeight="true" outlineLevel="0" collapsed="false">
      <c r="A543" s="19" t="n">
        <v>4614</v>
      </c>
      <c r="B543" s="15" t="s">
        <v>1780</v>
      </c>
      <c r="C543" s="17" t="s">
        <v>1402</v>
      </c>
      <c r="D543" s="16" t="n">
        <v>1000</v>
      </c>
      <c r="E543" s="17" t="s">
        <v>1403</v>
      </c>
      <c r="F543" s="17" t="s">
        <v>1403</v>
      </c>
      <c r="G543" s="15" t="s">
        <v>127</v>
      </c>
      <c r="H543" s="18" t="s">
        <v>127</v>
      </c>
      <c r="I543" s="15" t="s">
        <v>494</v>
      </c>
      <c r="J543" s="17" t="s">
        <v>336</v>
      </c>
      <c r="K543" s="17" t="s">
        <v>128</v>
      </c>
      <c r="L543" s="19" t="s">
        <v>128</v>
      </c>
      <c r="M543" s="15" t="s">
        <v>349</v>
      </c>
      <c r="N543" s="17" t="n">
        <v>0</v>
      </c>
      <c r="O543" s="15" t="s">
        <v>339</v>
      </c>
      <c r="P543" s="19" t="s">
        <v>690</v>
      </c>
      <c r="Q543" s="15" t="s">
        <v>691</v>
      </c>
      <c r="R543" s="15" t="s">
        <v>692</v>
      </c>
      <c r="S543" s="15" t="s">
        <v>345</v>
      </c>
      <c r="T543" s="15" t="s">
        <v>341</v>
      </c>
      <c r="U543" s="15" t="s">
        <v>693</v>
      </c>
    </row>
    <row r="544" customFormat="false" ht="19.5" hidden="false" customHeight="true" outlineLevel="0" collapsed="false">
      <c r="A544" s="26" t="n">
        <v>4615</v>
      </c>
      <c r="B544" s="27" t="s">
        <v>1781</v>
      </c>
      <c r="C544" s="30" t="s">
        <v>670</v>
      </c>
      <c r="D544" s="39" t="n">
        <v>3</v>
      </c>
      <c r="E544" s="30" t="s">
        <v>63</v>
      </c>
      <c r="F544" s="30" t="s">
        <v>63</v>
      </c>
      <c r="G544" s="27" t="s">
        <v>357</v>
      </c>
      <c r="H544" s="40" t="s">
        <v>357</v>
      </c>
      <c r="I544" s="27" t="s">
        <v>356</v>
      </c>
      <c r="J544" s="30" t="s">
        <v>336</v>
      </c>
      <c r="K544" s="30" t="s">
        <v>65</v>
      </c>
      <c r="L544" s="26" t="s">
        <v>65</v>
      </c>
      <c r="M544" s="27" t="s">
        <v>343</v>
      </c>
      <c r="N544" s="30" t="n">
        <v>24922</v>
      </c>
      <c r="O544" s="27" t="s">
        <v>344</v>
      </c>
      <c r="P544" s="26" t="n">
        <v>24922</v>
      </c>
      <c r="Q544" s="27" t="s">
        <v>1782</v>
      </c>
      <c r="R544" s="27" t="s">
        <v>648</v>
      </c>
      <c r="S544" s="27" t="s">
        <v>345</v>
      </c>
      <c r="T544" s="27" t="s">
        <v>341</v>
      </c>
      <c r="U544" s="27" t="s">
        <v>1783</v>
      </c>
    </row>
    <row r="545" customFormat="false" ht="19.5" hidden="false" customHeight="true" outlineLevel="0" collapsed="false">
      <c r="A545" s="19" t="n">
        <v>4616</v>
      </c>
      <c r="B545" s="15" t="s">
        <v>1784</v>
      </c>
      <c r="C545" s="17" t="s">
        <v>1230</v>
      </c>
      <c r="D545" s="16" t="n">
        <v>20</v>
      </c>
      <c r="E545" s="17" t="s">
        <v>39</v>
      </c>
      <c r="F545" s="17" t="s">
        <v>39</v>
      </c>
      <c r="G545" s="15" t="s">
        <v>315</v>
      </c>
      <c r="H545" s="18" t="s">
        <v>315</v>
      </c>
      <c r="I545" s="15" t="s">
        <v>355</v>
      </c>
      <c r="J545" s="17" t="s">
        <v>360</v>
      </c>
      <c r="K545" s="17" t="s">
        <v>51</v>
      </c>
      <c r="L545" s="19" t="s">
        <v>51</v>
      </c>
      <c r="M545" s="15" t="s">
        <v>361</v>
      </c>
      <c r="N545" s="17" t="n">
        <v>22225</v>
      </c>
      <c r="O545" s="15" t="s">
        <v>344</v>
      </c>
      <c r="P545" s="19" t="n">
        <v>22225</v>
      </c>
      <c r="Q545" s="15" t="s">
        <v>1618</v>
      </c>
      <c r="R545" s="15" t="s">
        <v>648</v>
      </c>
      <c r="S545" s="15" t="s">
        <v>345</v>
      </c>
      <c r="T545" s="15" t="s">
        <v>341</v>
      </c>
      <c r="U545" s="15" t="s">
        <v>1785</v>
      </c>
    </row>
    <row r="546" customFormat="false" ht="19.5" hidden="false" customHeight="true" outlineLevel="0" collapsed="false">
      <c r="A546" s="26" t="n">
        <v>4619</v>
      </c>
      <c r="B546" s="27" t="s">
        <v>1786</v>
      </c>
      <c r="C546" s="30" t="s">
        <v>288</v>
      </c>
      <c r="D546" s="39" t="n">
        <v>0.2</v>
      </c>
      <c r="E546" s="30" t="s">
        <v>39</v>
      </c>
      <c r="F546" s="30" t="s">
        <v>39</v>
      </c>
      <c r="G546" s="27" t="s">
        <v>611</v>
      </c>
      <c r="H546" s="40" t="s">
        <v>611</v>
      </c>
      <c r="I546" s="27" t="s">
        <v>379</v>
      </c>
      <c r="J546" s="30" t="s">
        <v>336</v>
      </c>
      <c r="K546" s="30" t="s">
        <v>140</v>
      </c>
      <c r="L546" s="26" t="s">
        <v>140</v>
      </c>
      <c r="M546" s="27" t="s">
        <v>343</v>
      </c>
      <c r="N546" s="30" t="n">
        <v>17921</v>
      </c>
      <c r="O546" s="27" t="s">
        <v>344</v>
      </c>
      <c r="P546" s="26" t="n">
        <v>17921</v>
      </c>
      <c r="Q546" s="27" t="s">
        <v>1076</v>
      </c>
      <c r="R546" s="27" t="s">
        <v>648</v>
      </c>
      <c r="S546" s="27" t="s">
        <v>345</v>
      </c>
      <c r="T546" s="27" t="s">
        <v>341</v>
      </c>
      <c r="U546" s="27" t="s">
        <v>1077</v>
      </c>
    </row>
    <row r="547" customFormat="false" ht="19.5" hidden="false" customHeight="true" outlineLevel="0" collapsed="false">
      <c r="A547" s="19" t="n">
        <v>4620</v>
      </c>
      <c r="B547" s="15" t="s">
        <v>1787</v>
      </c>
      <c r="C547" s="17" t="s">
        <v>1788</v>
      </c>
      <c r="D547" s="16" t="n">
        <v>0.1</v>
      </c>
      <c r="E547" s="17" t="s">
        <v>39</v>
      </c>
      <c r="F547" s="17" t="s">
        <v>39</v>
      </c>
      <c r="G547" s="15" t="s">
        <v>611</v>
      </c>
      <c r="H547" s="18" t="s">
        <v>611</v>
      </c>
      <c r="I547" s="15" t="s">
        <v>379</v>
      </c>
      <c r="J547" s="17" t="s">
        <v>336</v>
      </c>
      <c r="K547" s="17" t="s">
        <v>140</v>
      </c>
      <c r="L547" s="19" t="s">
        <v>140</v>
      </c>
      <c r="M547" s="15" t="s">
        <v>343</v>
      </c>
      <c r="N547" s="17" t="n">
        <v>17921</v>
      </c>
      <c r="O547" s="15" t="s">
        <v>344</v>
      </c>
      <c r="P547" s="19" t="n">
        <v>17921</v>
      </c>
      <c r="Q547" s="15" t="s">
        <v>1076</v>
      </c>
      <c r="R547" s="15" t="s">
        <v>648</v>
      </c>
      <c r="S547" s="15" t="s">
        <v>345</v>
      </c>
      <c r="T547" s="15" t="s">
        <v>341</v>
      </c>
      <c r="U547" s="15" t="s">
        <v>1077</v>
      </c>
    </row>
    <row r="548" customFormat="false" ht="19.5" hidden="false" customHeight="true" outlineLevel="0" collapsed="false">
      <c r="A548" s="26" t="n">
        <v>4621</v>
      </c>
      <c r="B548" s="27" t="s">
        <v>1789</v>
      </c>
      <c r="C548" s="30" t="s">
        <v>263</v>
      </c>
      <c r="D548" s="39" t="n">
        <v>20</v>
      </c>
      <c r="E548" s="30" t="s">
        <v>39</v>
      </c>
      <c r="F548" s="30" t="s">
        <v>39</v>
      </c>
      <c r="G548" s="27" t="s">
        <v>473</v>
      </c>
      <c r="H548" s="40" t="s">
        <v>473</v>
      </c>
      <c r="I548" s="27" t="s">
        <v>379</v>
      </c>
      <c r="J548" s="30" t="s">
        <v>336</v>
      </c>
      <c r="K548" s="30" t="s">
        <v>140</v>
      </c>
      <c r="L548" s="26" t="s">
        <v>140</v>
      </c>
      <c r="M548" s="27" t="s">
        <v>343</v>
      </c>
      <c r="N548" s="30" t="n">
        <v>17219</v>
      </c>
      <c r="O548" s="27" t="s">
        <v>344</v>
      </c>
      <c r="P548" s="26" t="n">
        <v>17219</v>
      </c>
      <c r="Q548" s="27" t="s">
        <v>1046</v>
      </c>
      <c r="R548" s="27" t="s">
        <v>648</v>
      </c>
      <c r="S548" s="27" t="s">
        <v>345</v>
      </c>
      <c r="T548" s="27" t="s">
        <v>341</v>
      </c>
      <c r="U548" s="27" t="s">
        <v>1047</v>
      </c>
    </row>
    <row r="549" customFormat="false" ht="19.5" hidden="false" customHeight="true" outlineLevel="0" collapsed="false">
      <c r="A549" s="19" t="n">
        <v>4622</v>
      </c>
      <c r="B549" s="15" t="s">
        <v>1790</v>
      </c>
      <c r="C549" s="17" t="s">
        <v>288</v>
      </c>
      <c r="D549" s="16" t="n">
        <v>0.2</v>
      </c>
      <c r="E549" s="17" t="s">
        <v>39</v>
      </c>
      <c r="F549" s="17" t="s">
        <v>39</v>
      </c>
      <c r="G549" s="15" t="s">
        <v>589</v>
      </c>
      <c r="H549" s="18" t="s">
        <v>589</v>
      </c>
      <c r="I549" s="15" t="s">
        <v>379</v>
      </c>
      <c r="J549" s="17" t="s">
        <v>336</v>
      </c>
      <c r="K549" s="17" t="s">
        <v>140</v>
      </c>
      <c r="L549" s="19" t="s">
        <v>140</v>
      </c>
      <c r="M549" s="15" t="s">
        <v>343</v>
      </c>
      <c r="N549" s="17" t="n">
        <v>24324</v>
      </c>
      <c r="O549" s="15" t="s">
        <v>344</v>
      </c>
      <c r="P549" s="19" t="n">
        <v>24324</v>
      </c>
      <c r="Q549" s="15" t="s">
        <v>1694</v>
      </c>
      <c r="R549" s="15" t="s">
        <v>648</v>
      </c>
      <c r="S549" s="15" t="s">
        <v>345</v>
      </c>
      <c r="T549" s="15" t="s">
        <v>341</v>
      </c>
      <c r="U549" s="15" t="s">
        <v>1791</v>
      </c>
    </row>
    <row r="550" customFormat="false" ht="19.5" hidden="false" customHeight="true" outlineLevel="0" collapsed="false">
      <c r="A550" s="26" t="n">
        <v>4645</v>
      </c>
      <c r="B550" s="27" t="s">
        <v>1792</v>
      </c>
      <c r="C550" s="30" t="s">
        <v>1793</v>
      </c>
      <c r="D550" s="39" t="n">
        <v>10</v>
      </c>
      <c r="E550" s="30" t="s">
        <v>63</v>
      </c>
      <c r="F550" s="30" t="s">
        <v>63</v>
      </c>
      <c r="G550" s="27" t="s">
        <v>145</v>
      </c>
      <c r="H550" s="40" t="s">
        <v>145</v>
      </c>
      <c r="I550" s="27" t="s">
        <v>342</v>
      </c>
      <c r="J550" s="30" t="s">
        <v>336</v>
      </c>
      <c r="K550" s="30" t="s">
        <v>136</v>
      </c>
      <c r="L550" s="26" t="s">
        <v>146</v>
      </c>
      <c r="M550" s="27" t="s">
        <v>343</v>
      </c>
      <c r="N550" s="30" t="n">
        <v>9019</v>
      </c>
      <c r="O550" s="27" t="s">
        <v>344</v>
      </c>
      <c r="P550" s="26" t="n">
        <v>9019</v>
      </c>
      <c r="Q550" s="27" t="s">
        <v>1794</v>
      </c>
      <c r="R550" s="27" t="s">
        <v>648</v>
      </c>
      <c r="S550" s="27" t="s">
        <v>345</v>
      </c>
      <c r="T550" s="27" t="s">
        <v>341</v>
      </c>
      <c r="U550" s="27" t="s">
        <v>1795</v>
      </c>
    </row>
    <row r="551" customFormat="false" ht="19.5" hidden="false" customHeight="true" outlineLevel="0" collapsed="false">
      <c r="A551" s="19" t="n">
        <v>4670</v>
      </c>
      <c r="B551" s="15" t="s">
        <v>1796</v>
      </c>
      <c r="C551" s="17" t="s">
        <v>1712</v>
      </c>
      <c r="D551" s="16" t="n">
        <v>0.2</v>
      </c>
      <c r="E551" s="17" t="s">
        <v>63</v>
      </c>
      <c r="F551" s="17" t="s">
        <v>63</v>
      </c>
      <c r="G551" s="15" t="s">
        <v>532</v>
      </c>
      <c r="H551" s="18" t="s">
        <v>532</v>
      </c>
      <c r="I551" s="15" t="s">
        <v>379</v>
      </c>
      <c r="J551" s="17" t="s">
        <v>336</v>
      </c>
      <c r="K551" s="17" t="s">
        <v>530</v>
      </c>
      <c r="L551" s="19" t="s">
        <v>530</v>
      </c>
      <c r="M551" s="15" t="s">
        <v>343</v>
      </c>
      <c r="N551" s="17" t="n">
        <v>11819</v>
      </c>
      <c r="O551" s="15" t="s">
        <v>344</v>
      </c>
      <c r="P551" s="19" t="n">
        <v>11819</v>
      </c>
      <c r="Q551" s="15" t="s">
        <v>1350</v>
      </c>
      <c r="R551" s="15" t="s">
        <v>648</v>
      </c>
      <c r="S551" s="15" t="s">
        <v>345</v>
      </c>
      <c r="T551" s="15" t="s">
        <v>341</v>
      </c>
      <c r="U551" s="15" t="s">
        <v>1797</v>
      </c>
    </row>
    <row r="552" customFormat="false" ht="19.5" hidden="false" customHeight="true" outlineLevel="0" collapsed="false">
      <c r="A552" s="26" t="n">
        <v>4696</v>
      </c>
      <c r="B552" s="27" t="s">
        <v>1798</v>
      </c>
      <c r="C552" s="30" t="s">
        <v>288</v>
      </c>
      <c r="D552" s="39" t="n">
        <v>0.2</v>
      </c>
      <c r="E552" s="30" t="s">
        <v>39</v>
      </c>
      <c r="F552" s="30" t="s">
        <v>39</v>
      </c>
      <c r="G552" s="27" t="s">
        <v>473</v>
      </c>
      <c r="H552" s="40" t="s">
        <v>473</v>
      </c>
      <c r="I552" s="27" t="s">
        <v>379</v>
      </c>
      <c r="J552" s="30" t="s">
        <v>336</v>
      </c>
      <c r="K552" s="30" t="s">
        <v>140</v>
      </c>
      <c r="L552" s="26" t="s">
        <v>140</v>
      </c>
      <c r="M552" s="27" t="s">
        <v>343</v>
      </c>
      <c r="N552" s="30" t="n">
        <v>16724</v>
      </c>
      <c r="O552" s="27" t="s">
        <v>344</v>
      </c>
      <c r="P552" s="26" t="n">
        <v>16724</v>
      </c>
      <c r="Q552" s="27" t="s">
        <v>1687</v>
      </c>
      <c r="R552" s="27" t="s">
        <v>648</v>
      </c>
      <c r="S552" s="27" t="s">
        <v>345</v>
      </c>
      <c r="T552" s="27" t="s">
        <v>341</v>
      </c>
      <c r="U552" s="27" t="s">
        <v>1799</v>
      </c>
    </row>
    <row r="553" customFormat="false" ht="19.5" hidden="false" customHeight="true" outlineLevel="0" collapsed="false">
      <c r="A553" s="19" t="n">
        <v>4714</v>
      </c>
      <c r="B553" s="15" t="s">
        <v>1800</v>
      </c>
      <c r="C553" s="17" t="s">
        <v>670</v>
      </c>
      <c r="D553" s="16" t="n">
        <v>3</v>
      </c>
      <c r="E553" s="17" t="s">
        <v>63</v>
      </c>
      <c r="F553" s="17" t="s">
        <v>63</v>
      </c>
      <c r="G553" s="15" t="s">
        <v>357</v>
      </c>
      <c r="H553" s="18" t="s">
        <v>357</v>
      </c>
      <c r="I553" s="15" t="s">
        <v>356</v>
      </c>
      <c r="J553" s="17" t="s">
        <v>336</v>
      </c>
      <c r="K553" s="17" t="s">
        <v>65</v>
      </c>
      <c r="L553" s="19" t="s">
        <v>65</v>
      </c>
      <c r="M553" s="15" t="s">
        <v>343</v>
      </c>
      <c r="N553" s="17" t="n">
        <v>24922</v>
      </c>
      <c r="O553" s="15" t="s">
        <v>344</v>
      </c>
      <c r="P553" s="19" t="n">
        <v>24922</v>
      </c>
      <c r="Q553" s="15" t="s">
        <v>1782</v>
      </c>
      <c r="R553" s="15" t="s">
        <v>648</v>
      </c>
      <c r="S553" s="15" t="s">
        <v>345</v>
      </c>
      <c r="T553" s="15" t="s">
        <v>341</v>
      </c>
      <c r="U553" s="15" t="s">
        <v>1801</v>
      </c>
    </row>
    <row r="554" customFormat="false" ht="19.5" hidden="false" customHeight="true" outlineLevel="0" collapsed="false">
      <c r="A554" s="26" t="n">
        <v>4715</v>
      </c>
      <c r="B554" s="27" t="s">
        <v>1802</v>
      </c>
      <c r="C554" s="30" t="s">
        <v>1402</v>
      </c>
      <c r="D554" s="39" t="n">
        <v>1000</v>
      </c>
      <c r="E554" s="30" t="s">
        <v>1403</v>
      </c>
      <c r="F554" s="30" t="s">
        <v>1403</v>
      </c>
      <c r="G554" s="27" t="s">
        <v>466</v>
      </c>
      <c r="H554" s="40" t="s">
        <v>466</v>
      </c>
      <c r="I554" s="27" t="s">
        <v>560</v>
      </c>
      <c r="J554" s="30" t="s">
        <v>336</v>
      </c>
      <c r="K554" s="30" t="s">
        <v>159</v>
      </c>
      <c r="L554" s="26" t="s">
        <v>159</v>
      </c>
      <c r="M554" s="27" t="s">
        <v>349</v>
      </c>
      <c r="N554" s="30" t="n">
        <v>0</v>
      </c>
      <c r="O554" s="27" t="s">
        <v>339</v>
      </c>
      <c r="P554" s="26" t="s">
        <v>690</v>
      </c>
      <c r="Q554" s="27" t="s">
        <v>691</v>
      </c>
      <c r="R554" s="27" t="s">
        <v>692</v>
      </c>
      <c r="S554" s="27" t="s">
        <v>345</v>
      </c>
      <c r="T554" s="27" t="s">
        <v>341</v>
      </c>
      <c r="U554" s="27" t="s">
        <v>693</v>
      </c>
    </row>
    <row r="555" customFormat="false" ht="19.5" hidden="false" customHeight="true" outlineLevel="0" collapsed="false">
      <c r="A555" s="19" t="n">
        <v>4716</v>
      </c>
      <c r="B555" s="15" t="s">
        <v>1803</v>
      </c>
      <c r="C555" s="17" t="s">
        <v>1712</v>
      </c>
      <c r="D555" s="16" t="n">
        <v>0.2</v>
      </c>
      <c r="E555" s="17" t="s">
        <v>63</v>
      </c>
      <c r="F555" s="17" t="s">
        <v>63</v>
      </c>
      <c r="G555" s="15" t="s">
        <v>358</v>
      </c>
      <c r="H555" s="18" t="s">
        <v>358</v>
      </c>
      <c r="I555" s="15" t="s">
        <v>356</v>
      </c>
      <c r="J555" s="17" t="s">
        <v>336</v>
      </c>
      <c r="K555" s="17" t="s">
        <v>65</v>
      </c>
      <c r="L555" s="19" t="s">
        <v>65</v>
      </c>
      <c r="M555" s="15" t="s">
        <v>343</v>
      </c>
      <c r="N555" s="17" t="n">
        <v>15925</v>
      </c>
      <c r="O555" s="15" t="s">
        <v>344</v>
      </c>
      <c r="P555" s="19" t="n">
        <v>15925</v>
      </c>
      <c r="Q555" s="15" t="s">
        <v>1655</v>
      </c>
      <c r="R555" s="15" t="s">
        <v>648</v>
      </c>
      <c r="S555" s="15" t="s">
        <v>345</v>
      </c>
      <c r="T555" s="15" t="s">
        <v>341</v>
      </c>
      <c r="U555" s="15" t="s">
        <v>1804</v>
      </c>
    </row>
    <row r="556" customFormat="false" ht="19.5" hidden="false" customHeight="true" outlineLevel="0" collapsed="false">
      <c r="A556" s="26" t="n">
        <v>4762</v>
      </c>
      <c r="B556" s="27" t="s">
        <v>1805</v>
      </c>
      <c r="C556" s="30" t="s">
        <v>263</v>
      </c>
      <c r="D556" s="39" t="n">
        <v>20</v>
      </c>
      <c r="E556" s="30" t="s">
        <v>39</v>
      </c>
      <c r="F556" s="30" t="s">
        <v>39</v>
      </c>
      <c r="G556" s="27" t="s">
        <v>536</v>
      </c>
      <c r="H556" s="40" t="s">
        <v>536</v>
      </c>
      <c r="I556" s="27" t="s">
        <v>356</v>
      </c>
      <c r="J556" s="30" t="s">
        <v>336</v>
      </c>
      <c r="K556" s="30" t="s">
        <v>82</v>
      </c>
      <c r="L556" s="26" t="s">
        <v>82</v>
      </c>
      <c r="M556" s="27" t="s">
        <v>343</v>
      </c>
      <c r="N556" s="30" t="n">
        <v>31618</v>
      </c>
      <c r="O556" s="27" t="s">
        <v>344</v>
      </c>
      <c r="P556" s="26" t="n">
        <v>31618</v>
      </c>
      <c r="Q556" s="27" t="s">
        <v>1043</v>
      </c>
      <c r="R556" s="27" t="s">
        <v>648</v>
      </c>
      <c r="S556" s="27" t="s">
        <v>345</v>
      </c>
      <c r="T556" s="27" t="s">
        <v>341</v>
      </c>
      <c r="U556" s="27" t="s">
        <v>1044</v>
      </c>
    </row>
    <row r="557" customFormat="false" ht="19.5" hidden="false" customHeight="true" outlineLevel="0" collapsed="false">
      <c r="A557" s="19" t="n">
        <v>4780</v>
      </c>
      <c r="B557" s="15" t="s">
        <v>1806</v>
      </c>
      <c r="C557" s="17" t="s">
        <v>263</v>
      </c>
      <c r="D557" s="16" t="n">
        <v>20</v>
      </c>
      <c r="E557" s="17" t="s">
        <v>39</v>
      </c>
      <c r="F557" s="17" t="s">
        <v>39</v>
      </c>
      <c r="G557" s="15" t="s">
        <v>521</v>
      </c>
      <c r="H557" s="18" t="s">
        <v>521</v>
      </c>
      <c r="I557" s="15" t="s">
        <v>421</v>
      </c>
      <c r="J557" s="17" t="s">
        <v>336</v>
      </c>
      <c r="K557" s="17" t="s">
        <v>1807</v>
      </c>
      <c r="L557" s="19" t="s">
        <v>1807</v>
      </c>
      <c r="M557" s="15" t="s">
        <v>349</v>
      </c>
      <c r="N557" s="17" t="n">
        <v>0</v>
      </c>
      <c r="O557" s="15" t="s">
        <v>339</v>
      </c>
      <c r="P557" s="19" t="s">
        <v>690</v>
      </c>
      <c r="Q557" s="15" t="s">
        <v>691</v>
      </c>
      <c r="R557" s="15" t="s">
        <v>692</v>
      </c>
      <c r="S557" s="15" t="s">
        <v>345</v>
      </c>
      <c r="T557" s="15" t="s">
        <v>341</v>
      </c>
      <c r="U557" s="15" t="s">
        <v>693</v>
      </c>
    </row>
    <row r="558" customFormat="false" ht="19.5" hidden="false" customHeight="true" outlineLevel="0" collapsed="false">
      <c r="A558" s="26" t="n">
        <v>4789</v>
      </c>
      <c r="B558" s="27" t="s">
        <v>688</v>
      </c>
      <c r="C558" s="30" t="s">
        <v>260</v>
      </c>
      <c r="D558" s="39" t="n">
        <v>5</v>
      </c>
      <c r="E558" s="30" t="s">
        <v>39</v>
      </c>
      <c r="F558" s="30" t="s">
        <v>39</v>
      </c>
      <c r="G558" s="27" t="s">
        <v>372</v>
      </c>
      <c r="H558" s="40" t="s">
        <v>372</v>
      </c>
      <c r="I558" s="27" t="s">
        <v>366</v>
      </c>
      <c r="J558" s="30" t="s">
        <v>336</v>
      </c>
      <c r="K558" s="30" t="s">
        <v>557</v>
      </c>
      <c r="L558" s="26" t="s">
        <v>367</v>
      </c>
      <c r="M558" s="27" t="s">
        <v>368</v>
      </c>
      <c r="N558" s="30" t="n">
        <v>0</v>
      </c>
      <c r="O558" s="27" t="s">
        <v>369</v>
      </c>
      <c r="P558" s="26" t="s">
        <v>683</v>
      </c>
      <c r="Q558" s="27" t="s">
        <v>684</v>
      </c>
      <c r="R558" s="27" t="s">
        <v>685</v>
      </c>
      <c r="S558" s="27" t="s">
        <v>370</v>
      </c>
      <c r="T558" s="27" t="s">
        <v>371</v>
      </c>
      <c r="U558" s="27" t="s">
        <v>686</v>
      </c>
    </row>
    <row r="559" customFormat="false" ht="19.5" hidden="false" customHeight="true" outlineLevel="0" collapsed="false">
      <c r="A559" s="19" t="n">
        <v>4792</v>
      </c>
      <c r="B559" s="15" t="s">
        <v>1808</v>
      </c>
      <c r="C559" s="17" t="s">
        <v>260</v>
      </c>
      <c r="D559" s="16" t="n">
        <v>5</v>
      </c>
      <c r="E559" s="17" t="s">
        <v>39</v>
      </c>
      <c r="F559" s="17" t="s">
        <v>39</v>
      </c>
      <c r="G559" s="15" t="s">
        <v>375</v>
      </c>
      <c r="H559" s="18" t="s">
        <v>375</v>
      </c>
      <c r="I559" s="15" t="s">
        <v>342</v>
      </c>
      <c r="J559" s="17" t="s">
        <v>336</v>
      </c>
      <c r="K559" s="17" t="s">
        <v>146</v>
      </c>
      <c r="L559" s="19" t="s">
        <v>146</v>
      </c>
      <c r="M559" s="15" t="s">
        <v>343</v>
      </c>
      <c r="N559" s="17" t="n">
        <v>10018</v>
      </c>
      <c r="O559" s="15" t="s">
        <v>344</v>
      </c>
      <c r="P559" s="19" t="n">
        <v>10018</v>
      </c>
      <c r="Q559" s="15" t="s">
        <v>696</v>
      </c>
      <c r="R559" s="15" t="s">
        <v>648</v>
      </c>
      <c r="S559" s="15" t="s">
        <v>345</v>
      </c>
      <c r="T559" s="15" t="s">
        <v>341</v>
      </c>
      <c r="U559" s="15" t="s">
        <v>1809</v>
      </c>
    </row>
    <row r="560" customFormat="false" ht="19.5" hidden="false" customHeight="true" outlineLevel="0" collapsed="false">
      <c r="A560" s="26" t="n">
        <v>4793</v>
      </c>
      <c r="B560" s="27" t="s">
        <v>1810</v>
      </c>
      <c r="C560" s="30" t="s">
        <v>288</v>
      </c>
      <c r="D560" s="39" t="n">
        <v>0.2</v>
      </c>
      <c r="E560" s="30" t="s">
        <v>39</v>
      </c>
      <c r="F560" s="30" t="s">
        <v>39</v>
      </c>
      <c r="G560" s="27" t="s">
        <v>375</v>
      </c>
      <c r="H560" s="40" t="s">
        <v>375</v>
      </c>
      <c r="I560" s="27" t="s">
        <v>342</v>
      </c>
      <c r="J560" s="30" t="s">
        <v>336</v>
      </c>
      <c r="K560" s="30" t="s">
        <v>146</v>
      </c>
      <c r="L560" s="26" t="s">
        <v>146</v>
      </c>
      <c r="M560" s="27" t="s">
        <v>343</v>
      </c>
      <c r="N560" s="30" t="n">
        <v>10018</v>
      </c>
      <c r="O560" s="27" t="s">
        <v>344</v>
      </c>
      <c r="P560" s="26" t="n">
        <v>10018</v>
      </c>
      <c r="Q560" s="27" t="s">
        <v>696</v>
      </c>
      <c r="R560" s="27" t="s">
        <v>648</v>
      </c>
      <c r="S560" s="27" t="s">
        <v>345</v>
      </c>
      <c r="T560" s="27" t="s">
        <v>341</v>
      </c>
      <c r="U560" s="27" t="s">
        <v>1811</v>
      </c>
    </row>
    <row r="561" customFormat="false" ht="19.5" hidden="false" customHeight="true" outlineLevel="0" collapsed="false">
      <c r="A561" s="19" t="n">
        <v>4811</v>
      </c>
      <c r="B561" s="15" t="s">
        <v>1812</v>
      </c>
      <c r="C561" s="17" t="s">
        <v>287</v>
      </c>
      <c r="D561" s="16" t="n">
        <v>10</v>
      </c>
      <c r="E561" s="17" t="s">
        <v>63</v>
      </c>
      <c r="F561" s="17" t="s">
        <v>63</v>
      </c>
      <c r="G561" s="15" t="s">
        <v>145</v>
      </c>
      <c r="H561" s="18" t="s">
        <v>145</v>
      </c>
      <c r="I561" s="15" t="s">
        <v>342</v>
      </c>
      <c r="J561" s="17" t="s">
        <v>336</v>
      </c>
      <c r="K561" s="17" t="s">
        <v>146</v>
      </c>
      <c r="L561" s="19" t="s">
        <v>146</v>
      </c>
      <c r="M561" s="15" t="s">
        <v>343</v>
      </c>
      <c r="N561" s="17" t="n">
        <v>5217</v>
      </c>
      <c r="O561" s="15" t="s">
        <v>344</v>
      </c>
      <c r="P561" s="19" t="n">
        <v>5217</v>
      </c>
      <c r="Q561" s="15" t="s">
        <v>705</v>
      </c>
      <c r="R561" s="15" t="s">
        <v>648</v>
      </c>
      <c r="S561" s="15" t="s">
        <v>345</v>
      </c>
      <c r="T561" s="15" t="s">
        <v>341</v>
      </c>
      <c r="U561" s="15" t="s">
        <v>706</v>
      </c>
    </row>
    <row r="562" customFormat="false" ht="19.5" hidden="false" customHeight="true" outlineLevel="0" collapsed="false">
      <c r="A562" s="26" t="n">
        <v>4821</v>
      </c>
      <c r="B562" s="27" t="s">
        <v>1813</v>
      </c>
      <c r="C562" s="30" t="s">
        <v>1814</v>
      </c>
      <c r="D562" s="39" t="n">
        <v>1250</v>
      </c>
      <c r="E562" s="30" t="s">
        <v>63</v>
      </c>
      <c r="F562" s="30" t="s">
        <v>63</v>
      </c>
      <c r="G562" s="27" t="s">
        <v>466</v>
      </c>
      <c r="H562" s="40" t="s">
        <v>466</v>
      </c>
      <c r="I562" s="27" t="s">
        <v>452</v>
      </c>
      <c r="J562" s="30" t="s">
        <v>336</v>
      </c>
      <c r="K562" s="30" t="s">
        <v>453</v>
      </c>
      <c r="L562" s="26" t="s">
        <v>453</v>
      </c>
      <c r="M562" s="27" t="s">
        <v>338</v>
      </c>
      <c r="N562" s="30" t="n">
        <v>0</v>
      </c>
      <c r="O562" s="27" t="s">
        <v>339</v>
      </c>
      <c r="P562" s="26" t="s">
        <v>690</v>
      </c>
      <c r="Q562" s="27" t="s">
        <v>691</v>
      </c>
      <c r="R562" s="27" t="s">
        <v>692</v>
      </c>
      <c r="S562" s="27" t="s">
        <v>340</v>
      </c>
      <c r="T562" s="27" t="s">
        <v>341</v>
      </c>
      <c r="U562" s="27" t="s">
        <v>939</v>
      </c>
    </row>
    <row r="563" customFormat="false" ht="19.5" hidden="false" customHeight="true" outlineLevel="0" collapsed="false">
      <c r="A563" s="19" t="n">
        <v>4822</v>
      </c>
      <c r="B563" s="15" t="s">
        <v>1815</v>
      </c>
      <c r="C563" s="17" t="s">
        <v>288</v>
      </c>
      <c r="D563" s="16" t="n">
        <v>0.2</v>
      </c>
      <c r="E563" s="17" t="s">
        <v>39</v>
      </c>
      <c r="F563" s="17" t="s">
        <v>39</v>
      </c>
      <c r="G563" s="15" t="s">
        <v>114</v>
      </c>
      <c r="H563" s="18" t="s">
        <v>114</v>
      </c>
      <c r="I563" s="15" t="s">
        <v>356</v>
      </c>
      <c r="J563" s="17" t="s">
        <v>336</v>
      </c>
      <c r="K563" s="17" t="s">
        <v>82</v>
      </c>
      <c r="L563" s="19" t="s">
        <v>82</v>
      </c>
      <c r="M563" s="15" t="s">
        <v>343</v>
      </c>
      <c r="N563" s="17" t="n">
        <v>12123</v>
      </c>
      <c r="O563" s="15" t="s">
        <v>344</v>
      </c>
      <c r="P563" s="19" t="n">
        <v>12123</v>
      </c>
      <c r="Q563" s="15" t="s">
        <v>1742</v>
      </c>
      <c r="R563" s="15" t="s">
        <v>648</v>
      </c>
      <c r="S563" s="15" t="s">
        <v>345</v>
      </c>
      <c r="T563" s="15" t="s">
        <v>341</v>
      </c>
      <c r="U563" s="15" t="s">
        <v>1816</v>
      </c>
    </row>
    <row r="564" customFormat="false" ht="19.5" hidden="false" customHeight="true" outlineLevel="0" collapsed="false">
      <c r="A564" s="26" t="n">
        <v>4837</v>
      </c>
      <c r="B564" s="27" t="s">
        <v>1817</v>
      </c>
      <c r="C564" s="30" t="s">
        <v>1230</v>
      </c>
      <c r="D564" s="39" t="n">
        <v>20</v>
      </c>
      <c r="E564" s="30" t="s">
        <v>39</v>
      </c>
      <c r="F564" s="30" t="s">
        <v>39</v>
      </c>
      <c r="G564" s="27" t="s">
        <v>443</v>
      </c>
      <c r="H564" s="40" t="s">
        <v>443</v>
      </c>
      <c r="I564" s="27" t="s">
        <v>355</v>
      </c>
      <c r="J564" s="30" t="s">
        <v>336</v>
      </c>
      <c r="K564" s="30" t="s">
        <v>82</v>
      </c>
      <c r="L564" s="26" t="s">
        <v>82</v>
      </c>
      <c r="M564" s="27" t="s">
        <v>343</v>
      </c>
      <c r="N564" s="30" t="n">
        <v>43818</v>
      </c>
      <c r="O564" s="27" t="s">
        <v>344</v>
      </c>
      <c r="P564" s="26" t="n">
        <v>43818</v>
      </c>
      <c r="Q564" s="27" t="s">
        <v>1151</v>
      </c>
      <c r="R564" s="27" t="s">
        <v>648</v>
      </c>
      <c r="S564" s="27" t="s">
        <v>345</v>
      </c>
      <c r="T564" s="27" t="s">
        <v>341</v>
      </c>
      <c r="U564" s="27" t="s">
        <v>1818</v>
      </c>
    </row>
    <row r="565" customFormat="false" ht="19.5" hidden="false" customHeight="true" outlineLevel="0" collapsed="false">
      <c r="A565" s="19" t="n">
        <v>4838</v>
      </c>
      <c r="B565" s="15" t="s">
        <v>1819</v>
      </c>
      <c r="C565" s="17" t="s">
        <v>288</v>
      </c>
      <c r="D565" s="16" t="n">
        <v>0.2</v>
      </c>
      <c r="E565" s="17" t="s">
        <v>39</v>
      </c>
      <c r="F565" s="17" t="s">
        <v>39</v>
      </c>
      <c r="G565" s="15" t="s">
        <v>443</v>
      </c>
      <c r="H565" s="18" t="s">
        <v>443</v>
      </c>
      <c r="I565" s="15" t="s">
        <v>355</v>
      </c>
      <c r="J565" s="17" t="s">
        <v>336</v>
      </c>
      <c r="K565" s="17" t="s">
        <v>82</v>
      </c>
      <c r="L565" s="19" t="s">
        <v>82</v>
      </c>
      <c r="M565" s="15" t="s">
        <v>343</v>
      </c>
      <c r="N565" s="17" t="n">
        <v>43818</v>
      </c>
      <c r="O565" s="15" t="s">
        <v>344</v>
      </c>
      <c r="P565" s="19" t="n">
        <v>43818</v>
      </c>
      <c r="Q565" s="15" t="s">
        <v>1151</v>
      </c>
      <c r="R565" s="15" t="s">
        <v>648</v>
      </c>
      <c r="S565" s="15" t="s">
        <v>345</v>
      </c>
      <c r="T565" s="15" t="s">
        <v>341</v>
      </c>
      <c r="U565" s="15" t="s">
        <v>1820</v>
      </c>
    </row>
    <row r="566" customFormat="false" ht="19.5" hidden="false" customHeight="true" outlineLevel="0" collapsed="false">
      <c r="A566" s="26" t="n">
        <v>4861</v>
      </c>
      <c r="B566" s="27" t="s">
        <v>1821</v>
      </c>
      <c r="C566" s="30" t="s">
        <v>288</v>
      </c>
      <c r="D566" s="39" t="n">
        <v>0.2</v>
      </c>
      <c r="E566" s="30" t="s">
        <v>39</v>
      </c>
      <c r="F566" s="30" t="s">
        <v>39</v>
      </c>
      <c r="G566" s="27" t="s">
        <v>599</v>
      </c>
      <c r="H566" s="40" t="s">
        <v>599</v>
      </c>
      <c r="I566" s="27" t="s">
        <v>342</v>
      </c>
      <c r="J566" s="30" t="s">
        <v>336</v>
      </c>
      <c r="K566" s="30" t="s">
        <v>111</v>
      </c>
      <c r="L566" s="26" t="s">
        <v>111</v>
      </c>
      <c r="M566" s="27" t="s">
        <v>343</v>
      </c>
      <c r="N566" s="30" t="n">
        <v>27922</v>
      </c>
      <c r="O566" s="27" t="s">
        <v>344</v>
      </c>
      <c r="P566" s="26" t="n">
        <v>27922</v>
      </c>
      <c r="Q566" s="27" t="s">
        <v>1460</v>
      </c>
      <c r="R566" s="27" t="s">
        <v>648</v>
      </c>
      <c r="S566" s="27" t="s">
        <v>345</v>
      </c>
      <c r="T566" s="27" t="s">
        <v>341</v>
      </c>
      <c r="U566" s="27" t="s">
        <v>1461</v>
      </c>
    </row>
    <row r="567" customFormat="false" ht="19.5" hidden="false" customHeight="true" outlineLevel="0" collapsed="false">
      <c r="A567" s="19" t="n">
        <v>4914</v>
      </c>
      <c r="B567" s="15" t="s">
        <v>74</v>
      </c>
      <c r="C567" s="17" t="s">
        <v>292</v>
      </c>
      <c r="D567" s="16" t="n">
        <v>0.2</v>
      </c>
      <c r="E567" s="17" t="s">
        <v>39</v>
      </c>
      <c r="F567" s="17" t="s">
        <v>39</v>
      </c>
      <c r="G567" s="15" t="s">
        <v>75</v>
      </c>
      <c r="H567" s="18" t="s">
        <v>75</v>
      </c>
      <c r="I567" s="15" t="s">
        <v>356</v>
      </c>
      <c r="J567" s="17" t="s">
        <v>360</v>
      </c>
      <c r="K567" s="17" t="s">
        <v>51</v>
      </c>
      <c r="L567" s="19" t="s">
        <v>45</v>
      </c>
      <c r="M567" s="15" t="s">
        <v>361</v>
      </c>
      <c r="N567" s="17" t="n">
        <v>26023</v>
      </c>
      <c r="O567" s="15" t="s">
        <v>344</v>
      </c>
      <c r="P567" s="19" t="n">
        <v>26023</v>
      </c>
      <c r="Q567" s="15" t="s">
        <v>1697</v>
      </c>
      <c r="R567" s="15" t="s">
        <v>648</v>
      </c>
      <c r="S567" s="15" t="s">
        <v>345</v>
      </c>
      <c r="T567" s="15" t="s">
        <v>341</v>
      </c>
      <c r="U567" s="15" t="s">
        <v>1822</v>
      </c>
    </row>
    <row r="568" customFormat="false" ht="19.5" hidden="false" customHeight="true" outlineLevel="0" collapsed="false">
      <c r="A568" s="26" t="n">
        <v>4921</v>
      </c>
      <c r="B568" s="27" t="s">
        <v>1823</v>
      </c>
      <c r="C568" s="30" t="s">
        <v>275</v>
      </c>
      <c r="D568" s="39" t="n">
        <v>10</v>
      </c>
      <c r="E568" s="30" t="s">
        <v>63</v>
      </c>
      <c r="F568" s="30" t="s">
        <v>63</v>
      </c>
      <c r="G568" s="27" t="s">
        <v>78</v>
      </c>
      <c r="H568" s="40" t="s">
        <v>78</v>
      </c>
      <c r="I568" s="27" t="s">
        <v>356</v>
      </c>
      <c r="J568" s="30" t="s">
        <v>360</v>
      </c>
      <c r="K568" s="30" t="s">
        <v>51</v>
      </c>
      <c r="L568" s="26" t="s">
        <v>51</v>
      </c>
      <c r="M568" s="27" t="s">
        <v>361</v>
      </c>
      <c r="N568" s="30" t="n">
        <v>5924</v>
      </c>
      <c r="O568" s="27" t="s">
        <v>344</v>
      </c>
      <c r="P568" s="26" t="n">
        <v>5924</v>
      </c>
      <c r="Q568" s="27" t="s">
        <v>1724</v>
      </c>
      <c r="R568" s="27" t="s">
        <v>648</v>
      </c>
      <c r="S568" s="27" t="s">
        <v>345</v>
      </c>
      <c r="T568" s="27" t="s">
        <v>341</v>
      </c>
      <c r="U568" s="27" t="s">
        <v>1725</v>
      </c>
    </row>
    <row r="569" customFormat="false" ht="19.5" hidden="false" customHeight="true" outlineLevel="0" collapsed="false">
      <c r="A569" s="19" t="n">
        <v>4959</v>
      </c>
      <c r="B569" s="15" t="s">
        <v>1824</v>
      </c>
      <c r="C569" s="17" t="s">
        <v>272</v>
      </c>
      <c r="D569" s="16" t="n">
        <v>5</v>
      </c>
      <c r="E569" s="17" t="s">
        <v>63</v>
      </c>
      <c r="F569" s="17" t="s">
        <v>63</v>
      </c>
      <c r="G569" s="15" t="s">
        <v>358</v>
      </c>
      <c r="H569" s="18" t="s">
        <v>358</v>
      </c>
      <c r="I569" s="15" t="s">
        <v>356</v>
      </c>
      <c r="J569" s="17" t="s">
        <v>336</v>
      </c>
      <c r="K569" s="17" t="s">
        <v>65</v>
      </c>
      <c r="L569" s="19" t="s">
        <v>65</v>
      </c>
      <c r="M569" s="15" t="s">
        <v>343</v>
      </c>
      <c r="N569" s="17" t="n">
        <v>15925</v>
      </c>
      <c r="O569" s="15" t="s">
        <v>344</v>
      </c>
      <c r="P569" s="19" t="n">
        <v>15925</v>
      </c>
      <c r="Q569" s="15" t="s">
        <v>1655</v>
      </c>
      <c r="R569" s="15" t="s">
        <v>648</v>
      </c>
      <c r="S569" s="15" t="s">
        <v>345</v>
      </c>
      <c r="T569" s="15" t="s">
        <v>341</v>
      </c>
      <c r="U569" s="15" t="s">
        <v>1656</v>
      </c>
    </row>
    <row r="570" customFormat="false" ht="19.5" hidden="false" customHeight="true" outlineLevel="0" collapsed="false">
      <c r="A570" s="26" t="n">
        <v>5001</v>
      </c>
      <c r="B570" s="27" t="s">
        <v>1825</v>
      </c>
      <c r="C570" s="30" t="s">
        <v>263</v>
      </c>
      <c r="D570" s="39" t="n">
        <v>20</v>
      </c>
      <c r="E570" s="30" t="s">
        <v>39</v>
      </c>
      <c r="F570" s="30" t="s">
        <v>39</v>
      </c>
      <c r="G570" s="27" t="s">
        <v>460</v>
      </c>
      <c r="H570" s="40" t="s">
        <v>460</v>
      </c>
      <c r="I570" s="27" t="s">
        <v>356</v>
      </c>
      <c r="J570" s="30" t="s">
        <v>336</v>
      </c>
      <c r="K570" s="30" t="s">
        <v>82</v>
      </c>
      <c r="L570" s="26" t="s">
        <v>82</v>
      </c>
      <c r="M570" s="27" t="s">
        <v>343</v>
      </c>
      <c r="N570" s="30" t="n">
        <v>14024</v>
      </c>
      <c r="O570" s="27" t="s">
        <v>344</v>
      </c>
      <c r="P570" s="26" t="n">
        <v>14024</v>
      </c>
      <c r="Q570" s="27" t="s">
        <v>1274</v>
      </c>
      <c r="R570" s="27" t="s">
        <v>648</v>
      </c>
      <c r="S570" s="27" t="s">
        <v>345</v>
      </c>
      <c r="T570" s="27" t="s">
        <v>341</v>
      </c>
      <c r="U570" s="27" t="s">
        <v>1275</v>
      </c>
    </row>
    <row r="571" customFormat="false" ht="19.5" hidden="false" customHeight="true" outlineLevel="0" collapsed="false">
      <c r="A571" s="19" t="n">
        <v>5002</v>
      </c>
      <c r="B571" s="15" t="s">
        <v>1826</v>
      </c>
      <c r="C571" s="17" t="s">
        <v>260</v>
      </c>
      <c r="D571" s="16" t="n">
        <v>5</v>
      </c>
      <c r="E571" s="17" t="s">
        <v>39</v>
      </c>
      <c r="F571" s="17" t="s">
        <v>39</v>
      </c>
      <c r="G571" s="15" t="s">
        <v>460</v>
      </c>
      <c r="H571" s="18" t="s">
        <v>460</v>
      </c>
      <c r="I571" s="15" t="s">
        <v>356</v>
      </c>
      <c r="J571" s="17" t="s">
        <v>336</v>
      </c>
      <c r="K571" s="17" t="s">
        <v>82</v>
      </c>
      <c r="L571" s="19" t="s">
        <v>82</v>
      </c>
      <c r="M571" s="15" t="s">
        <v>343</v>
      </c>
      <c r="N571" s="17" t="n">
        <v>14024</v>
      </c>
      <c r="O571" s="15" t="s">
        <v>344</v>
      </c>
      <c r="P571" s="19" t="n">
        <v>14024</v>
      </c>
      <c r="Q571" s="15" t="s">
        <v>1274</v>
      </c>
      <c r="R571" s="15" t="s">
        <v>648</v>
      </c>
      <c r="S571" s="15" t="s">
        <v>345</v>
      </c>
      <c r="T571" s="15" t="s">
        <v>341</v>
      </c>
      <c r="U571" s="15" t="s">
        <v>1275</v>
      </c>
    </row>
    <row r="572" customFormat="false" ht="19.5" hidden="false" customHeight="true" outlineLevel="0" collapsed="false">
      <c r="A572" s="26" t="n">
        <v>5010</v>
      </c>
      <c r="B572" s="27" t="s">
        <v>1827</v>
      </c>
      <c r="C572" s="30" t="s">
        <v>763</v>
      </c>
      <c r="D572" s="39" t="n">
        <v>10</v>
      </c>
      <c r="E572" s="30" t="s">
        <v>39</v>
      </c>
      <c r="F572" s="30" t="s">
        <v>39</v>
      </c>
      <c r="G572" s="27" t="s">
        <v>533</v>
      </c>
      <c r="H572" s="40" t="s">
        <v>533</v>
      </c>
      <c r="I572" s="27" t="s">
        <v>379</v>
      </c>
      <c r="J572" s="30" t="s">
        <v>336</v>
      </c>
      <c r="K572" s="30" t="s">
        <v>530</v>
      </c>
      <c r="L572" s="26" t="s">
        <v>530</v>
      </c>
      <c r="M572" s="27" t="s">
        <v>343</v>
      </c>
      <c r="N572" s="30" t="n">
        <v>34723</v>
      </c>
      <c r="O572" s="27" t="s">
        <v>344</v>
      </c>
      <c r="P572" s="26" t="n">
        <v>34723</v>
      </c>
      <c r="Q572" s="27" t="s">
        <v>1828</v>
      </c>
      <c r="R572" s="27" t="s">
        <v>648</v>
      </c>
      <c r="S572" s="27" t="s">
        <v>345</v>
      </c>
      <c r="T572" s="27" t="s">
        <v>341</v>
      </c>
      <c r="U572" s="27" t="s">
        <v>1829</v>
      </c>
    </row>
    <row r="573" customFormat="false" ht="19.5" hidden="false" customHeight="true" outlineLevel="0" collapsed="false">
      <c r="A573" s="19" t="n">
        <v>5061</v>
      </c>
      <c r="B573" s="15" t="s">
        <v>1830</v>
      </c>
      <c r="C573" s="17" t="s">
        <v>314</v>
      </c>
      <c r="D573" s="16" t="n">
        <v>25</v>
      </c>
      <c r="E573" s="17" t="s">
        <v>63</v>
      </c>
      <c r="F573" s="17" t="s">
        <v>1831</v>
      </c>
      <c r="G573" s="15" t="s">
        <v>40</v>
      </c>
      <c r="H573" s="18" t="s">
        <v>40</v>
      </c>
      <c r="I573" s="15" t="s">
        <v>1832</v>
      </c>
      <c r="J573" s="17" t="s">
        <v>336</v>
      </c>
      <c r="K573" s="17" t="s">
        <v>1833</v>
      </c>
      <c r="L573" s="19" t="s">
        <v>1833</v>
      </c>
      <c r="M573" s="15" t="s">
        <v>368</v>
      </c>
      <c r="N573" s="17" t="n">
        <v>315</v>
      </c>
      <c r="O573" s="15" t="s">
        <v>344</v>
      </c>
      <c r="P573" s="19" t="n">
        <v>315</v>
      </c>
      <c r="Q573" s="15" t="s">
        <v>647</v>
      </c>
      <c r="R573" s="15" t="s">
        <v>648</v>
      </c>
      <c r="S573" s="15" t="s">
        <v>370</v>
      </c>
      <c r="T573" s="15" t="s">
        <v>371</v>
      </c>
      <c r="U573" s="15" t="s">
        <v>1834</v>
      </c>
    </row>
    <row r="574" customFormat="false" ht="19.5" hidden="false" customHeight="true" outlineLevel="0" collapsed="false">
      <c r="A574" s="26" t="n">
        <v>5297</v>
      </c>
      <c r="B574" s="27" t="s">
        <v>1835</v>
      </c>
      <c r="C574" s="30" t="s">
        <v>263</v>
      </c>
      <c r="D574" s="39" t="n">
        <v>20</v>
      </c>
      <c r="E574" s="30" t="s">
        <v>39</v>
      </c>
      <c r="F574" s="30" t="s">
        <v>39</v>
      </c>
      <c r="G574" s="27" t="s">
        <v>375</v>
      </c>
      <c r="H574" s="40" t="s">
        <v>375</v>
      </c>
      <c r="I574" s="27" t="s">
        <v>342</v>
      </c>
      <c r="J574" s="30" t="s">
        <v>336</v>
      </c>
      <c r="K574" s="30" t="s">
        <v>146</v>
      </c>
      <c r="L574" s="26" t="s">
        <v>146</v>
      </c>
      <c r="M574" s="27" t="s">
        <v>343</v>
      </c>
      <c r="N574" s="30" t="n">
        <v>10018</v>
      </c>
      <c r="O574" s="27" t="s">
        <v>344</v>
      </c>
      <c r="P574" s="26" t="n">
        <v>10018</v>
      </c>
      <c r="Q574" s="27" t="s">
        <v>696</v>
      </c>
      <c r="R574" s="27" t="s">
        <v>648</v>
      </c>
      <c r="S574" s="27" t="s">
        <v>345</v>
      </c>
      <c r="T574" s="27" t="s">
        <v>341</v>
      </c>
      <c r="U574" s="27" t="s">
        <v>1809</v>
      </c>
    </row>
    <row r="575" customFormat="false" ht="19.5" hidden="false" customHeight="true" outlineLevel="0" collapsed="false">
      <c r="A575" s="19" t="n">
        <v>5301</v>
      </c>
      <c r="B575" s="15" t="s">
        <v>1836</v>
      </c>
      <c r="C575" s="17" t="s">
        <v>763</v>
      </c>
      <c r="D575" s="16" t="n">
        <v>10</v>
      </c>
      <c r="E575" s="17" t="s">
        <v>39</v>
      </c>
      <c r="F575" s="17" t="s">
        <v>39</v>
      </c>
      <c r="G575" s="15" t="s">
        <v>533</v>
      </c>
      <c r="H575" s="18" t="s">
        <v>533</v>
      </c>
      <c r="I575" s="15" t="s">
        <v>379</v>
      </c>
      <c r="J575" s="17" t="s">
        <v>336</v>
      </c>
      <c r="K575" s="17" t="s">
        <v>530</v>
      </c>
      <c r="L575" s="19" t="s">
        <v>530</v>
      </c>
      <c r="M575" s="15" t="s">
        <v>343</v>
      </c>
      <c r="N575" s="17" t="n">
        <v>34723</v>
      </c>
      <c r="O575" s="15" t="s">
        <v>344</v>
      </c>
      <c r="P575" s="19" t="n">
        <v>34723</v>
      </c>
      <c r="Q575" s="15" t="s">
        <v>1828</v>
      </c>
      <c r="R575" s="15" t="s">
        <v>648</v>
      </c>
      <c r="S575" s="15" t="s">
        <v>345</v>
      </c>
      <c r="T575" s="15" t="s">
        <v>341</v>
      </c>
      <c r="U575" s="15" t="s">
        <v>1829</v>
      </c>
    </row>
    <row r="576" customFormat="false" ht="19.5" hidden="false" customHeight="true" outlineLevel="0" collapsed="false">
      <c r="A576" s="26" t="n">
        <v>5454</v>
      </c>
      <c r="B576" s="27" t="s">
        <v>1837</v>
      </c>
      <c r="C576" s="30" t="s">
        <v>263</v>
      </c>
      <c r="D576" s="39" t="n">
        <v>20</v>
      </c>
      <c r="E576" s="30" t="s">
        <v>39</v>
      </c>
      <c r="F576" s="30" t="s">
        <v>39</v>
      </c>
      <c r="G576" s="27" t="s">
        <v>536</v>
      </c>
      <c r="H576" s="40" t="s">
        <v>536</v>
      </c>
      <c r="I576" s="27" t="s">
        <v>356</v>
      </c>
      <c r="J576" s="30" t="s">
        <v>336</v>
      </c>
      <c r="K576" s="30" t="s">
        <v>82</v>
      </c>
      <c r="L576" s="26" t="s">
        <v>82</v>
      </c>
      <c r="M576" s="27" t="s">
        <v>343</v>
      </c>
      <c r="N576" s="30" t="n">
        <v>13716</v>
      </c>
      <c r="O576" s="27" t="s">
        <v>344</v>
      </c>
      <c r="P576" s="26" t="n">
        <v>13716</v>
      </c>
      <c r="Q576" s="27" t="s">
        <v>1838</v>
      </c>
      <c r="R576" s="27" t="s">
        <v>648</v>
      </c>
      <c r="S576" s="27" t="s">
        <v>345</v>
      </c>
      <c r="T576" s="27" t="s">
        <v>341</v>
      </c>
      <c r="U576" s="27" t="s">
        <v>1839</v>
      </c>
    </row>
    <row r="577" customFormat="false" ht="19.5" hidden="false" customHeight="true" outlineLevel="0" collapsed="false">
      <c r="A577" s="19" t="n">
        <v>5588</v>
      </c>
      <c r="B577" s="15" t="s">
        <v>1840</v>
      </c>
      <c r="C577" s="17" t="s">
        <v>263</v>
      </c>
      <c r="D577" s="16" t="n">
        <v>20</v>
      </c>
      <c r="E577" s="17" t="s">
        <v>39</v>
      </c>
      <c r="F577" s="17" t="s">
        <v>39</v>
      </c>
      <c r="G577" s="15" t="s">
        <v>611</v>
      </c>
      <c r="H577" s="18" t="s">
        <v>611</v>
      </c>
      <c r="I577" s="15" t="s">
        <v>379</v>
      </c>
      <c r="J577" s="17" t="s">
        <v>336</v>
      </c>
      <c r="K577" s="17" t="s">
        <v>140</v>
      </c>
      <c r="L577" s="19" t="s">
        <v>140</v>
      </c>
      <c r="M577" s="15" t="s">
        <v>343</v>
      </c>
      <c r="N577" s="17" t="n">
        <v>17921</v>
      </c>
      <c r="O577" s="15" t="s">
        <v>344</v>
      </c>
      <c r="P577" s="19" t="n">
        <v>17921</v>
      </c>
      <c r="Q577" s="15" t="s">
        <v>1076</v>
      </c>
      <c r="R577" s="15" t="s">
        <v>648</v>
      </c>
      <c r="S577" s="15" t="s">
        <v>345</v>
      </c>
      <c r="T577" s="15" t="s">
        <v>341</v>
      </c>
      <c r="U577" s="15" t="s">
        <v>1077</v>
      </c>
    </row>
    <row r="578" customFormat="false" ht="19.5" hidden="false" customHeight="true" outlineLevel="0" collapsed="false">
      <c r="A578" s="26" t="n">
        <v>5589</v>
      </c>
      <c r="B578" s="27" t="s">
        <v>1841</v>
      </c>
      <c r="C578" s="30" t="s">
        <v>263</v>
      </c>
      <c r="D578" s="39" t="n">
        <v>20</v>
      </c>
      <c r="E578" s="30" t="s">
        <v>39</v>
      </c>
      <c r="F578" s="30" t="s">
        <v>39</v>
      </c>
      <c r="G578" s="27" t="s">
        <v>466</v>
      </c>
      <c r="H578" s="40" t="s">
        <v>466</v>
      </c>
      <c r="I578" s="27" t="s">
        <v>421</v>
      </c>
      <c r="J578" s="30" t="s">
        <v>336</v>
      </c>
      <c r="K578" s="30" t="s">
        <v>1536</v>
      </c>
      <c r="L578" s="26" t="s">
        <v>1536</v>
      </c>
      <c r="M578" s="27" t="s">
        <v>349</v>
      </c>
      <c r="N578" s="30" t="n">
        <v>0</v>
      </c>
      <c r="O578" s="27" t="s">
        <v>339</v>
      </c>
      <c r="P578" s="26" t="s">
        <v>690</v>
      </c>
      <c r="Q578" s="27" t="s">
        <v>691</v>
      </c>
      <c r="R578" s="27" t="s">
        <v>692</v>
      </c>
      <c r="S578" s="27" t="s">
        <v>345</v>
      </c>
      <c r="T578" s="27" t="s">
        <v>341</v>
      </c>
      <c r="U578" s="27" t="s">
        <v>693</v>
      </c>
    </row>
    <row r="579" customFormat="false" ht="19.5" hidden="false" customHeight="true" outlineLevel="0" collapsed="false">
      <c r="A579" s="19" t="n">
        <v>5590</v>
      </c>
      <c r="B579" s="15" t="s">
        <v>1842</v>
      </c>
      <c r="C579" s="17" t="s">
        <v>260</v>
      </c>
      <c r="D579" s="16" t="n">
        <v>5</v>
      </c>
      <c r="E579" s="17" t="s">
        <v>39</v>
      </c>
      <c r="F579" s="17" t="s">
        <v>39</v>
      </c>
      <c r="G579" s="15" t="s">
        <v>585</v>
      </c>
      <c r="H579" s="18" t="s">
        <v>585</v>
      </c>
      <c r="I579" s="15" t="s">
        <v>379</v>
      </c>
      <c r="J579" s="17" t="s">
        <v>336</v>
      </c>
      <c r="K579" s="17" t="s">
        <v>140</v>
      </c>
      <c r="L579" s="19" t="s">
        <v>140</v>
      </c>
      <c r="M579" s="15" t="s">
        <v>343</v>
      </c>
      <c r="N579" s="17" t="n">
        <v>11216</v>
      </c>
      <c r="O579" s="15" t="s">
        <v>344</v>
      </c>
      <c r="P579" s="19" t="n">
        <v>11216</v>
      </c>
      <c r="Q579" s="15" t="s">
        <v>1843</v>
      </c>
      <c r="R579" s="15" t="s">
        <v>648</v>
      </c>
      <c r="S579" s="15" t="s">
        <v>345</v>
      </c>
      <c r="T579" s="15" t="s">
        <v>341</v>
      </c>
      <c r="U579" s="15" t="s">
        <v>1844</v>
      </c>
    </row>
    <row r="580" customFormat="false" ht="19.5" hidden="false" customHeight="true" outlineLevel="0" collapsed="false">
      <c r="A580" s="26" t="n">
        <v>5591</v>
      </c>
      <c r="B580" s="27" t="s">
        <v>1845</v>
      </c>
      <c r="C580" s="30" t="s">
        <v>263</v>
      </c>
      <c r="D580" s="39" t="n">
        <v>20</v>
      </c>
      <c r="E580" s="30" t="s">
        <v>39</v>
      </c>
      <c r="F580" s="30" t="s">
        <v>39</v>
      </c>
      <c r="G580" s="27" t="s">
        <v>449</v>
      </c>
      <c r="H580" s="40" t="s">
        <v>449</v>
      </c>
      <c r="I580" s="27" t="s">
        <v>342</v>
      </c>
      <c r="J580" s="30" t="s">
        <v>336</v>
      </c>
      <c r="K580" s="30" t="s">
        <v>146</v>
      </c>
      <c r="L580" s="26" t="s">
        <v>146</v>
      </c>
      <c r="M580" s="27" t="s">
        <v>343</v>
      </c>
      <c r="N580" s="30" t="n">
        <v>8319</v>
      </c>
      <c r="O580" s="27" t="s">
        <v>344</v>
      </c>
      <c r="P580" s="26" t="n">
        <v>8319</v>
      </c>
      <c r="Q580" s="27" t="s">
        <v>1061</v>
      </c>
      <c r="R580" s="27" t="s">
        <v>648</v>
      </c>
      <c r="S580" s="27" t="s">
        <v>345</v>
      </c>
      <c r="T580" s="27" t="s">
        <v>341</v>
      </c>
      <c r="U580" s="27" t="s">
        <v>1062</v>
      </c>
    </row>
    <row r="581" customFormat="false" ht="19.5" hidden="false" customHeight="true" outlineLevel="0" collapsed="false">
      <c r="A581" s="19" t="n">
        <v>5592</v>
      </c>
      <c r="B581" s="15" t="s">
        <v>1846</v>
      </c>
      <c r="C581" s="17" t="s">
        <v>812</v>
      </c>
      <c r="D581" s="16" t="n">
        <v>20</v>
      </c>
      <c r="E581" s="17" t="s">
        <v>63</v>
      </c>
      <c r="F581" s="17" t="s">
        <v>63</v>
      </c>
      <c r="G581" s="15" t="s">
        <v>466</v>
      </c>
      <c r="H581" s="18" t="s">
        <v>466</v>
      </c>
      <c r="I581" s="15" t="s">
        <v>421</v>
      </c>
      <c r="J581" s="17" t="s">
        <v>336</v>
      </c>
      <c r="K581" s="17" t="s">
        <v>1536</v>
      </c>
      <c r="L581" s="19" t="s">
        <v>1536</v>
      </c>
      <c r="M581" s="15" t="s">
        <v>349</v>
      </c>
      <c r="N581" s="17" t="n">
        <v>0</v>
      </c>
      <c r="O581" s="15" t="s">
        <v>339</v>
      </c>
      <c r="P581" s="19" t="s">
        <v>690</v>
      </c>
      <c r="Q581" s="15" t="s">
        <v>691</v>
      </c>
      <c r="R581" s="15" t="s">
        <v>692</v>
      </c>
      <c r="S581" s="15" t="s">
        <v>345</v>
      </c>
      <c r="T581" s="15" t="s">
        <v>341</v>
      </c>
      <c r="U581" s="15" t="s">
        <v>693</v>
      </c>
    </row>
    <row r="582" customFormat="false" ht="19.5" hidden="false" customHeight="true" outlineLevel="0" collapsed="false">
      <c r="A582" s="26" t="n">
        <v>5593</v>
      </c>
      <c r="B582" s="27" t="s">
        <v>1847</v>
      </c>
      <c r="C582" s="30" t="s">
        <v>260</v>
      </c>
      <c r="D582" s="39" t="n">
        <v>5</v>
      </c>
      <c r="E582" s="30" t="s">
        <v>39</v>
      </c>
      <c r="F582" s="30" t="s">
        <v>39</v>
      </c>
      <c r="G582" s="27" t="s">
        <v>466</v>
      </c>
      <c r="H582" s="40" t="s">
        <v>466</v>
      </c>
      <c r="I582" s="27" t="s">
        <v>467</v>
      </c>
      <c r="J582" s="30" t="s">
        <v>336</v>
      </c>
      <c r="K582" s="30" t="s">
        <v>159</v>
      </c>
      <c r="L582" s="26" t="s">
        <v>159</v>
      </c>
      <c r="M582" s="27" t="s">
        <v>349</v>
      </c>
      <c r="N582" s="30" t="n">
        <v>0</v>
      </c>
      <c r="O582" s="27" t="s">
        <v>339</v>
      </c>
      <c r="P582" s="26" t="s">
        <v>690</v>
      </c>
      <c r="Q582" s="27" t="s">
        <v>691</v>
      </c>
      <c r="R582" s="27" t="s">
        <v>692</v>
      </c>
      <c r="S582" s="27" t="s">
        <v>345</v>
      </c>
      <c r="T582" s="27" t="s">
        <v>341</v>
      </c>
      <c r="U582" s="27" t="s">
        <v>693</v>
      </c>
    </row>
    <row r="583" customFormat="false" ht="19.5" hidden="false" customHeight="true" outlineLevel="0" collapsed="false">
      <c r="A583" s="19" t="n">
        <v>5594</v>
      </c>
      <c r="B583" s="15" t="s">
        <v>1848</v>
      </c>
      <c r="C583" s="17" t="s">
        <v>260</v>
      </c>
      <c r="D583" s="16" t="n">
        <v>5</v>
      </c>
      <c r="E583" s="17" t="s">
        <v>39</v>
      </c>
      <c r="F583" s="17" t="s">
        <v>39</v>
      </c>
      <c r="G583" s="15" t="s">
        <v>583</v>
      </c>
      <c r="H583" s="18" t="s">
        <v>583</v>
      </c>
      <c r="I583" s="15" t="s">
        <v>584</v>
      </c>
      <c r="J583" s="17" t="s">
        <v>336</v>
      </c>
      <c r="K583" s="17" t="s">
        <v>82</v>
      </c>
      <c r="L583" s="19" t="s">
        <v>82</v>
      </c>
      <c r="M583" s="15" t="s">
        <v>343</v>
      </c>
      <c r="N583" s="17" t="n">
        <v>1209</v>
      </c>
      <c r="O583" s="15" t="s">
        <v>344</v>
      </c>
      <c r="P583" s="19" t="n">
        <v>1209</v>
      </c>
      <c r="Q583" s="15" t="s">
        <v>1849</v>
      </c>
      <c r="R583" s="15" t="s">
        <v>648</v>
      </c>
      <c r="S583" s="15" t="s">
        <v>345</v>
      </c>
      <c r="T583" s="15" t="s">
        <v>341</v>
      </c>
      <c r="U583" s="15" t="s">
        <v>1850</v>
      </c>
    </row>
    <row r="584" customFormat="false" ht="19.5" hidden="false" customHeight="true" outlineLevel="0" collapsed="false">
      <c r="A584" s="26" t="n">
        <v>5595</v>
      </c>
      <c r="B584" s="27" t="s">
        <v>1851</v>
      </c>
      <c r="C584" s="30" t="s">
        <v>296</v>
      </c>
      <c r="D584" s="39" t="n">
        <v>1</v>
      </c>
      <c r="E584" s="30" t="s">
        <v>39</v>
      </c>
      <c r="F584" s="30" t="s">
        <v>39</v>
      </c>
      <c r="G584" s="27" t="s">
        <v>466</v>
      </c>
      <c r="H584" s="40" t="s">
        <v>466</v>
      </c>
      <c r="I584" s="27" t="s">
        <v>467</v>
      </c>
      <c r="J584" s="30" t="s">
        <v>336</v>
      </c>
      <c r="K584" s="30" t="s">
        <v>159</v>
      </c>
      <c r="L584" s="26" t="s">
        <v>159</v>
      </c>
      <c r="M584" s="27" t="s">
        <v>349</v>
      </c>
      <c r="N584" s="30" t="n">
        <v>0</v>
      </c>
      <c r="O584" s="27" t="s">
        <v>339</v>
      </c>
      <c r="P584" s="26" t="s">
        <v>690</v>
      </c>
      <c r="Q584" s="27" t="s">
        <v>691</v>
      </c>
      <c r="R584" s="27" t="s">
        <v>692</v>
      </c>
      <c r="S584" s="27" t="s">
        <v>345</v>
      </c>
      <c r="T584" s="27" t="s">
        <v>341</v>
      </c>
      <c r="U584" s="27" t="s">
        <v>693</v>
      </c>
    </row>
    <row r="585" customFormat="false" ht="19.5" hidden="false" customHeight="true" outlineLevel="0" collapsed="false">
      <c r="A585" s="19" t="n">
        <v>5596</v>
      </c>
      <c r="B585" s="15" t="s">
        <v>1852</v>
      </c>
      <c r="C585" s="17" t="s">
        <v>260</v>
      </c>
      <c r="D585" s="16" t="n">
        <v>5</v>
      </c>
      <c r="E585" s="17" t="s">
        <v>39</v>
      </c>
      <c r="F585" s="17" t="s">
        <v>39</v>
      </c>
      <c r="G585" s="15" t="s">
        <v>410</v>
      </c>
      <c r="H585" s="18" t="s">
        <v>410</v>
      </c>
      <c r="I585" s="15" t="s">
        <v>342</v>
      </c>
      <c r="J585" s="17" t="s">
        <v>336</v>
      </c>
      <c r="K585" s="17" t="s">
        <v>111</v>
      </c>
      <c r="L585" s="19" t="s">
        <v>111</v>
      </c>
      <c r="M585" s="15" t="s">
        <v>343</v>
      </c>
      <c r="N585" s="17" t="n">
        <v>24518</v>
      </c>
      <c r="O585" s="15" t="s">
        <v>344</v>
      </c>
      <c r="P585" s="19" t="n">
        <v>24518</v>
      </c>
      <c r="Q585" s="15" t="s">
        <v>1853</v>
      </c>
      <c r="R585" s="15" t="s">
        <v>648</v>
      </c>
      <c r="S585" s="15" t="s">
        <v>345</v>
      </c>
      <c r="T585" s="15" t="s">
        <v>341</v>
      </c>
      <c r="U585" s="15" t="s">
        <v>1854</v>
      </c>
    </row>
    <row r="586" customFormat="false" ht="19.5" hidden="false" customHeight="true" outlineLevel="0" collapsed="false">
      <c r="A586" s="26" t="n">
        <v>5597</v>
      </c>
      <c r="B586" s="27" t="s">
        <v>1855</v>
      </c>
      <c r="C586" s="30" t="s">
        <v>1856</v>
      </c>
      <c r="D586" s="39" t="n">
        <v>0.5</v>
      </c>
      <c r="E586" s="30" t="s">
        <v>39</v>
      </c>
      <c r="F586" s="30" t="s">
        <v>39</v>
      </c>
      <c r="G586" s="27" t="s">
        <v>405</v>
      </c>
      <c r="H586" s="40" t="s">
        <v>405</v>
      </c>
      <c r="I586" s="27" t="s">
        <v>384</v>
      </c>
      <c r="J586" s="30" t="s">
        <v>336</v>
      </c>
      <c r="K586" s="30" t="s">
        <v>385</v>
      </c>
      <c r="L586" s="26" t="s">
        <v>385</v>
      </c>
      <c r="M586" s="27" t="s">
        <v>343</v>
      </c>
      <c r="N586" s="30" t="n">
        <v>12320</v>
      </c>
      <c r="O586" s="27" t="s">
        <v>344</v>
      </c>
      <c r="P586" s="26" t="n">
        <v>12320</v>
      </c>
      <c r="Q586" s="27" t="s">
        <v>1857</v>
      </c>
      <c r="R586" s="27" t="s">
        <v>648</v>
      </c>
      <c r="S586" s="27" t="s">
        <v>345</v>
      </c>
      <c r="T586" s="27" t="s">
        <v>341</v>
      </c>
      <c r="U586" s="27" t="s">
        <v>1858</v>
      </c>
    </row>
    <row r="587" customFormat="false" ht="19.5" hidden="false" customHeight="true" outlineLevel="0" collapsed="false">
      <c r="A587" s="19" t="n">
        <v>5598</v>
      </c>
      <c r="B587" s="15" t="s">
        <v>1859</v>
      </c>
      <c r="C587" s="17" t="s">
        <v>260</v>
      </c>
      <c r="D587" s="16" t="n">
        <v>5</v>
      </c>
      <c r="E587" s="17" t="s">
        <v>39</v>
      </c>
      <c r="F587" s="17" t="s">
        <v>39</v>
      </c>
      <c r="G587" s="15" t="s">
        <v>464</v>
      </c>
      <c r="H587" s="18" t="s">
        <v>464</v>
      </c>
      <c r="I587" s="15" t="s">
        <v>356</v>
      </c>
      <c r="J587" s="17" t="s">
        <v>360</v>
      </c>
      <c r="K587" s="17" t="s">
        <v>48</v>
      </c>
      <c r="L587" s="19" t="s">
        <v>48</v>
      </c>
      <c r="M587" s="15" t="s">
        <v>361</v>
      </c>
      <c r="N587" s="17" t="n">
        <v>10598</v>
      </c>
      <c r="O587" s="15" t="s">
        <v>344</v>
      </c>
      <c r="P587" s="19" t="n">
        <v>10598</v>
      </c>
      <c r="Q587" s="15" t="s">
        <v>1860</v>
      </c>
      <c r="R587" s="15" t="s">
        <v>648</v>
      </c>
      <c r="S587" s="15" t="s">
        <v>345</v>
      </c>
      <c r="T587" s="15" t="s">
        <v>341</v>
      </c>
      <c r="U587" s="15" t="s">
        <v>1861</v>
      </c>
    </row>
    <row r="588" customFormat="false" ht="19.5" hidden="false" customHeight="true" outlineLevel="0" collapsed="false">
      <c r="A588" s="26" t="n">
        <v>5599</v>
      </c>
      <c r="B588" s="27" t="s">
        <v>1862</v>
      </c>
      <c r="C588" s="30" t="s">
        <v>763</v>
      </c>
      <c r="D588" s="39" t="n">
        <v>10</v>
      </c>
      <c r="E588" s="30" t="s">
        <v>39</v>
      </c>
      <c r="F588" s="30" t="s">
        <v>39</v>
      </c>
      <c r="G588" s="27" t="s">
        <v>585</v>
      </c>
      <c r="H588" s="40" t="s">
        <v>585</v>
      </c>
      <c r="I588" s="27" t="s">
        <v>379</v>
      </c>
      <c r="J588" s="30" t="s">
        <v>336</v>
      </c>
      <c r="K588" s="30" t="s">
        <v>140</v>
      </c>
      <c r="L588" s="26" t="s">
        <v>140</v>
      </c>
      <c r="M588" s="27" t="s">
        <v>343</v>
      </c>
      <c r="N588" s="30" t="n">
        <v>11216</v>
      </c>
      <c r="O588" s="27" t="s">
        <v>344</v>
      </c>
      <c r="P588" s="26" t="n">
        <v>11216</v>
      </c>
      <c r="Q588" s="27" t="s">
        <v>1843</v>
      </c>
      <c r="R588" s="27" t="s">
        <v>648</v>
      </c>
      <c r="S588" s="27" t="s">
        <v>345</v>
      </c>
      <c r="T588" s="27" t="s">
        <v>341</v>
      </c>
      <c r="U588" s="27" t="s">
        <v>1844</v>
      </c>
    </row>
    <row r="589" customFormat="false" ht="19.5" hidden="false" customHeight="true" outlineLevel="0" collapsed="false">
      <c r="A589" s="19" t="n">
        <v>5600</v>
      </c>
      <c r="B589" s="15" t="s">
        <v>1863</v>
      </c>
      <c r="C589" s="17" t="s">
        <v>263</v>
      </c>
      <c r="D589" s="16" t="n">
        <v>20</v>
      </c>
      <c r="E589" s="17" t="s">
        <v>39</v>
      </c>
      <c r="F589" s="17" t="s">
        <v>39</v>
      </c>
      <c r="G589" s="15" t="s">
        <v>375</v>
      </c>
      <c r="H589" s="18" t="s">
        <v>375</v>
      </c>
      <c r="I589" s="15" t="s">
        <v>342</v>
      </c>
      <c r="J589" s="17" t="s">
        <v>336</v>
      </c>
      <c r="K589" s="17" t="s">
        <v>146</v>
      </c>
      <c r="L589" s="19" t="s">
        <v>146</v>
      </c>
      <c r="M589" s="15" t="s">
        <v>343</v>
      </c>
      <c r="N589" s="17" t="n">
        <v>9519</v>
      </c>
      <c r="O589" s="15" t="s">
        <v>344</v>
      </c>
      <c r="P589" s="19" t="n">
        <v>9519</v>
      </c>
      <c r="Q589" s="15" t="s">
        <v>1864</v>
      </c>
      <c r="R589" s="15" t="s">
        <v>648</v>
      </c>
      <c r="S589" s="15" t="s">
        <v>345</v>
      </c>
      <c r="T589" s="15" t="s">
        <v>341</v>
      </c>
      <c r="U589" s="15" t="s">
        <v>1865</v>
      </c>
    </row>
    <row r="590" customFormat="false" ht="19.5" hidden="false" customHeight="true" outlineLevel="0" collapsed="false">
      <c r="A590" s="26" t="n">
        <v>5601</v>
      </c>
      <c r="B590" s="27" t="s">
        <v>1866</v>
      </c>
      <c r="C590" s="30" t="s">
        <v>1867</v>
      </c>
      <c r="D590" s="39" t="n">
        <v>3</v>
      </c>
      <c r="E590" s="30" t="s">
        <v>63</v>
      </c>
      <c r="F590" s="30" t="s">
        <v>63</v>
      </c>
      <c r="G590" s="27" t="s">
        <v>64</v>
      </c>
      <c r="H590" s="40" t="s">
        <v>64</v>
      </c>
      <c r="I590" s="27" t="s">
        <v>356</v>
      </c>
      <c r="J590" s="30" t="s">
        <v>336</v>
      </c>
      <c r="K590" s="30" t="s">
        <v>65</v>
      </c>
      <c r="L590" s="26" t="s">
        <v>65</v>
      </c>
      <c r="M590" s="27" t="s">
        <v>343</v>
      </c>
      <c r="N590" s="30" t="n">
        <v>816</v>
      </c>
      <c r="O590" s="27" t="s">
        <v>344</v>
      </c>
      <c r="P590" s="26" t="n">
        <v>816</v>
      </c>
      <c r="Q590" s="27" t="s">
        <v>1868</v>
      </c>
      <c r="R590" s="27" t="s">
        <v>648</v>
      </c>
      <c r="S590" s="27" t="s">
        <v>345</v>
      </c>
      <c r="T590" s="27" t="s">
        <v>341</v>
      </c>
      <c r="U590" s="27" t="s">
        <v>1869</v>
      </c>
    </row>
    <row r="591" customFormat="false" ht="19.5" hidden="false" customHeight="true" outlineLevel="0" collapsed="false">
      <c r="A591" s="19" t="n">
        <v>5602</v>
      </c>
      <c r="B591" s="15" t="s">
        <v>1870</v>
      </c>
      <c r="C591" s="17" t="s">
        <v>260</v>
      </c>
      <c r="D591" s="16" t="n">
        <v>5</v>
      </c>
      <c r="E591" s="17" t="s">
        <v>39</v>
      </c>
      <c r="F591" s="17" t="s">
        <v>39</v>
      </c>
      <c r="G591" s="15" t="s">
        <v>466</v>
      </c>
      <c r="H591" s="18" t="s">
        <v>466</v>
      </c>
      <c r="I591" s="15" t="s">
        <v>467</v>
      </c>
      <c r="J591" s="17" t="s">
        <v>336</v>
      </c>
      <c r="K591" s="17" t="s">
        <v>159</v>
      </c>
      <c r="L591" s="19" t="s">
        <v>159</v>
      </c>
      <c r="M591" s="15" t="s">
        <v>349</v>
      </c>
      <c r="N591" s="17" t="n">
        <v>0</v>
      </c>
      <c r="O591" s="15" t="s">
        <v>339</v>
      </c>
      <c r="P591" s="19" t="s">
        <v>690</v>
      </c>
      <c r="Q591" s="15" t="s">
        <v>691</v>
      </c>
      <c r="R591" s="15" t="s">
        <v>692</v>
      </c>
      <c r="S591" s="15" t="s">
        <v>345</v>
      </c>
      <c r="T591" s="15" t="s">
        <v>341</v>
      </c>
      <c r="U591" s="15" t="s">
        <v>693</v>
      </c>
    </row>
    <row r="592" customFormat="false" ht="19.5" hidden="false" customHeight="true" outlineLevel="0" collapsed="false">
      <c r="A592" s="26" t="n">
        <v>5603</v>
      </c>
      <c r="B592" s="27" t="s">
        <v>1871</v>
      </c>
      <c r="C592" s="30" t="s">
        <v>263</v>
      </c>
      <c r="D592" s="39" t="n">
        <v>20</v>
      </c>
      <c r="E592" s="30" t="s">
        <v>39</v>
      </c>
      <c r="F592" s="30" t="s">
        <v>39</v>
      </c>
      <c r="G592" s="27" t="s">
        <v>135</v>
      </c>
      <c r="H592" s="40" t="s">
        <v>135</v>
      </c>
      <c r="I592" s="27" t="s">
        <v>379</v>
      </c>
      <c r="J592" s="30" t="s">
        <v>336</v>
      </c>
      <c r="K592" s="30" t="s">
        <v>140</v>
      </c>
      <c r="L592" s="26" t="s">
        <v>140</v>
      </c>
      <c r="M592" s="27" t="s">
        <v>343</v>
      </c>
      <c r="N592" s="30" t="n">
        <v>23419</v>
      </c>
      <c r="O592" s="27" t="s">
        <v>344</v>
      </c>
      <c r="P592" s="26" t="n">
        <v>23419</v>
      </c>
      <c r="Q592" s="27" t="s">
        <v>757</v>
      </c>
      <c r="R592" s="27" t="s">
        <v>648</v>
      </c>
      <c r="S592" s="27" t="s">
        <v>345</v>
      </c>
      <c r="T592" s="27" t="s">
        <v>341</v>
      </c>
      <c r="U592" s="27" t="s">
        <v>758</v>
      </c>
    </row>
    <row r="593" customFormat="false" ht="19.5" hidden="false" customHeight="true" outlineLevel="0" collapsed="false">
      <c r="A593" s="19" t="n">
        <v>5604</v>
      </c>
      <c r="B593" s="15" t="s">
        <v>1872</v>
      </c>
      <c r="C593" s="17" t="s">
        <v>263</v>
      </c>
      <c r="D593" s="16" t="n">
        <v>20</v>
      </c>
      <c r="E593" s="17" t="s">
        <v>39</v>
      </c>
      <c r="F593" s="17" t="s">
        <v>39</v>
      </c>
      <c r="G593" s="15" t="s">
        <v>135</v>
      </c>
      <c r="H593" s="18" t="s">
        <v>135</v>
      </c>
      <c r="I593" s="15" t="s">
        <v>379</v>
      </c>
      <c r="J593" s="17" t="s">
        <v>336</v>
      </c>
      <c r="K593" s="17" t="s">
        <v>140</v>
      </c>
      <c r="L593" s="19" t="s">
        <v>140</v>
      </c>
      <c r="M593" s="15" t="s">
        <v>343</v>
      </c>
      <c r="N593" s="17" t="n">
        <v>5615</v>
      </c>
      <c r="O593" s="15" t="s">
        <v>344</v>
      </c>
      <c r="P593" s="19" t="n">
        <v>5615</v>
      </c>
      <c r="Q593" s="15" t="s">
        <v>1873</v>
      </c>
      <c r="R593" s="15" t="s">
        <v>648</v>
      </c>
      <c r="S593" s="15" t="s">
        <v>345</v>
      </c>
      <c r="T593" s="15" t="s">
        <v>341</v>
      </c>
      <c r="U593" s="15" t="s">
        <v>1874</v>
      </c>
    </row>
    <row r="594" customFormat="false" ht="19.5" hidden="false" customHeight="true" outlineLevel="0" collapsed="false">
      <c r="A594" s="26" t="n">
        <v>5605</v>
      </c>
      <c r="B594" s="27" t="s">
        <v>294</v>
      </c>
      <c r="C594" s="30" t="s">
        <v>272</v>
      </c>
      <c r="D594" s="39" t="n">
        <v>5</v>
      </c>
      <c r="E594" s="30" t="s">
        <v>63</v>
      </c>
      <c r="F594" s="30" t="s">
        <v>63</v>
      </c>
      <c r="G594" s="27" t="s">
        <v>78</v>
      </c>
      <c r="H594" s="40" t="s">
        <v>78</v>
      </c>
      <c r="I594" s="27" t="s">
        <v>356</v>
      </c>
      <c r="J594" s="30" t="s">
        <v>360</v>
      </c>
      <c r="K594" s="30" t="s">
        <v>82</v>
      </c>
      <c r="L594" s="26" t="s">
        <v>48</v>
      </c>
      <c r="M594" s="27" t="s">
        <v>361</v>
      </c>
      <c r="N594" s="30" t="n">
        <v>14617</v>
      </c>
      <c r="O594" s="27" t="s">
        <v>344</v>
      </c>
      <c r="P594" s="26" t="n">
        <v>14617</v>
      </c>
      <c r="Q594" s="27" t="s">
        <v>1875</v>
      </c>
      <c r="R594" s="27" t="s">
        <v>648</v>
      </c>
      <c r="S594" s="27" t="s">
        <v>345</v>
      </c>
      <c r="T594" s="27" t="s">
        <v>341</v>
      </c>
      <c r="U594" s="27" t="s">
        <v>1876</v>
      </c>
    </row>
    <row r="595" customFormat="false" ht="19.5" hidden="false" customHeight="true" outlineLevel="0" collapsed="false">
      <c r="A595" s="19" t="n">
        <v>5606</v>
      </c>
      <c r="B595" s="15" t="s">
        <v>1877</v>
      </c>
      <c r="C595" s="17" t="s">
        <v>263</v>
      </c>
      <c r="D595" s="16" t="n">
        <v>20</v>
      </c>
      <c r="E595" s="17" t="s">
        <v>39</v>
      </c>
      <c r="F595" s="17" t="s">
        <v>39</v>
      </c>
      <c r="G595" s="15" t="s">
        <v>565</v>
      </c>
      <c r="H595" s="18" t="s">
        <v>565</v>
      </c>
      <c r="I595" s="15" t="s">
        <v>467</v>
      </c>
      <c r="J595" s="17" t="s">
        <v>336</v>
      </c>
      <c r="K595" s="17" t="s">
        <v>557</v>
      </c>
      <c r="L595" s="19" t="s">
        <v>159</v>
      </c>
      <c r="M595" s="15" t="s">
        <v>349</v>
      </c>
      <c r="N595" s="17" t="n">
        <v>0</v>
      </c>
      <c r="O595" s="15" t="s">
        <v>339</v>
      </c>
      <c r="P595" s="19" t="s">
        <v>690</v>
      </c>
      <c r="Q595" s="15" t="s">
        <v>691</v>
      </c>
      <c r="R595" s="15" t="s">
        <v>692</v>
      </c>
      <c r="S595" s="15" t="s">
        <v>345</v>
      </c>
      <c r="T595" s="15" t="s">
        <v>341</v>
      </c>
      <c r="U595" s="15" t="s">
        <v>1878</v>
      </c>
    </row>
    <row r="596" customFormat="false" ht="19.5" hidden="false" customHeight="true" outlineLevel="0" collapsed="false">
      <c r="A596" s="26" t="n">
        <v>5607</v>
      </c>
      <c r="B596" s="27" t="s">
        <v>1879</v>
      </c>
      <c r="C596" s="30" t="s">
        <v>260</v>
      </c>
      <c r="D596" s="39" t="n">
        <v>5</v>
      </c>
      <c r="E596" s="30" t="s">
        <v>39</v>
      </c>
      <c r="F596" s="30" t="s">
        <v>39</v>
      </c>
      <c r="G596" s="27" t="s">
        <v>535</v>
      </c>
      <c r="H596" s="40" t="s">
        <v>535</v>
      </c>
      <c r="I596" s="27" t="s">
        <v>356</v>
      </c>
      <c r="J596" s="30" t="s">
        <v>336</v>
      </c>
      <c r="K596" s="30" t="s">
        <v>82</v>
      </c>
      <c r="L596" s="26" t="s">
        <v>82</v>
      </c>
      <c r="M596" s="27" t="s">
        <v>343</v>
      </c>
      <c r="N596" s="30" t="n">
        <v>18817</v>
      </c>
      <c r="O596" s="27" t="s">
        <v>344</v>
      </c>
      <c r="P596" s="26" t="n">
        <v>18817</v>
      </c>
      <c r="Q596" s="27" t="s">
        <v>1880</v>
      </c>
      <c r="R596" s="27" t="s">
        <v>648</v>
      </c>
      <c r="S596" s="27" t="s">
        <v>345</v>
      </c>
      <c r="T596" s="27" t="s">
        <v>341</v>
      </c>
      <c r="U596" s="27" t="s">
        <v>1881</v>
      </c>
    </row>
    <row r="597" customFormat="false" ht="19.5" hidden="false" customHeight="true" outlineLevel="0" collapsed="false">
      <c r="A597" s="19" t="n">
        <v>5608</v>
      </c>
      <c r="B597" s="15" t="s">
        <v>1882</v>
      </c>
      <c r="C597" s="17" t="s">
        <v>1883</v>
      </c>
      <c r="D597" s="16" t="n">
        <v>1.5</v>
      </c>
      <c r="E597" s="17" t="s">
        <v>39</v>
      </c>
      <c r="F597" s="17" t="s">
        <v>39</v>
      </c>
      <c r="G597" s="15" t="s">
        <v>105</v>
      </c>
      <c r="H597" s="18" t="s">
        <v>105</v>
      </c>
      <c r="I597" s="15" t="s">
        <v>376</v>
      </c>
      <c r="J597" s="17" t="s">
        <v>336</v>
      </c>
      <c r="K597" s="17" t="s">
        <v>142</v>
      </c>
      <c r="L597" s="19" t="s">
        <v>106</v>
      </c>
      <c r="M597" s="15" t="s">
        <v>377</v>
      </c>
      <c r="N597" s="17" t="n">
        <v>0</v>
      </c>
      <c r="O597" s="15" t="s">
        <v>339</v>
      </c>
      <c r="P597" s="19" t="s">
        <v>690</v>
      </c>
      <c r="Q597" s="15" t="s">
        <v>691</v>
      </c>
      <c r="R597" s="15" t="s">
        <v>692</v>
      </c>
      <c r="S597" s="15" t="s">
        <v>345</v>
      </c>
      <c r="T597" s="15" t="s">
        <v>341</v>
      </c>
      <c r="U597" s="15" t="s">
        <v>827</v>
      </c>
    </row>
    <row r="598" customFormat="false" ht="19.5" hidden="false" customHeight="true" outlineLevel="0" collapsed="false">
      <c r="A598" s="26" t="n">
        <v>5609</v>
      </c>
      <c r="B598" s="27" t="s">
        <v>1884</v>
      </c>
      <c r="C598" s="30" t="s">
        <v>263</v>
      </c>
      <c r="D598" s="39" t="n">
        <v>20</v>
      </c>
      <c r="E598" s="30" t="s">
        <v>39</v>
      </c>
      <c r="F598" s="30" t="s">
        <v>39</v>
      </c>
      <c r="G598" s="27" t="s">
        <v>446</v>
      </c>
      <c r="H598" s="40" t="s">
        <v>446</v>
      </c>
      <c r="I598" s="27" t="s">
        <v>447</v>
      </c>
      <c r="J598" s="30" t="s">
        <v>336</v>
      </c>
      <c r="K598" s="30" t="s">
        <v>111</v>
      </c>
      <c r="L598" s="26" t="s">
        <v>111</v>
      </c>
      <c r="M598" s="27" t="s">
        <v>343</v>
      </c>
      <c r="N598" s="30" t="n">
        <v>322</v>
      </c>
      <c r="O598" s="27" t="s">
        <v>344</v>
      </c>
      <c r="P598" s="26" t="n">
        <v>322</v>
      </c>
      <c r="Q598" s="27" t="s">
        <v>1885</v>
      </c>
      <c r="R598" s="27" t="s">
        <v>648</v>
      </c>
      <c r="S598" s="27" t="s">
        <v>345</v>
      </c>
      <c r="T598" s="27" t="s">
        <v>341</v>
      </c>
      <c r="U598" s="27" t="s">
        <v>1886</v>
      </c>
    </row>
    <row r="599" customFormat="false" ht="19.5" hidden="false" customHeight="true" outlineLevel="0" collapsed="false">
      <c r="A599" s="19" t="n">
        <v>5610</v>
      </c>
      <c r="B599" s="15" t="s">
        <v>295</v>
      </c>
      <c r="C599" s="17" t="s">
        <v>296</v>
      </c>
      <c r="D599" s="16" t="n">
        <v>1</v>
      </c>
      <c r="E599" s="17" t="s">
        <v>39</v>
      </c>
      <c r="F599" s="17" t="s">
        <v>39</v>
      </c>
      <c r="G599" s="15" t="s">
        <v>297</v>
      </c>
      <c r="H599" s="18" t="s">
        <v>297</v>
      </c>
      <c r="I599" s="15" t="s">
        <v>356</v>
      </c>
      <c r="J599" s="17" t="s">
        <v>360</v>
      </c>
      <c r="K599" s="17" t="s">
        <v>111</v>
      </c>
      <c r="L599" s="19" t="s">
        <v>48</v>
      </c>
      <c r="M599" s="15" t="s">
        <v>361</v>
      </c>
      <c r="N599" s="17" t="n">
        <v>1192</v>
      </c>
      <c r="O599" s="15" t="s">
        <v>344</v>
      </c>
      <c r="P599" s="19" t="n">
        <v>1192</v>
      </c>
      <c r="Q599" s="15" t="s">
        <v>1887</v>
      </c>
      <c r="R599" s="15" t="s">
        <v>648</v>
      </c>
      <c r="S599" s="15" t="s">
        <v>345</v>
      </c>
      <c r="T599" s="15" t="s">
        <v>341</v>
      </c>
      <c r="U599" s="15" t="s">
        <v>1888</v>
      </c>
    </row>
    <row r="600" customFormat="false" ht="19.5" hidden="false" customHeight="true" outlineLevel="0" collapsed="false">
      <c r="A600" s="26" t="n">
        <v>5611</v>
      </c>
      <c r="B600" s="27" t="s">
        <v>1889</v>
      </c>
      <c r="C600" s="30" t="s">
        <v>263</v>
      </c>
      <c r="D600" s="39" t="n">
        <v>20</v>
      </c>
      <c r="E600" s="30" t="s">
        <v>39</v>
      </c>
      <c r="F600" s="30" t="s">
        <v>39</v>
      </c>
      <c r="G600" s="27" t="s">
        <v>375</v>
      </c>
      <c r="H600" s="40" t="s">
        <v>375</v>
      </c>
      <c r="I600" s="27" t="s">
        <v>342</v>
      </c>
      <c r="J600" s="30" t="s">
        <v>336</v>
      </c>
      <c r="K600" s="30" t="s">
        <v>146</v>
      </c>
      <c r="L600" s="26" t="s">
        <v>146</v>
      </c>
      <c r="M600" s="27" t="s">
        <v>343</v>
      </c>
      <c r="N600" s="30" t="n">
        <v>21720</v>
      </c>
      <c r="O600" s="27" t="s">
        <v>344</v>
      </c>
      <c r="P600" s="26" t="n">
        <v>21720</v>
      </c>
      <c r="Q600" s="27" t="s">
        <v>1890</v>
      </c>
      <c r="R600" s="27" t="s">
        <v>648</v>
      </c>
      <c r="S600" s="27" t="s">
        <v>345</v>
      </c>
      <c r="T600" s="27" t="s">
        <v>341</v>
      </c>
      <c r="U600" s="27" t="s">
        <v>1891</v>
      </c>
    </row>
    <row r="601" customFormat="false" ht="19.5" hidden="false" customHeight="true" outlineLevel="0" collapsed="false">
      <c r="A601" s="19" t="n">
        <v>5612</v>
      </c>
      <c r="B601" s="15" t="s">
        <v>1892</v>
      </c>
      <c r="C601" s="17" t="s">
        <v>263</v>
      </c>
      <c r="D601" s="16" t="n">
        <v>20</v>
      </c>
      <c r="E601" s="17" t="s">
        <v>39</v>
      </c>
      <c r="F601" s="17" t="s">
        <v>39</v>
      </c>
      <c r="G601" s="15" t="s">
        <v>565</v>
      </c>
      <c r="H601" s="18" t="s">
        <v>565</v>
      </c>
      <c r="I601" s="15" t="s">
        <v>542</v>
      </c>
      <c r="J601" s="17" t="s">
        <v>336</v>
      </c>
      <c r="K601" s="17" t="s">
        <v>1893</v>
      </c>
      <c r="L601" s="19" t="s">
        <v>1893</v>
      </c>
      <c r="M601" s="15" t="s">
        <v>349</v>
      </c>
      <c r="N601" s="17" t="n">
        <v>0</v>
      </c>
      <c r="O601" s="15" t="s">
        <v>339</v>
      </c>
      <c r="P601" s="19" t="s">
        <v>690</v>
      </c>
      <c r="Q601" s="15" t="s">
        <v>691</v>
      </c>
      <c r="R601" s="15" t="s">
        <v>692</v>
      </c>
      <c r="S601" s="15" t="s">
        <v>345</v>
      </c>
      <c r="T601" s="15" t="s">
        <v>341</v>
      </c>
      <c r="U601" s="15" t="s">
        <v>693</v>
      </c>
    </row>
    <row r="602" customFormat="false" ht="19.5" hidden="false" customHeight="true" outlineLevel="0" collapsed="false">
      <c r="A602" s="26" t="n">
        <v>5616</v>
      </c>
      <c r="B602" s="27" t="s">
        <v>1894</v>
      </c>
      <c r="C602" s="30" t="s">
        <v>260</v>
      </c>
      <c r="D602" s="39" t="n">
        <v>5</v>
      </c>
      <c r="E602" s="30" t="s">
        <v>39</v>
      </c>
      <c r="F602" s="30" t="s">
        <v>39</v>
      </c>
      <c r="G602" s="27" t="s">
        <v>365</v>
      </c>
      <c r="H602" s="40" t="s">
        <v>365</v>
      </c>
      <c r="I602" s="27" t="s">
        <v>356</v>
      </c>
      <c r="J602" s="30" t="s">
        <v>336</v>
      </c>
      <c r="K602" s="30" t="s">
        <v>65</v>
      </c>
      <c r="L602" s="26" t="s">
        <v>82</v>
      </c>
      <c r="M602" s="27" t="s">
        <v>343</v>
      </c>
      <c r="N602" s="30" t="n">
        <v>8017</v>
      </c>
      <c r="O602" s="27" t="s">
        <v>344</v>
      </c>
      <c r="P602" s="26" t="n">
        <v>8017</v>
      </c>
      <c r="Q602" s="27" t="s">
        <v>1895</v>
      </c>
      <c r="R602" s="27" t="s">
        <v>648</v>
      </c>
      <c r="S602" s="27" t="s">
        <v>345</v>
      </c>
      <c r="T602" s="27" t="s">
        <v>341</v>
      </c>
      <c r="U602" s="27" t="s">
        <v>1896</v>
      </c>
    </row>
    <row r="603" customFormat="false" ht="19.5" hidden="false" customHeight="true" outlineLevel="0" collapsed="false">
      <c r="A603" s="19" t="n">
        <v>5617</v>
      </c>
      <c r="B603" s="15" t="s">
        <v>1897</v>
      </c>
      <c r="C603" s="17" t="s">
        <v>263</v>
      </c>
      <c r="D603" s="16" t="n">
        <v>20</v>
      </c>
      <c r="E603" s="17" t="s">
        <v>39</v>
      </c>
      <c r="F603" s="17" t="s">
        <v>39</v>
      </c>
      <c r="G603" s="15" t="s">
        <v>588</v>
      </c>
      <c r="H603" s="18" t="s">
        <v>588</v>
      </c>
      <c r="I603" s="15" t="s">
        <v>421</v>
      </c>
      <c r="J603" s="17" t="s">
        <v>336</v>
      </c>
      <c r="K603" s="17" t="s">
        <v>123</v>
      </c>
      <c r="L603" s="19" t="s">
        <v>123</v>
      </c>
      <c r="M603" s="15" t="s">
        <v>349</v>
      </c>
      <c r="N603" s="17" t="n">
        <v>0</v>
      </c>
      <c r="O603" s="15" t="s">
        <v>339</v>
      </c>
      <c r="P603" s="19" t="s">
        <v>690</v>
      </c>
      <c r="Q603" s="15" t="s">
        <v>691</v>
      </c>
      <c r="R603" s="15" t="s">
        <v>692</v>
      </c>
      <c r="S603" s="15" t="s">
        <v>345</v>
      </c>
      <c r="T603" s="15" t="s">
        <v>341</v>
      </c>
      <c r="U603" s="15" t="s">
        <v>693</v>
      </c>
    </row>
    <row r="604" customFormat="false" ht="19.5" hidden="false" customHeight="true" outlineLevel="0" collapsed="false">
      <c r="A604" s="26" t="n">
        <v>5618</v>
      </c>
      <c r="B604" s="27" t="s">
        <v>1898</v>
      </c>
      <c r="C604" s="30" t="s">
        <v>272</v>
      </c>
      <c r="D604" s="39" t="n">
        <v>5</v>
      </c>
      <c r="E604" s="30" t="s">
        <v>63</v>
      </c>
      <c r="F604" s="30" t="s">
        <v>63</v>
      </c>
      <c r="G604" s="27" t="s">
        <v>609</v>
      </c>
      <c r="H604" s="40" t="s">
        <v>609</v>
      </c>
      <c r="I604" s="27" t="s">
        <v>356</v>
      </c>
      <c r="J604" s="30" t="s">
        <v>336</v>
      </c>
      <c r="K604" s="30" t="s">
        <v>82</v>
      </c>
      <c r="L604" s="26" t="s">
        <v>82</v>
      </c>
      <c r="M604" s="27" t="s">
        <v>343</v>
      </c>
      <c r="N604" s="30" t="n">
        <v>26220</v>
      </c>
      <c r="O604" s="27" t="s">
        <v>344</v>
      </c>
      <c r="P604" s="26" t="n">
        <v>26220</v>
      </c>
      <c r="Q604" s="27" t="s">
        <v>1899</v>
      </c>
      <c r="R604" s="27" t="s">
        <v>648</v>
      </c>
      <c r="S604" s="27" t="s">
        <v>345</v>
      </c>
      <c r="T604" s="27" t="s">
        <v>341</v>
      </c>
      <c r="U604" s="27" t="s">
        <v>1900</v>
      </c>
    </row>
    <row r="605" customFormat="false" ht="19.5" hidden="false" customHeight="true" outlineLevel="0" collapsed="false">
      <c r="A605" s="19" t="n">
        <v>5619</v>
      </c>
      <c r="B605" s="15" t="s">
        <v>1901</v>
      </c>
      <c r="C605" s="17" t="s">
        <v>751</v>
      </c>
      <c r="D605" s="16" t="n">
        <v>25</v>
      </c>
      <c r="E605" s="17" t="s">
        <v>63</v>
      </c>
      <c r="F605" s="17" t="s">
        <v>63</v>
      </c>
      <c r="G605" s="15" t="s">
        <v>127</v>
      </c>
      <c r="H605" s="18" t="s">
        <v>127</v>
      </c>
      <c r="I605" s="15" t="s">
        <v>494</v>
      </c>
      <c r="J605" s="17" t="s">
        <v>336</v>
      </c>
      <c r="K605" s="17" t="s">
        <v>561</v>
      </c>
      <c r="L605" s="19" t="s">
        <v>128</v>
      </c>
      <c r="M605" s="15" t="s">
        <v>349</v>
      </c>
      <c r="N605" s="17" t="n">
        <v>0</v>
      </c>
      <c r="O605" s="15" t="s">
        <v>339</v>
      </c>
      <c r="P605" s="19" t="s">
        <v>690</v>
      </c>
      <c r="Q605" s="15" t="s">
        <v>691</v>
      </c>
      <c r="R605" s="15" t="s">
        <v>692</v>
      </c>
      <c r="S605" s="15" t="s">
        <v>345</v>
      </c>
      <c r="T605" s="15" t="s">
        <v>341</v>
      </c>
      <c r="U605" s="15" t="s">
        <v>1902</v>
      </c>
    </row>
    <row r="606" customFormat="false" ht="19.5" hidden="false" customHeight="true" outlineLevel="0" collapsed="false">
      <c r="A606" s="26" t="n">
        <v>5620</v>
      </c>
      <c r="B606" s="27" t="s">
        <v>1903</v>
      </c>
      <c r="C606" s="30" t="s">
        <v>260</v>
      </c>
      <c r="D606" s="39" t="n">
        <v>5</v>
      </c>
      <c r="E606" s="30" t="s">
        <v>39</v>
      </c>
      <c r="F606" s="30" t="s">
        <v>39</v>
      </c>
      <c r="G606" s="27" t="s">
        <v>475</v>
      </c>
      <c r="H606" s="40" t="s">
        <v>475</v>
      </c>
      <c r="I606" s="27" t="s">
        <v>356</v>
      </c>
      <c r="J606" s="30" t="s">
        <v>336</v>
      </c>
      <c r="K606" s="30" t="s">
        <v>82</v>
      </c>
      <c r="L606" s="26" t="s">
        <v>82</v>
      </c>
      <c r="M606" s="27" t="s">
        <v>343</v>
      </c>
      <c r="N606" s="30" t="n">
        <v>2509</v>
      </c>
      <c r="O606" s="27" t="s">
        <v>344</v>
      </c>
      <c r="P606" s="26" t="n">
        <v>2509</v>
      </c>
      <c r="Q606" s="27" t="s">
        <v>1904</v>
      </c>
      <c r="R606" s="27" t="s">
        <v>648</v>
      </c>
      <c r="S606" s="27" t="s">
        <v>345</v>
      </c>
      <c r="T606" s="27" t="s">
        <v>341</v>
      </c>
      <c r="U606" s="27" t="s">
        <v>1905</v>
      </c>
    </row>
    <row r="607" customFormat="false" ht="19.5" hidden="false" customHeight="true" outlineLevel="0" collapsed="false">
      <c r="A607" s="19" t="n">
        <v>5621</v>
      </c>
      <c r="B607" s="15" t="s">
        <v>1906</v>
      </c>
      <c r="C607" s="17" t="s">
        <v>1883</v>
      </c>
      <c r="D607" s="16" t="n">
        <v>1.5</v>
      </c>
      <c r="E607" s="17" t="s">
        <v>39</v>
      </c>
      <c r="F607" s="17" t="s">
        <v>39</v>
      </c>
      <c r="G607" s="15" t="s">
        <v>105</v>
      </c>
      <c r="H607" s="18" t="s">
        <v>105</v>
      </c>
      <c r="I607" s="15" t="s">
        <v>376</v>
      </c>
      <c r="J607" s="17" t="s">
        <v>336</v>
      </c>
      <c r="K607" s="17" t="s">
        <v>106</v>
      </c>
      <c r="L607" s="19" t="s">
        <v>106</v>
      </c>
      <c r="M607" s="15" t="s">
        <v>377</v>
      </c>
      <c r="N607" s="17" t="n">
        <v>0</v>
      </c>
      <c r="O607" s="15" t="s">
        <v>339</v>
      </c>
      <c r="P607" s="19" t="s">
        <v>690</v>
      </c>
      <c r="Q607" s="15" t="s">
        <v>691</v>
      </c>
      <c r="R607" s="15" t="s">
        <v>692</v>
      </c>
      <c r="S607" s="15" t="s">
        <v>345</v>
      </c>
      <c r="T607" s="15" t="s">
        <v>341</v>
      </c>
      <c r="U607" s="15" t="s">
        <v>841</v>
      </c>
    </row>
    <row r="608" customFormat="false" ht="19.5" hidden="false" customHeight="true" outlineLevel="0" collapsed="false">
      <c r="A608" s="26" t="n">
        <v>5622</v>
      </c>
      <c r="B608" s="27" t="s">
        <v>1907</v>
      </c>
      <c r="C608" s="30" t="s">
        <v>260</v>
      </c>
      <c r="D608" s="39" t="n">
        <v>5</v>
      </c>
      <c r="E608" s="30" t="s">
        <v>39</v>
      </c>
      <c r="F608" s="30" t="s">
        <v>39</v>
      </c>
      <c r="G608" s="27" t="s">
        <v>475</v>
      </c>
      <c r="H608" s="40" t="s">
        <v>475</v>
      </c>
      <c r="I608" s="27" t="s">
        <v>356</v>
      </c>
      <c r="J608" s="30" t="s">
        <v>336</v>
      </c>
      <c r="K608" s="30" t="s">
        <v>82</v>
      </c>
      <c r="L608" s="26" t="s">
        <v>82</v>
      </c>
      <c r="M608" s="27" t="s">
        <v>343</v>
      </c>
      <c r="N608" s="30" t="n">
        <v>4899</v>
      </c>
      <c r="O608" s="27" t="s">
        <v>344</v>
      </c>
      <c r="P608" s="26" t="n">
        <v>4899</v>
      </c>
      <c r="Q608" s="27" t="s">
        <v>1908</v>
      </c>
      <c r="R608" s="27" t="s">
        <v>648</v>
      </c>
      <c r="S608" s="27" t="s">
        <v>345</v>
      </c>
      <c r="T608" s="27" t="s">
        <v>341</v>
      </c>
      <c r="U608" s="27" t="s">
        <v>1909</v>
      </c>
    </row>
    <row r="609" customFormat="false" ht="19.5" hidden="false" customHeight="true" outlineLevel="0" collapsed="false">
      <c r="A609" s="19" t="n">
        <v>5623</v>
      </c>
      <c r="B609" s="15" t="s">
        <v>1910</v>
      </c>
      <c r="C609" s="17" t="s">
        <v>263</v>
      </c>
      <c r="D609" s="16" t="n">
        <v>20</v>
      </c>
      <c r="E609" s="17" t="s">
        <v>39</v>
      </c>
      <c r="F609" s="17" t="s">
        <v>39</v>
      </c>
      <c r="G609" s="15" t="s">
        <v>616</v>
      </c>
      <c r="H609" s="18" t="s">
        <v>616</v>
      </c>
      <c r="I609" s="15" t="s">
        <v>356</v>
      </c>
      <c r="J609" s="17" t="s">
        <v>336</v>
      </c>
      <c r="K609" s="17" t="s">
        <v>409</v>
      </c>
      <c r="L609" s="19" t="s">
        <v>82</v>
      </c>
      <c r="M609" s="15" t="s">
        <v>343</v>
      </c>
      <c r="N609" s="17" t="n">
        <v>6105</v>
      </c>
      <c r="O609" s="15" t="s">
        <v>344</v>
      </c>
      <c r="P609" s="19" t="n">
        <v>6105</v>
      </c>
      <c r="Q609" s="15" t="s">
        <v>1911</v>
      </c>
      <c r="R609" s="15" t="s">
        <v>648</v>
      </c>
      <c r="S609" s="15" t="s">
        <v>345</v>
      </c>
      <c r="T609" s="15" t="s">
        <v>341</v>
      </c>
      <c r="U609" s="15" t="s">
        <v>1912</v>
      </c>
    </row>
    <row r="610" customFormat="false" ht="19.5" hidden="false" customHeight="true" outlineLevel="0" collapsed="false">
      <c r="A610" s="26" t="n">
        <v>5624</v>
      </c>
      <c r="B610" s="27" t="s">
        <v>1913</v>
      </c>
      <c r="C610" s="30" t="s">
        <v>260</v>
      </c>
      <c r="D610" s="39" t="n">
        <v>5</v>
      </c>
      <c r="E610" s="30" t="s">
        <v>39</v>
      </c>
      <c r="F610" s="30" t="s">
        <v>39</v>
      </c>
      <c r="G610" s="27" t="s">
        <v>607</v>
      </c>
      <c r="H610" s="40" t="s">
        <v>607</v>
      </c>
      <c r="I610" s="27" t="s">
        <v>342</v>
      </c>
      <c r="J610" s="30" t="s">
        <v>336</v>
      </c>
      <c r="K610" s="30" t="s">
        <v>136</v>
      </c>
      <c r="L610" s="26" t="s">
        <v>111</v>
      </c>
      <c r="M610" s="27" t="s">
        <v>343</v>
      </c>
      <c r="N610" s="30" t="n">
        <v>5108</v>
      </c>
      <c r="O610" s="27" t="s">
        <v>344</v>
      </c>
      <c r="P610" s="26" t="n">
        <v>5108</v>
      </c>
      <c r="Q610" s="27" t="s">
        <v>1914</v>
      </c>
      <c r="R610" s="27" t="s">
        <v>648</v>
      </c>
      <c r="S610" s="27" t="s">
        <v>345</v>
      </c>
      <c r="T610" s="27" t="s">
        <v>341</v>
      </c>
      <c r="U610" s="27" t="s">
        <v>1915</v>
      </c>
    </row>
    <row r="611" customFormat="false" ht="19.5" hidden="false" customHeight="true" outlineLevel="0" collapsed="false">
      <c r="A611" s="19" t="n">
        <v>5625</v>
      </c>
      <c r="B611" s="15" t="s">
        <v>299</v>
      </c>
      <c r="C611" s="17" t="s">
        <v>272</v>
      </c>
      <c r="D611" s="16" t="n">
        <v>5</v>
      </c>
      <c r="E611" s="17" t="s">
        <v>63</v>
      </c>
      <c r="F611" s="17" t="s">
        <v>63</v>
      </c>
      <c r="G611" s="15" t="s">
        <v>300</v>
      </c>
      <c r="H611" s="18" t="s">
        <v>300</v>
      </c>
      <c r="I611" s="15" t="s">
        <v>356</v>
      </c>
      <c r="J611" s="17" t="s">
        <v>336</v>
      </c>
      <c r="K611" s="17" t="s">
        <v>51</v>
      </c>
      <c r="L611" s="19" t="s">
        <v>65</v>
      </c>
      <c r="M611" s="15" t="s">
        <v>343</v>
      </c>
      <c r="N611" s="17" t="n">
        <v>4822</v>
      </c>
      <c r="O611" s="15" t="s">
        <v>344</v>
      </c>
      <c r="P611" s="19" t="n">
        <v>4822</v>
      </c>
      <c r="Q611" s="15" t="s">
        <v>1916</v>
      </c>
      <c r="R611" s="15" t="s">
        <v>648</v>
      </c>
      <c r="S611" s="15" t="s">
        <v>345</v>
      </c>
      <c r="T611" s="15" t="s">
        <v>341</v>
      </c>
      <c r="U611" s="15" t="s">
        <v>1917</v>
      </c>
    </row>
    <row r="612" customFormat="false" ht="19.5" hidden="false" customHeight="true" outlineLevel="0" collapsed="false">
      <c r="A612" s="26" t="n">
        <v>5626</v>
      </c>
      <c r="B612" s="27" t="s">
        <v>1918</v>
      </c>
      <c r="C612" s="30" t="s">
        <v>272</v>
      </c>
      <c r="D612" s="39" t="n">
        <v>5</v>
      </c>
      <c r="E612" s="30" t="s">
        <v>63</v>
      </c>
      <c r="F612" s="30" t="s">
        <v>63</v>
      </c>
      <c r="G612" s="27" t="s">
        <v>500</v>
      </c>
      <c r="H612" s="40" t="s">
        <v>500</v>
      </c>
      <c r="I612" s="27" t="s">
        <v>342</v>
      </c>
      <c r="J612" s="30" t="s">
        <v>336</v>
      </c>
      <c r="K612" s="30" t="s">
        <v>136</v>
      </c>
      <c r="L612" s="26" t="s">
        <v>136</v>
      </c>
      <c r="M612" s="27" t="s">
        <v>343</v>
      </c>
      <c r="N612" s="30" t="n">
        <v>8514</v>
      </c>
      <c r="O612" s="27" t="s">
        <v>344</v>
      </c>
      <c r="P612" s="26" t="n">
        <v>8514</v>
      </c>
      <c r="Q612" s="27" t="s">
        <v>1919</v>
      </c>
      <c r="R612" s="27" t="s">
        <v>648</v>
      </c>
      <c r="S612" s="27" t="s">
        <v>345</v>
      </c>
      <c r="T612" s="27" t="s">
        <v>341</v>
      </c>
      <c r="U612" s="27" t="s">
        <v>1920</v>
      </c>
    </row>
    <row r="613" customFormat="false" ht="19.5" hidden="false" customHeight="true" outlineLevel="0" collapsed="false">
      <c r="A613" s="19" t="n">
        <v>5628</v>
      </c>
      <c r="B613" s="15" t="s">
        <v>1921</v>
      </c>
      <c r="C613" s="17" t="s">
        <v>260</v>
      </c>
      <c r="D613" s="16" t="n">
        <v>5</v>
      </c>
      <c r="E613" s="17" t="s">
        <v>39</v>
      </c>
      <c r="F613" s="17" t="s">
        <v>39</v>
      </c>
      <c r="G613" s="15" t="s">
        <v>606</v>
      </c>
      <c r="H613" s="18" t="s">
        <v>606</v>
      </c>
      <c r="I613" s="15" t="s">
        <v>356</v>
      </c>
      <c r="J613" s="17" t="s">
        <v>336</v>
      </c>
      <c r="K613" s="17" t="s">
        <v>409</v>
      </c>
      <c r="L613" s="19" t="s">
        <v>82</v>
      </c>
      <c r="M613" s="15" t="s">
        <v>343</v>
      </c>
      <c r="N613" s="17" t="n">
        <v>8806</v>
      </c>
      <c r="O613" s="15" t="s">
        <v>344</v>
      </c>
      <c r="P613" s="19" t="n">
        <v>8806</v>
      </c>
      <c r="Q613" s="15" t="s">
        <v>1922</v>
      </c>
      <c r="R613" s="15" t="s">
        <v>648</v>
      </c>
      <c r="S613" s="15" t="s">
        <v>345</v>
      </c>
      <c r="T613" s="15" t="s">
        <v>341</v>
      </c>
      <c r="U613" s="15" t="s">
        <v>1923</v>
      </c>
    </row>
    <row r="614" customFormat="false" ht="19.5" hidden="false" customHeight="true" outlineLevel="0" collapsed="false">
      <c r="A614" s="26" t="n">
        <v>5629</v>
      </c>
      <c r="B614" s="27" t="s">
        <v>104</v>
      </c>
      <c r="C614" s="30" t="s">
        <v>302</v>
      </c>
      <c r="D614" s="39" t="n">
        <v>1.5</v>
      </c>
      <c r="E614" s="30" t="s">
        <v>63</v>
      </c>
      <c r="F614" s="30" t="s">
        <v>39</v>
      </c>
      <c r="G614" s="27" t="s">
        <v>105</v>
      </c>
      <c r="H614" s="40" t="s">
        <v>105</v>
      </c>
      <c r="I614" s="27" t="s">
        <v>376</v>
      </c>
      <c r="J614" s="30" t="s">
        <v>336</v>
      </c>
      <c r="K614" s="30" t="s">
        <v>106</v>
      </c>
      <c r="L614" s="26" t="s">
        <v>106</v>
      </c>
      <c r="M614" s="27" t="s">
        <v>377</v>
      </c>
      <c r="N614" s="30" t="n">
        <v>0</v>
      </c>
      <c r="O614" s="27" t="s">
        <v>339</v>
      </c>
      <c r="P614" s="26" t="s">
        <v>690</v>
      </c>
      <c r="Q614" s="27" t="s">
        <v>691</v>
      </c>
      <c r="R614" s="27" t="s">
        <v>692</v>
      </c>
      <c r="S614" s="27" t="s">
        <v>345</v>
      </c>
      <c r="T614" s="27" t="s">
        <v>341</v>
      </c>
      <c r="U614" s="27" t="s">
        <v>841</v>
      </c>
    </row>
    <row r="615" customFormat="false" ht="19.5" hidden="false" customHeight="true" outlineLevel="0" collapsed="false">
      <c r="A615" s="19" t="n">
        <v>5630</v>
      </c>
      <c r="B615" s="15" t="s">
        <v>1924</v>
      </c>
      <c r="C615" s="17" t="s">
        <v>263</v>
      </c>
      <c r="D615" s="16" t="n">
        <v>20</v>
      </c>
      <c r="E615" s="17" t="s">
        <v>39</v>
      </c>
      <c r="F615" s="17" t="s">
        <v>39</v>
      </c>
      <c r="G615" s="15" t="s">
        <v>565</v>
      </c>
      <c r="H615" s="18" t="s">
        <v>565</v>
      </c>
      <c r="I615" s="15" t="s">
        <v>467</v>
      </c>
      <c r="J615" s="17" t="s">
        <v>336</v>
      </c>
      <c r="K615" s="17" t="s">
        <v>557</v>
      </c>
      <c r="L615" s="19" t="s">
        <v>159</v>
      </c>
      <c r="M615" s="15" t="s">
        <v>349</v>
      </c>
      <c r="N615" s="17" t="n">
        <v>0</v>
      </c>
      <c r="O615" s="15" t="s">
        <v>339</v>
      </c>
      <c r="P615" s="19" t="s">
        <v>690</v>
      </c>
      <c r="Q615" s="15" t="s">
        <v>691</v>
      </c>
      <c r="R615" s="15" t="s">
        <v>692</v>
      </c>
      <c r="S615" s="15" t="s">
        <v>345</v>
      </c>
      <c r="T615" s="15" t="s">
        <v>341</v>
      </c>
      <c r="U615" s="15" t="s">
        <v>1878</v>
      </c>
    </row>
    <row r="616" customFormat="false" ht="19.5" hidden="false" customHeight="true" outlineLevel="0" collapsed="false">
      <c r="A616" s="26" t="n">
        <v>5631</v>
      </c>
      <c r="B616" s="27" t="s">
        <v>1925</v>
      </c>
      <c r="C616" s="30" t="s">
        <v>260</v>
      </c>
      <c r="D616" s="39" t="n">
        <v>5</v>
      </c>
      <c r="E616" s="30" t="s">
        <v>39</v>
      </c>
      <c r="F616" s="30" t="s">
        <v>39</v>
      </c>
      <c r="G616" s="27" t="s">
        <v>466</v>
      </c>
      <c r="H616" s="40" t="s">
        <v>466</v>
      </c>
      <c r="I616" s="27" t="s">
        <v>382</v>
      </c>
      <c r="J616" s="30" t="s">
        <v>336</v>
      </c>
      <c r="K616" s="30" t="s">
        <v>159</v>
      </c>
      <c r="L616" s="26" t="s">
        <v>159</v>
      </c>
      <c r="M616" s="27" t="s">
        <v>349</v>
      </c>
      <c r="N616" s="30" t="n">
        <v>0</v>
      </c>
      <c r="O616" s="27" t="s">
        <v>339</v>
      </c>
      <c r="P616" s="26" t="s">
        <v>690</v>
      </c>
      <c r="Q616" s="27" t="s">
        <v>691</v>
      </c>
      <c r="R616" s="27" t="s">
        <v>692</v>
      </c>
      <c r="S616" s="27" t="s">
        <v>345</v>
      </c>
      <c r="T616" s="27" t="s">
        <v>341</v>
      </c>
      <c r="U616" s="27" t="s">
        <v>693</v>
      </c>
    </row>
    <row r="617" customFormat="false" ht="19.5" hidden="false" customHeight="true" outlineLevel="0" collapsed="false">
      <c r="A617" s="19" t="n">
        <v>5638</v>
      </c>
      <c r="B617" s="15" t="s">
        <v>304</v>
      </c>
      <c r="C617" s="17" t="s">
        <v>260</v>
      </c>
      <c r="D617" s="16" t="n">
        <v>5</v>
      </c>
      <c r="E617" s="17" t="s">
        <v>39</v>
      </c>
      <c r="F617" s="17" t="s">
        <v>39</v>
      </c>
      <c r="G617" s="15" t="s">
        <v>87</v>
      </c>
      <c r="H617" s="18" t="s">
        <v>87</v>
      </c>
      <c r="I617" s="15" t="s">
        <v>355</v>
      </c>
      <c r="J617" s="17" t="s">
        <v>360</v>
      </c>
      <c r="K617" s="17" t="s">
        <v>82</v>
      </c>
      <c r="L617" s="19" t="s">
        <v>48</v>
      </c>
      <c r="M617" s="15" t="s">
        <v>361</v>
      </c>
      <c r="N617" s="17" t="n">
        <v>13709</v>
      </c>
      <c r="O617" s="15" t="s">
        <v>344</v>
      </c>
      <c r="P617" s="19" t="n">
        <v>13709</v>
      </c>
      <c r="Q617" s="15" t="s">
        <v>1926</v>
      </c>
      <c r="R617" s="15" t="s">
        <v>648</v>
      </c>
      <c r="S617" s="15" t="s">
        <v>345</v>
      </c>
      <c r="T617" s="15" t="s">
        <v>341</v>
      </c>
      <c r="U617" s="15" t="s">
        <v>1927</v>
      </c>
    </row>
    <row r="618" customFormat="false" ht="19.5" hidden="false" customHeight="true" outlineLevel="0" collapsed="false">
      <c r="A618" s="26" t="n">
        <v>5639</v>
      </c>
      <c r="B618" s="27" t="s">
        <v>1928</v>
      </c>
      <c r="C618" s="30" t="s">
        <v>1112</v>
      </c>
      <c r="D618" s="39" t="n">
        <v>1</v>
      </c>
      <c r="E618" s="30" t="s">
        <v>63</v>
      </c>
      <c r="F618" s="30" t="s">
        <v>63</v>
      </c>
      <c r="G618" s="27" t="s">
        <v>611</v>
      </c>
      <c r="H618" s="40" t="s">
        <v>611</v>
      </c>
      <c r="I618" s="27" t="s">
        <v>379</v>
      </c>
      <c r="J618" s="30" t="s">
        <v>336</v>
      </c>
      <c r="K618" s="30" t="s">
        <v>140</v>
      </c>
      <c r="L618" s="26" t="s">
        <v>140</v>
      </c>
      <c r="M618" s="27" t="s">
        <v>343</v>
      </c>
      <c r="N618" s="30" t="n">
        <v>3994</v>
      </c>
      <c r="O618" s="27" t="s">
        <v>344</v>
      </c>
      <c r="P618" s="26" t="n">
        <v>3994</v>
      </c>
      <c r="Q618" s="27" t="s">
        <v>1929</v>
      </c>
      <c r="R618" s="27" t="s">
        <v>648</v>
      </c>
      <c r="S618" s="27" t="s">
        <v>345</v>
      </c>
      <c r="T618" s="27" t="s">
        <v>341</v>
      </c>
      <c r="U618" s="27" t="s">
        <v>1930</v>
      </c>
    </row>
    <row r="619" customFormat="false" ht="19.5" hidden="false" customHeight="true" outlineLevel="0" collapsed="false">
      <c r="A619" s="19" t="n">
        <v>5640</v>
      </c>
      <c r="B619" s="15" t="s">
        <v>1931</v>
      </c>
      <c r="C619" s="17" t="s">
        <v>263</v>
      </c>
      <c r="D619" s="16" t="n">
        <v>20</v>
      </c>
      <c r="E619" s="17" t="s">
        <v>39</v>
      </c>
      <c r="F619" s="17" t="s">
        <v>39</v>
      </c>
      <c r="G619" s="15" t="s">
        <v>608</v>
      </c>
      <c r="H619" s="18" t="s">
        <v>608</v>
      </c>
      <c r="I619" s="15" t="s">
        <v>342</v>
      </c>
      <c r="J619" s="17" t="s">
        <v>336</v>
      </c>
      <c r="K619" s="17" t="s">
        <v>111</v>
      </c>
      <c r="L619" s="19" t="s">
        <v>111</v>
      </c>
      <c r="M619" s="15" t="s">
        <v>343</v>
      </c>
      <c r="N619" s="17" t="n">
        <v>28920</v>
      </c>
      <c r="O619" s="15" t="s">
        <v>344</v>
      </c>
      <c r="P619" s="19" t="n">
        <v>28920</v>
      </c>
      <c r="Q619" s="15" t="s">
        <v>1932</v>
      </c>
      <c r="R619" s="15" t="s">
        <v>648</v>
      </c>
      <c r="S619" s="15" t="s">
        <v>345</v>
      </c>
      <c r="T619" s="15" t="s">
        <v>341</v>
      </c>
      <c r="U619" s="15" t="s">
        <v>1933</v>
      </c>
    </row>
    <row r="620" customFormat="false" ht="19.5" hidden="false" customHeight="true" outlineLevel="0" collapsed="false">
      <c r="A620" s="26" t="n">
        <v>5643</v>
      </c>
      <c r="B620" s="27" t="s">
        <v>1934</v>
      </c>
      <c r="C620" s="30" t="s">
        <v>260</v>
      </c>
      <c r="D620" s="39" t="n">
        <v>5</v>
      </c>
      <c r="E620" s="30" t="s">
        <v>39</v>
      </c>
      <c r="F620" s="30" t="s">
        <v>39</v>
      </c>
      <c r="G620" s="27" t="s">
        <v>425</v>
      </c>
      <c r="H620" s="40" t="s">
        <v>425</v>
      </c>
      <c r="I620" s="27" t="s">
        <v>379</v>
      </c>
      <c r="J620" s="30" t="s">
        <v>336</v>
      </c>
      <c r="K620" s="30" t="s">
        <v>1935</v>
      </c>
      <c r="L620" s="26" t="s">
        <v>1935</v>
      </c>
      <c r="M620" s="27" t="s">
        <v>343</v>
      </c>
      <c r="N620" s="30" t="n">
        <v>6210</v>
      </c>
      <c r="O620" s="27" t="s">
        <v>344</v>
      </c>
      <c r="P620" s="26" t="n">
        <v>6210</v>
      </c>
      <c r="Q620" s="27" t="s">
        <v>1936</v>
      </c>
      <c r="R620" s="27" t="s">
        <v>648</v>
      </c>
      <c r="S620" s="27" t="s">
        <v>345</v>
      </c>
      <c r="T620" s="27" t="s">
        <v>341</v>
      </c>
      <c r="U620" s="27" t="s">
        <v>1937</v>
      </c>
    </row>
    <row r="621" customFormat="false" ht="19.5" hidden="false" customHeight="true" outlineLevel="0" collapsed="false">
      <c r="A621" s="19" t="n">
        <v>5644</v>
      </c>
      <c r="B621" s="15" t="s">
        <v>1938</v>
      </c>
      <c r="C621" s="17" t="s">
        <v>260</v>
      </c>
      <c r="D621" s="16" t="n">
        <v>5</v>
      </c>
      <c r="E621" s="17" t="s">
        <v>39</v>
      </c>
      <c r="F621" s="17" t="s">
        <v>39</v>
      </c>
      <c r="G621" s="15" t="s">
        <v>466</v>
      </c>
      <c r="H621" s="18" t="s">
        <v>466</v>
      </c>
      <c r="I621" s="15" t="s">
        <v>382</v>
      </c>
      <c r="J621" s="17" t="s">
        <v>336</v>
      </c>
      <c r="K621" s="17" t="s">
        <v>159</v>
      </c>
      <c r="L621" s="19" t="s">
        <v>159</v>
      </c>
      <c r="M621" s="15" t="s">
        <v>349</v>
      </c>
      <c r="N621" s="17" t="n">
        <v>0</v>
      </c>
      <c r="O621" s="15" t="s">
        <v>339</v>
      </c>
      <c r="P621" s="19" t="s">
        <v>690</v>
      </c>
      <c r="Q621" s="15" t="s">
        <v>691</v>
      </c>
      <c r="R621" s="15" t="s">
        <v>692</v>
      </c>
      <c r="S621" s="15" t="s">
        <v>345</v>
      </c>
      <c r="T621" s="15" t="s">
        <v>341</v>
      </c>
      <c r="U621" s="15" t="s">
        <v>693</v>
      </c>
    </row>
    <row r="622" customFormat="false" ht="19.5" hidden="false" customHeight="true" outlineLevel="0" collapsed="false">
      <c r="A622" s="26" t="n">
        <v>5645</v>
      </c>
      <c r="B622" s="27" t="s">
        <v>1939</v>
      </c>
      <c r="C622" s="30" t="s">
        <v>260</v>
      </c>
      <c r="D622" s="39" t="n">
        <v>5</v>
      </c>
      <c r="E622" s="30" t="s">
        <v>39</v>
      </c>
      <c r="F622" s="30" t="s">
        <v>39</v>
      </c>
      <c r="G622" s="27" t="s">
        <v>406</v>
      </c>
      <c r="H622" s="40" t="s">
        <v>406</v>
      </c>
      <c r="I622" s="27" t="s">
        <v>384</v>
      </c>
      <c r="J622" s="30" t="s">
        <v>336</v>
      </c>
      <c r="K622" s="30" t="s">
        <v>385</v>
      </c>
      <c r="L622" s="26" t="s">
        <v>385</v>
      </c>
      <c r="M622" s="27" t="s">
        <v>343</v>
      </c>
      <c r="N622" s="30" t="n">
        <v>32717</v>
      </c>
      <c r="O622" s="27" t="s">
        <v>344</v>
      </c>
      <c r="P622" s="26" t="n">
        <v>32717</v>
      </c>
      <c r="Q622" s="27" t="s">
        <v>1940</v>
      </c>
      <c r="R622" s="27" t="s">
        <v>648</v>
      </c>
      <c r="S622" s="27" t="s">
        <v>345</v>
      </c>
      <c r="T622" s="27" t="s">
        <v>341</v>
      </c>
      <c r="U622" s="27" t="s">
        <v>1941</v>
      </c>
    </row>
    <row r="623" customFormat="false" ht="19.5" hidden="false" customHeight="true" outlineLevel="0" collapsed="false">
      <c r="A623" s="19" t="n">
        <v>5646</v>
      </c>
      <c r="B623" s="15" t="s">
        <v>1942</v>
      </c>
      <c r="C623" s="17" t="s">
        <v>260</v>
      </c>
      <c r="D623" s="16" t="n">
        <v>5</v>
      </c>
      <c r="E623" s="17" t="s">
        <v>39</v>
      </c>
      <c r="F623" s="17" t="s">
        <v>39</v>
      </c>
      <c r="G623" s="15" t="s">
        <v>610</v>
      </c>
      <c r="H623" s="18" t="s">
        <v>610</v>
      </c>
      <c r="I623" s="15" t="s">
        <v>356</v>
      </c>
      <c r="J623" s="17" t="s">
        <v>336</v>
      </c>
      <c r="K623" s="17" t="s">
        <v>82</v>
      </c>
      <c r="L623" s="19" t="s">
        <v>82</v>
      </c>
      <c r="M623" s="15" t="s">
        <v>343</v>
      </c>
      <c r="N623" s="17" t="n">
        <v>2506</v>
      </c>
      <c r="O623" s="15" t="s">
        <v>344</v>
      </c>
      <c r="P623" s="19" t="n">
        <v>2506</v>
      </c>
      <c r="Q623" s="15" t="s">
        <v>1943</v>
      </c>
      <c r="R623" s="15" t="s">
        <v>648</v>
      </c>
      <c r="S623" s="15" t="s">
        <v>345</v>
      </c>
      <c r="T623" s="15" t="s">
        <v>341</v>
      </c>
      <c r="U623" s="15" t="s">
        <v>1944</v>
      </c>
    </row>
    <row r="624" customFormat="false" ht="19.5" hidden="false" customHeight="true" outlineLevel="0" collapsed="false">
      <c r="A624" s="26" t="n">
        <v>5647</v>
      </c>
      <c r="B624" s="27" t="s">
        <v>1945</v>
      </c>
      <c r="C624" s="30" t="s">
        <v>263</v>
      </c>
      <c r="D624" s="39" t="n">
        <v>20</v>
      </c>
      <c r="E624" s="30" t="s">
        <v>39</v>
      </c>
      <c r="F624" s="30" t="s">
        <v>39</v>
      </c>
      <c r="G624" s="27" t="s">
        <v>502</v>
      </c>
      <c r="H624" s="40" t="s">
        <v>502</v>
      </c>
      <c r="I624" s="27" t="s">
        <v>342</v>
      </c>
      <c r="J624" s="30" t="s">
        <v>336</v>
      </c>
      <c r="K624" s="30" t="s">
        <v>136</v>
      </c>
      <c r="L624" s="26" t="s">
        <v>136</v>
      </c>
      <c r="M624" s="27" t="s">
        <v>343</v>
      </c>
      <c r="N624" s="30" t="n">
        <v>8912</v>
      </c>
      <c r="O624" s="27" t="s">
        <v>344</v>
      </c>
      <c r="P624" s="26" t="n">
        <v>8912</v>
      </c>
      <c r="Q624" s="27" t="s">
        <v>1443</v>
      </c>
      <c r="R624" s="27" t="s">
        <v>648</v>
      </c>
      <c r="S624" s="27" t="s">
        <v>345</v>
      </c>
      <c r="T624" s="27" t="s">
        <v>341</v>
      </c>
      <c r="U624" s="27" t="s">
        <v>1444</v>
      </c>
    </row>
    <row r="625" customFormat="false" ht="19.5" hidden="false" customHeight="true" outlineLevel="0" collapsed="false">
      <c r="A625" s="19" t="n">
        <v>5648</v>
      </c>
      <c r="B625" s="15" t="s">
        <v>1946</v>
      </c>
      <c r="C625" s="17" t="s">
        <v>263</v>
      </c>
      <c r="D625" s="16" t="n">
        <v>20</v>
      </c>
      <c r="E625" s="17" t="s">
        <v>39</v>
      </c>
      <c r="F625" s="17" t="s">
        <v>39</v>
      </c>
      <c r="G625" s="15" t="s">
        <v>603</v>
      </c>
      <c r="H625" s="18" t="s">
        <v>603</v>
      </c>
      <c r="I625" s="15" t="s">
        <v>379</v>
      </c>
      <c r="J625" s="17" t="s">
        <v>336</v>
      </c>
      <c r="K625" s="17" t="s">
        <v>140</v>
      </c>
      <c r="L625" s="19" t="s">
        <v>140</v>
      </c>
      <c r="M625" s="15" t="s">
        <v>343</v>
      </c>
      <c r="N625" s="17" t="n">
        <v>122</v>
      </c>
      <c r="O625" s="15" t="s">
        <v>344</v>
      </c>
      <c r="P625" s="19" t="n">
        <v>122</v>
      </c>
      <c r="Q625" s="15" t="s">
        <v>1434</v>
      </c>
      <c r="R625" s="15" t="s">
        <v>648</v>
      </c>
      <c r="S625" s="15" t="s">
        <v>345</v>
      </c>
      <c r="T625" s="15" t="s">
        <v>341</v>
      </c>
      <c r="U625" s="15" t="s">
        <v>1435</v>
      </c>
    </row>
    <row r="626" customFormat="false" ht="19.5" hidden="false" customHeight="true" outlineLevel="0" collapsed="false">
      <c r="A626" s="26" t="n">
        <v>5649</v>
      </c>
      <c r="B626" s="27" t="s">
        <v>1947</v>
      </c>
      <c r="C626" s="30" t="s">
        <v>260</v>
      </c>
      <c r="D626" s="39" t="n">
        <v>5</v>
      </c>
      <c r="E626" s="30" t="s">
        <v>39</v>
      </c>
      <c r="F626" s="30" t="s">
        <v>39</v>
      </c>
      <c r="G626" s="27" t="s">
        <v>544</v>
      </c>
      <c r="H626" s="40" t="s">
        <v>544</v>
      </c>
      <c r="I626" s="27" t="s">
        <v>382</v>
      </c>
      <c r="J626" s="30" t="s">
        <v>336</v>
      </c>
      <c r="K626" s="30" t="s">
        <v>159</v>
      </c>
      <c r="L626" s="26" t="s">
        <v>159</v>
      </c>
      <c r="M626" s="27" t="s">
        <v>349</v>
      </c>
      <c r="N626" s="30" t="n">
        <v>0</v>
      </c>
      <c r="O626" s="27" t="s">
        <v>339</v>
      </c>
      <c r="P626" s="26" t="s">
        <v>690</v>
      </c>
      <c r="Q626" s="27" t="s">
        <v>691</v>
      </c>
      <c r="R626" s="27" t="s">
        <v>692</v>
      </c>
      <c r="S626" s="27" t="s">
        <v>345</v>
      </c>
      <c r="T626" s="27" t="s">
        <v>341</v>
      </c>
      <c r="U626" s="27" t="s">
        <v>693</v>
      </c>
    </row>
    <row r="627" customFormat="false" ht="19.5" hidden="false" customHeight="true" outlineLevel="0" collapsed="false">
      <c r="A627" s="19" t="n">
        <v>5650</v>
      </c>
      <c r="B627" s="15" t="s">
        <v>1948</v>
      </c>
      <c r="C627" s="17" t="s">
        <v>260</v>
      </c>
      <c r="D627" s="16" t="n">
        <v>5</v>
      </c>
      <c r="E627" s="17" t="s">
        <v>39</v>
      </c>
      <c r="F627" s="17" t="s">
        <v>39</v>
      </c>
      <c r="G627" s="15" t="s">
        <v>417</v>
      </c>
      <c r="H627" s="18" t="s">
        <v>417</v>
      </c>
      <c r="I627" s="15" t="s">
        <v>459</v>
      </c>
      <c r="J627" s="17" t="s">
        <v>336</v>
      </c>
      <c r="K627" s="17" t="s">
        <v>111</v>
      </c>
      <c r="L627" s="19" t="s">
        <v>419</v>
      </c>
      <c r="M627" s="15" t="s">
        <v>343</v>
      </c>
      <c r="N627" s="17" t="n">
        <v>27617</v>
      </c>
      <c r="O627" s="15" t="s">
        <v>344</v>
      </c>
      <c r="P627" s="19" t="n">
        <v>27617</v>
      </c>
      <c r="Q627" s="15" t="s">
        <v>1949</v>
      </c>
      <c r="R627" s="15" t="s">
        <v>648</v>
      </c>
      <c r="S627" s="15" t="s">
        <v>345</v>
      </c>
      <c r="T627" s="15" t="s">
        <v>341</v>
      </c>
      <c r="U627" s="15" t="s">
        <v>1950</v>
      </c>
    </row>
    <row r="628" customFormat="false" ht="19.5" hidden="false" customHeight="true" outlineLevel="0" collapsed="false">
      <c r="A628" s="26" t="n">
        <v>5651</v>
      </c>
      <c r="B628" s="27" t="s">
        <v>1951</v>
      </c>
      <c r="C628" s="30" t="s">
        <v>296</v>
      </c>
      <c r="D628" s="39" t="n">
        <v>1</v>
      </c>
      <c r="E628" s="30" t="s">
        <v>39</v>
      </c>
      <c r="F628" s="30" t="s">
        <v>39</v>
      </c>
      <c r="G628" s="27" t="s">
        <v>466</v>
      </c>
      <c r="H628" s="40" t="s">
        <v>466</v>
      </c>
      <c r="I628" s="27" t="s">
        <v>366</v>
      </c>
      <c r="J628" s="30" t="s">
        <v>336</v>
      </c>
      <c r="K628" s="30" t="s">
        <v>159</v>
      </c>
      <c r="L628" s="26" t="s">
        <v>367</v>
      </c>
      <c r="M628" s="27" t="s">
        <v>368</v>
      </c>
      <c r="N628" s="30" t="n">
        <v>0</v>
      </c>
      <c r="O628" s="27" t="s">
        <v>369</v>
      </c>
      <c r="P628" s="26" t="s">
        <v>683</v>
      </c>
      <c r="Q628" s="27" t="s">
        <v>684</v>
      </c>
      <c r="R628" s="27" t="s">
        <v>685</v>
      </c>
      <c r="S628" s="27" t="s">
        <v>370</v>
      </c>
      <c r="T628" s="27" t="s">
        <v>371</v>
      </c>
      <c r="U628" s="27" t="s">
        <v>687</v>
      </c>
    </row>
    <row r="629" customFormat="false" ht="19.5" hidden="false" customHeight="true" outlineLevel="0" collapsed="false">
      <c r="A629" s="19" t="n">
        <v>5652</v>
      </c>
      <c r="B629" s="15" t="s">
        <v>1952</v>
      </c>
      <c r="C629" s="17" t="s">
        <v>263</v>
      </c>
      <c r="D629" s="16" t="n">
        <v>20</v>
      </c>
      <c r="E629" s="17" t="s">
        <v>39</v>
      </c>
      <c r="F629" s="17" t="s">
        <v>39</v>
      </c>
      <c r="G629" s="15" t="s">
        <v>437</v>
      </c>
      <c r="H629" s="18" t="s">
        <v>437</v>
      </c>
      <c r="I629" s="15" t="s">
        <v>356</v>
      </c>
      <c r="J629" s="17" t="s">
        <v>336</v>
      </c>
      <c r="K629" s="17" t="s">
        <v>82</v>
      </c>
      <c r="L629" s="19" t="s">
        <v>82</v>
      </c>
      <c r="M629" s="15" t="s">
        <v>343</v>
      </c>
      <c r="N629" s="17" t="n">
        <v>21221</v>
      </c>
      <c r="O629" s="15" t="s">
        <v>344</v>
      </c>
      <c r="P629" s="19" t="n">
        <v>21221</v>
      </c>
      <c r="Q629" s="15" t="s">
        <v>1953</v>
      </c>
      <c r="R629" s="15" t="s">
        <v>648</v>
      </c>
      <c r="S629" s="15" t="s">
        <v>345</v>
      </c>
      <c r="T629" s="15" t="s">
        <v>341</v>
      </c>
      <c r="U629" s="15" t="s">
        <v>1954</v>
      </c>
    </row>
    <row r="630" customFormat="false" ht="19.5" hidden="false" customHeight="true" outlineLevel="0" collapsed="false">
      <c r="A630" s="26" t="n">
        <v>5653</v>
      </c>
      <c r="B630" s="27" t="s">
        <v>1955</v>
      </c>
      <c r="C630" s="30" t="s">
        <v>260</v>
      </c>
      <c r="D630" s="39" t="n">
        <v>5</v>
      </c>
      <c r="E630" s="30" t="s">
        <v>39</v>
      </c>
      <c r="F630" s="30" t="s">
        <v>39</v>
      </c>
      <c r="G630" s="27" t="s">
        <v>438</v>
      </c>
      <c r="H630" s="40" t="s">
        <v>438</v>
      </c>
      <c r="I630" s="27" t="s">
        <v>342</v>
      </c>
      <c r="J630" s="30" t="s">
        <v>336</v>
      </c>
      <c r="K630" s="30" t="s">
        <v>111</v>
      </c>
      <c r="L630" s="26" t="s">
        <v>111</v>
      </c>
      <c r="M630" s="27" t="s">
        <v>343</v>
      </c>
      <c r="N630" s="30" t="n">
        <v>22622</v>
      </c>
      <c r="O630" s="27" t="s">
        <v>344</v>
      </c>
      <c r="P630" s="26" t="n">
        <v>22622</v>
      </c>
      <c r="Q630" s="27" t="s">
        <v>1956</v>
      </c>
      <c r="R630" s="27" t="s">
        <v>648</v>
      </c>
      <c r="S630" s="27" t="s">
        <v>345</v>
      </c>
      <c r="T630" s="27" t="s">
        <v>341</v>
      </c>
      <c r="U630" s="27" t="s">
        <v>1957</v>
      </c>
    </row>
    <row r="631" customFormat="false" ht="19.5" hidden="false" customHeight="true" outlineLevel="0" collapsed="false">
      <c r="A631" s="19" t="n">
        <v>5654</v>
      </c>
      <c r="B631" s="15" t="s">
        <v>1958</v>
      </c>
      <c r="C631" s="17" t="s">
        <v>260</v>
      </c>
      <c r="D631" s="16" t="n">
        <v>5</v>
      </c>
      <c r="E631" s="17" t="s">
        <v>39</v>
      </c>
      <c r="F631" s="17" t="s">
        <v>39</v>
      </c>
      <c r="G631" s="15" t="s">
        <v>450</v>
      </c>
      <c r="H631" s="18" t="s">
        <v>450</v>
      </c>
      <c r="I631" s="15" t="s">
        <v>356</v>
      </c>
      <c r="J631" s="17" t="s">
        <v>336</v>
      </c>
      <c r="K631" s="17" t="s">
        <v>82</v>
      </c>
      <c r="L631" s="19" t="s">
        <v>82</v>
      </c>
      <c r="M631" s="15" t="s">
        <v>343</v>
      </c>
      <c r="N631" s="17" t="n">
        <v>35619</v>
      </c>
      <c r="O631" s="15" t="s">
        <v>344</v>
      </c>
      <c r="P631" s="19" t="n">
        <v>35619</v>
      </c>
      <c r="Q631" s="15" t="s">
        <v>1959</v>
      </c>
      <c r="R631" s="15" t="s">
        <v>648</v>
      </c>
      <c r="S631" s="15" t="s">
        <v>345</v>
      </c>
      <c r="T631" s="15" t="s">
        <v>341</v>
      </c>
      <c r="U631" s="15" t="s">
        <v>1960</v>
      </c>
    </row>
    <row r="632" customFormat="false" ht="19.5" hidden="false" customHeight="true" outlineLevel="0" collapsed="false">
      <c r="A632" s="26" t="n">
        <v>5655</v>
      </c>
      <c r="B632" s="27" t="s">
        <v>1961</v>
      </c>
      <c r="C632" s="30" t="s">
        <v>296</v>
      </c>
      <c r="D632" s="39" t="n">
        <v>1</v>
      </c>
      <c r="E632" s="30" t="s">
        <v>39</v>
      </c>
      <c r="F632" s="30" t="s">
        <v>39</v>
      </c>
      <c r="G632" s="27" t="s">
        <v>466</v>
      </c>
      <c r="H632" s="40" t="s">
        <v>466</v>
      </c>
      <c r="I632" s="27" t="s">
        <v>347</v>
      </c>
      <c r="J632" s="30" t="s">
        <v>336</v>
      </c>
      <c r="K632" s="30" t="s">
        <v>496</v>
      </c>
      <c r="L632" s="26" t="s">
        <v>496</v>
      </c>
      <c r="M632" s="27" t="s">
        <v>349</v>
      </c>
      <c r="N632" s="30" t="n">
        <v>0</v>
      </c>
      <c r="O632" s="27" t="s">
        <v>339</v>
      </c>
      <c r="P632" s="26" t="s">
        <v>690</v>
      </c>
      <c r="Q632" s="27" t="s">
        <v>691</v>
      </c>
      <c r="R632" s="27" t="s">
        <v>692</v>
      </c>
      <c r="S632" s="27" t="s">
        <v>345</v>
      </c>
      <c r="T632" s="27" t="s">
        <v>341</v>
      </c>
      <c r="U632" s="27" t="s">
        <v>693</v>
      </c>
    </row>
    <row r="633" customFormat="false" ht="19.5" hidden="false" customHeight="true" outlineLevel="0" collapsed="false">
      <c r="A633" s="19" t="n">
        <v>5656</v>
      </c>
      <c r="B633" s="15" t="s">
        <v>1962</v>
      </c>
      <c r="C633" s="17" t="s">
        <v>296</v>
      </c>
      <c r="D633" s="16" t="n">
        <v>1</v>
      </c>
      <c r="E633" s="17" t="s">
        <v>39</v>
      </c>
      <c r="F633" s="17" t="s">
        <v>39</v>
      </c>
      <c r="G633" s="15" t="s">
        <v>615</v>
      </c>
      <c r="H633" s="18" t="s">
        <v>615</v>
      </c>
      <c r="I633" s="15" t="s">
        <v>379</v>
      </c>
      <c r="J633" s="17" t="s">
        <v>336</v>
      </c>
      <c r="K633" s="17" t="s">
        <v>140</v>
      </c>
      <c r="L633" s="19" t="s">
        <v>140</v>
      </c>
      <c r="M633" s="15" t="s">
        <v>343</v>
      </c>
      <c r="N633" s="17" t="n">
        <v>8608</v>
      </c>
      <c r="O633" s="15" t="s">
        <v>344</v>
      </c>
      <c r="P633" s="19" t="n">
        <v>8608</v>
      </c>
      <c r="Q633" s="15" t="s">
        <v>1963</v>
      </c>
      <c r="R633" s="15" t="s">
        <v>648</v>
      </c>
      <c r="S633" s="15" t="s">
        <v>345</v>
      </c>
      <c r="T633" s="15" t="s">
        <v>341</v>
      </c>
      <c r="U633" s="15" t="s">
        <v>1964</v>
      </c>
    </row>
    <row r="634" customFormat="false" ht="19.5" hidden="false" customHeight="true" outlineLevel="0" collapsed="false">
      <c r="A634" s="26" t="n">
        <v>5657</v>
      </c>
      <c r="B634" s="27" t="s">
        <v>1965</v>
      </c>
      <c r="C634" s="30" t="s">
        <v>260</v>
      </c>
      <c r="D634" s="39" t="n">
        <v>5</v>
      </c>
      <c r="E634" s="30" t="s">
        <v>39</v>
      </c>
      <c r="F634" s="30" t="s">
        <v>39</v>
      </c>
      <c r="G634" s="27" t="s">
        <v>617</v>
      </c>
      <c r="H634" s="40" t="s">
        <v>617</v>
      </c>
      <c r="I634" s="27" t="s">
        <v>356</v>
      </c>
      <c r="J634" s="30" t="s">
        <v>336</v>
      </c>
      <c r="K634" s="30" t="s">
        <v>82</v>
      </c>
      <c r="L634" s="26" t="s">
        <v>82</v>
      </c>
      <c r="M634" s="27" t="s">
        <v>343</v>
      </c>
      <c r="N634" s="30" t="n">
        <v>37019</v>
      </c>
      <c r="O634" s="27" t="s">
        <v>344</v>
      </c>
      <c r="P634" s="26" t="n">
        <v>37019</v>
      </c>
      <c r="Q634" s="27" t="s">
        <v>1966</v>
      </c>
      <c r="R634" s="27" t="s">
        <v>648</v>
      </c>
      <c r="S634" s="27" t="s">
        <v>345</v>
      </c>
      <c r="T634" s="27" t="s">
        <v>341</v>
      </c>
      <c r="U634" s="27" t="s">
        <v>1967</v>
      </c>
    </row>
    <row r="635" customFormat="false" ht="19.5" hidden="false" customHeight="true" outlineLevel="0" collapsed="false">
      <c r="A635" s="19" t="n">
        <v>5658</v>
      </c>
      <c r="B635" s="15" t="s">
        <v>1968</v>
      </c>
      <c r="C635" s="17" t="s">
        <v>263</v>
      </c>
      <c r="D635" s="16" t="n">
        <v>20</v>
      </c>
      <c r="E635" s="17" t="s">
        <v>39</v>
      </c>
      <c r="F635" s="17" t="s">
        <v>39</v>
      </c>
      <c r="G635" s="15" t="s">
        <v>600</v>
      </c>
      <c r="H635" s="18" t="s">
        <v>600</v>
      </c>
      <c r="I635" s="15" t="s">
        <v>342</v>
      </c>
      <c r="J635" s="17" t="s">
        <v>336</v>
      </c>
      <c r="K635" s="17" t="s">
        <v>479</v>
      </c>
      <c r="L635" s="19" t="s">
        <v>479</v>
      </c>
      <c r="M635" s="15" t="s">
        <v>343</v>
      </c>
      <c r="N635" s="17" t="n">
        <v>28320</v>
      </c>
      <c r="O635" s="15" t="s">
        <v>344</v>
      </c>
      <c r="P635" s="19" t="n">
        <v>28320</v>
      </c>
      <c r="Q635" s="15" t="s">
        <v>1969</v>
      </c>
      <c r="R635" s="15" t="s">
        <v>648</v>
      </c>
      <c r="S635" s="15" t="s">
        <v>345</v>
      </c>
      <c r="T635" s="15" t="s">
        <v>341</v>
      </c>
      <c r="U635" s="15" t="s">
        <v>1970</v>
      </c>
    </row>
    <row r="636" customFormat="false" ht="19.5" hidden="false" customHeight="true" outlineLevel="0" collapsed="false">
      <c r="A636" s="26" t="n">
        <v>5659</v>
      </c>
      <c r="B636" s="27" t="s">
        <v>1971</v>
      </c>
      <c r="C636" s="30" t="s">
        <v>260</v>
      </c>
      <c r="D636" s="39" t="n">
        <v>5</v>
      </c>
      <c r="E636" s="30" t="s">
        <v>39</v>
      </c>
      <c r="F636" s="30" t="s">
        <v>39</v>
      </c>
      <c r="G636" s="27" t="s">
        <v>476</v>
      </c>
      <c r="H636" s="40" t="s">
        <v>476</v>
      </c>
      <c r="I636" s="27" t="s">
        <v>379</v>
      </c>
      <c r="J636" s="30" t="s">
        <v>336</v>
      </c>
      <c r="K636" s="30" t="s">
        <v>65</v>
      </c>
      <c r="L636" s="26" t="s">
        <v>140</v>
      </c>
      <c r="M636" s="27" t="s">
        <v>343</v>
      </c>
      <c r="N636" s="30" t="n">
        <v>4007</v>
      </c>
      <c r="O636" s="27" t="s">
        <v>344</v>
      </c>
      <c r="P636" s="26" t="n">
        <v>4007</v>
      </c>
      <c r="Q636" s="27" t="s">
        <v>1972</v>
      </c>
      <c r="R636" s="27" t="s">
        <v>648</v>
      </c>
      <c r="S636" s="27" t="s">
        <v>345</v>
      </c>
      <c r="T636" s="27" t="s">
        <v>341</v>
      </c>
      <c r="U636" s="27" t="s">
        <v>1973</v>
      </c>
    </row>
    <row r="637" customFormat="false" ht="19.5" hidden="false" customHeight="true" outlineLevel="0" collapsed="false">
      <c r="A637" s="19" t="n">
        <v>5660</v>
      </c>
      <c r="B637" s="15" t="s">
        <v>1974</v>
      </c>
      <c r="C637" s="17" t="s">
        <v>263</v>
      </c>
      <c r="D637" s="16" t="n">
        <v>20</v>
      </c>
      <c r="E637" s="17" t="s">
        <v>39</v>
      </c>
      <c r="F637" s="17" t="s">
        <v>39</v>
      </c>
      <c r="G637" s="15" t="s">
        <v>466</v>
      </c>
      <c r="H637" s="18" t="s">
        <v>466</v>
      </c>
      <c r="I637" s="15" t="s">
        <v>421</v>
      </c>
      <c r="J637" s="17" t="s">
        <v>336</v>
      </c>
      <c r="K637" s="17" t="s">
        <v>123</v>
      </c>
      <c r="L637" s="19" t="s">
        <v>123</v>
      </c>
      <c r="M637" s="15" t="s">
        <v>349</v>
      </c>
      <c r="N637" s="17" t="n">
        <v>0</v>
      </c>
      <c r="O637" s="15" t="s">
        <v>339</v>
      </c>
      <c r="P637" s="19" t="s">
        <v>690</v>
      </c>
      <c r="Q637" s="15" t="s">
        <v>691</v>
      </c>
      <c r="R637" s="15" t="s">
        <v>692</v>
      </c>
      <c r="S637" s="15" t="s">
        <v>345</v>
      </c>
      <c r="T637" s="15" t="s">
        <v>341</v>
      </c>
      <c r="U637" s="15" t="s">
        <v>693</v>
      </c>
    </row>
    <row r="638" customFormat="false" ht="19.5" hidden="false" customHeight="true" outlineLevel="0" collapsed="false">
      <c r="A638" s="26" t="n">
        <v>5661</v>
      </c>
      <c r="B638" s="27" t="s">
        <v>1975</v>
      </c>
      <c r="C638" s="30" t="s">
        <v>260</v>
      </c>
      <c r="D638" s="39" t="n">
        <v>5</v>
      </c>
      <c r="E638" s="30" t="s">
        <v>39</v>
      </c>
      <c r="F638" s="30" t="s">
        <v>39</v>
      </c>
      <c r="G638" s="27" t="s">
        <v>391</v>
      </c>
      <c r="H638" s="40" t="s">
        <v>391</v>
      </c>
      <c r="I638" s="27" t="s">
        <v>392</v>
      </c>
      <c r="J638" s="30" t="s">
        <v>336</v>
      </c>
      <c r="K638" s="30" t="s">
        <v>82</v>
      </c>
      <c r="L638" s="26" t="s">
        <v>82</v>
      </c>
      <c r="M638" s="27" t="s">
        <v>343</v>
      </c>
      <c r="N638" s="30" t="n">
        <v>44024</v>
      </c>
      <c r="O638" s="27" t="s">
        <v>344</v>
      </c>
      <c r="P638" s="26" t="n">
        <v>44024</v>
      </c>
      <c r="Q638" s="27" t="s">
        <v>1976</v>
      </c>
      <c r="R638" s="27" t="s">
        <v>648</v>
      </c>
      <c r="S638" s="27" t="s">
        <v>345</v>
      </c>
      <c r="T638" s="27" t="s">
        <v>341</v>
      </c>
      <c r="U638" s="27" t="s">
        <v>1977</v>
      </c>
    </row>
    <row r="639" customFormat="false" ht="19.5" hidden="false" customHeight="true" outlineLevel="0" collapsed="false">
      <c r="A639" s="19" t="n">
        <v>5662</v>
      </c>
      <c r="B639" s="15" t="s">
        <v>1978</v>
      </c>
      <c r="C639" s="17" t="s">
        <v>296</v>
      </c>
      <c r="D639" s="16" t="n">
        <v>1</v>
      </c>
      <c r="E639" s="17" t="s">
        <v>39</v>
      </c>
      <c r="F639" s="17" t="s">
        <v>39</v>
      </c>
      <c r="G639" s="15" t="s">
        <v>364</v>
      </c>
      <c r="H639" s="18" t="s">
        <v>364</v>
      </c>
      <c r="I639" s="15" t="s">
        <v>356</v>
      </c>
      <c r="J639" s="17" t="s">
        <v>336</v>
      </c>
      <c r="K639" s="17" t="s">
        <v>82</v>
      </c>
      <c r="L639" s="19" t="s">
        <v>82</v>
      </c>
      <c r="M639" s="15" t="s">
        <v>343</v>
      </c>
      <c r="N639" s="17" t="n">
        <v>13019</v>
      </c>
      <c r="O639" s="15" t="s">
        <v>344</v>
      </c>
      <c r="P639" s="19" t="n">
        <v>13019</v>
      </c>
      <c r="Q639" s="15" t="s">
        <v>1979</v>
      </c>
      <c r="R639" s="15" t="s">
        <v>648</v>
      </c>
      <c r="S639" s="15" t="s">
        <v>345</v>
      </c>
      <c r="T639" s="15" t="s">
        <v>341</v>
      </c>
      <c r="U639" s="15" t="s">
        <v>1980</v>
      </c>
    </row>
    <row r="640" customFormat="false" ht="19.5" hidden="false" customHeight="true" outlineLevel="0" collapsed="false">
      <c r="A640" s="26" t="n">
        <v>5665</v>
      </c>
      <c r="B640" s="27" t="s">
        <v>1981</v>
      </c>
      <c r="C640" s="30" t="s">
        <v>263</v>
      </c>
      <c r="D640" s="39" t="n">
        <v>20</v>
      </c>
      <c r="E640" s="30" t="s">
        <v>39</v>
      </c>
      <c r="F640" s="30" t="s">
        <v>39</v>
      </c>
      <c r="G640" s="27" t="s">
        <v>565</v>
      </c>
      <c r="H640" s="40" t="s">
        <v>565</v>
      </c>
      <c r="I640" s="27" t="s">
        <v>542</v>
      </c>
      <c r="J640" s="30" t="s">
        <v>336</v>
      </c>
      <c r="K640" s="30" t="s">
        <v>1893</v>
      </c>
      <c r="L640" s="26" t="s">
        <v>1893</v>
      </c>
      <c r="M640" s="27" t="s">
        <v>349</v>
      </c>
      <c r="N640" s="30" t="n">
        <v>0</v>
      </c>
      <c r="O640" s="27" t="s">
        <v>339</v>
      </c>
      <c r="P640" s="26" t="s">
        <v>690</v>
      </c>
      <c r="Q640" s="27" t="s">
        <v>691</v>
      </c>
      <c r="R640" s="27" t="s">
        <v>692</v>
      </c>
      <c r="S640" s="27" t="s">
        <v>345</v>
      </c>
      <c r="T640" s="27" t="s">
        <v>341</v>
      </c>
      <c r="U640" s="27" t="s">
        <v>693</v>
      </c>
    </row>
    <row r="641" customFormat="false" ht="19.5" hidden="false" customHeight="true" outlineLevel="0" collapsed="false">
      <c r="A641" s="19" t="n">
        <v>5666</v>
      </c>
      <c r="B641" s="15" t="s">
        <v>1982</v>
      </c>
      <c r="C641" s="17" t="s">
        <v>260</v>
      </c>
      <c r="D641" s="16" t="n">
        <v>5</v>
      </c>
      <c r="E641" s="17" t="s">
        <v>39</v>
      </c>
      <c r="F641" s="17" t="s">
        <v>39</v>
      </c>
      <c r="G641" s="15" t="s">
        <v>606</v>
      </c>
      <c r="H641" s="18" t="s">
        <v>606</v>
      </c>
      <c r="I641" s="15" t="s">
        <v>356</v>
      </c>
      <c r="J641" s="17" t="s">
        <v>336</v>
      </c>
      <c r="K641" s="17" t="s">
        <v>82</v>
      </c>
      <c r="L641" s="19" t="s">
        <v>82</v>
      </c>
      <c r="M641" s="15" t="s">
        <v>343</v>
      </c>
      <c r="N641" s="17" t="n">
        <v>1393</v>
      </c>
      <c r="O641" s="15" t="s">
        <v>344</v>
      </c>
      <c r="P641" s="19" t="n">
        <v>1393</v>
      </c>
      <c r="Q641" s="15" t="s">
        <v>1983</v>
      </c>
      <c r="R641" s="15" t="s">
        <v>648</v>
      </c>
      <c r="S641" s="15" t="s">
        <v>345</v>
      </c>
      <c r="T641" s="15" t="s">
        <v>341</v>
      </c>
      <c r="U641" s="15" t="s">
        <v>1984</v>
      </c>
    </row>
    <row r="642" customFormat="false" ht="19.5" hidden="false" customHeight="true" outlineLevel="0" collapsed="false">
      <c r="A642" s="26" t="n">
        <v>5667</v>
      </c>
      <c r="B642" s="27" t="s">
        <v>1985</v>
      </c>
      <c r="C642" s="30" t="s">
        <v>1986</v>
      </c>
      <c r="D642" s="39" t="n">
        <v>2</v>
      </c>
      <c r="E642" s="30" t="s">
        <v>39</v>
      </c>
      <c r="F642" s="30" t="s">
        <v>39</v>
      </c>
      <c r="G642" s="27" t="s">
        <v>466</v>
      </c>
      <c r="H642" s="40" t="s">
        <v>466</v>
      </c>
      <c r="I642" s="27" t="s">
        <v>542</v>
      </c>
      <c r="J642" s="30" t="s">
        <v>336</v>
      </c>
      <c r="K642" s="30" t="s">
        <v>1893</v>
      </c>
      <c r="L642" s="26" t="s">
        <v>1893</v>
      </c>
      <c r="M642" s="27" t="s">
        <v>349</v>
      </c>
      <c r="N642" s="30" t="n">
        <v>0</v>
      </c>
      <c r="O642" s="27" t="s">
        <v>339</v>
      </c>
      <c r="P642" s="26" t="s">
        <v>690</v>
      </c>
      <c r="Q642" s="27" t="s">
        <v>691</v>
      </c>
      <c r="R642" s="27" t="s">
        <v>692</v>
      </c>
      <c r="S642" s="27" t="s">
        <v>345</v>
      </c>
      <c r="T642" s="27" t="s">
        <v>341</v>
      </c>
      <c r="U642" s="27" t="s">
        <v>693</v>
      </c>
    </row>
    <row r="643" customFormat="false" ht="19.5" hidden="false" customHeight="true" outlineLevel="0" collapsed="false">
      <c r="A643" s="19" t="n">
        <v>5668</v>
      </c>
      <c r="B643" s="15" t="s">
        <v>305</v>
      </c>
      <c r="C643" s="17" t="s">
        <v>263</v>
      </c>
      <c r="D643" s="16" t="n">
        <v>20</v>
      </c>
      <c r="E643" s="17" t="s">
        <v>39</v>
      </c>
      <c r="F643" s="17" t="s">
        <v>39</v>
      </c>
      <c r="G643" s="15" t="s">
        <v>306</v>
      </c>
      <c r="H643" s="18" t="s">
        <v>306</v>
      </c>
      <c r="I643" s="15" t="s">
        <v>356</v>
      </c>
      <c r="J643" s="17" t="s">
        <v>360</v>
      </c>
      <c r="K643" s="17" t="s">
        <v>82</v>
      </c>
      <c r="L643" s="19" t="s">
        <v>51</v>
      </c>
      <c r="M643" s="15" t="s">
        <v>361</v>
      </c>
      <c r="N643" s="17" t="n">
        <v>18220</v>
      </c>
      <c r="O643" s="15" t="s">
        <v>344</v>
      </c>
      <c r="P643" s="19" t="n">
        <v>18220</v>
      </c>
      <c r="Q643" s="15" t="s">
        <v>1356</v>
      </c>
      <c r="R643" s="15" t="s">
        <v>648</v>
      </c>
      <c r="S643" s="15" t="s">
        <v>345</v>
      </c>
      <c r="T643" s="15" t="s">
        <v>341</v>
      </c>
      <c r="U643" s="15" t="s">
        <v>1987</v>
      </c>
    </row>
    <row r="644" customFormat="false" ht="19.5" hidden="false" customHeight="true" outlineLevel="0" collapsed="false">
      <c r="A644" s="26" t="n">
        <v>5669</v>
      </c>
      <c r="B644" s="27" t="s">
        <v>1988</v>
      </c>
      <c r="C644" s="30" t="s">
        <v>263</v>
      </c>
      <c r="D644" s="39" t="n">
        <v>20</v>
      </c>
      <c r="E644" s="30" t="s">
        <v>39</v>
      </c>
      <c r="F644" s="30" t="s">
        <v>39</v>
      </c>
      <c r="G644" s="27" t="s">
        <v>428</v>
      </c>
      <c r="H644" s="40" t="s">
        <v>428</v>
      </c>
      <c r="I644" s="27" t="s">
        <v>379</v>
      </c>
      <c r="J644" s="30" t="s">
        <v>336</v>
      </c>
      <c r="K644" s="30" t="s">
        <v>140</v>
      </c>
      <c r="L644" s="26" t="s">
        <v>140</v>
      </c>
      <c r="M644" s="27" t="s">
        <v>343</v>
      </c>
      <c r="N644" s="30" t="n">
        <v>27821</v>
      </c>
      <c r="O644" s="27" t="s">
        <v>344</v>
      </c>
      <c r="P644" s="26" t="n">
        <v>27821</v>
      </c>
      <c r="Q644" s="27" t="s">
        <v>1989</v>
      </c>
      <c r="R644" s="27" t="s">
        <v>648</v>
      </c>
      <c r="S644" s="27" t="s">
        <v>345</v>
      </c>
      <c r="T644" s="27" t="s">
        <v>341</v>
      </c>
      <c r="U644" s="27" t="s">
        <v>1990</v>
      </c>
    </row>
    <row r="645" customFormat="false" ht="19.5" hidden="false" customHeight="true" outlineLevel="0" collapsed="false">
      <c r="A645" s="19" t="n">
        <v>5670</v>
      </c>
      <c r="B645" s="15" t="s">
        <v>1991</v>
      </c>
      <c r="C645" s="17" t="s">
        <v>260</v>
      </c>
      <c r="D645" s="16" t="n">
        <v>5</v>
      </c>
      <c r="E645" s="17" t="s">
        <v>39</v>
      </c>
      <c r="F645" s="17" t="s">
        <v>39</v>
      </c>
      <c r="G645" s="15" t="s">
        <v>466</v>
      </c>
      <c r="H645" s="18" t="s">
        <v>466</v>
      </c>
      <c r="I645" s="15" t="s">
        <v>382</v>
      </c>
      <c r="J645" s="17" t="s">
        <v>336</v>
      </c>
      <c r="K645" s="17" t="s">
        <v>159</v>
      </c>
      <c r="L645" s="19" t="s">
        <v>159</v>
      </c>
      <c r="M645" s="15" t="s">
        <v>349</v>
      </c>
      <c r="N645" s="17" t="n">
        <v>0</v>
      </c>
      <c r="O645" s="15" t="s">
        <v>339</v>
      </c>
      <c r="P645" s="19" t="s">
        <v>690</v>
      </c>
      <c r="Q645" s="15" t="s">
        <v>691</v>
      </c>
      <c r="R645" s="15" t="s">
        <v>692</v>
      </c>
      <c r="S645" s="15" t="s">
        <v>345</v>
      </c>
      <c r="T645" s="15" t="s">
        <v>341</v>
      </c>
      <c r="U645" s="15" t="s">
        <v>693</v>
      </c>
    </row>
    <row r="646" customFormat="false" ht="19.5" hidden="false" customHeight="true" outlineLevel="0" collapsed="false">
      <c r="A646" s="26" t="n">
        <v>5671</v>
      </c>
      <c r="B646" s="27" t="s">
        <v>1992</v>
      </c>
      <c r="C646" s="30" t="s">
        <v>263</v>
      </c>
      <c r="D646" s="39" t="n">
        <v>20</v>
      </c>
      <c r="E646" s="30" t="s">
        <v>39</v>
      </c>
      <c r="F646" s="30" t="s">
        <v>39</v>
      </c>
      <c r="G646" s="27" t="s">
        <v>512</v>
      </c>
      <c r="H646" s="40" t="s">
        <v>512</v>
      </c>
      <c r="I646" s="27" t="s">
        <v>342</v>
      </c>
      <c r="J646" s="30" t="s">
        <v>336</v>
      </c>
      <c r="K646" s="30" t="s">
        <v>479</v>
      </c>
      <c r="L646" s="26" t="s">
        <v>479</v>
      </c>
      <c r="M646" s="27" t="s">
        <v>343</v>
      </c>
      <c r="N646" s="30" t="n">
        <v>6697</v>
      </c>
      <c r="O646" s="27" t="s">
        <v>344</v>
      </c>
      <c r="P646" s="26" t="n">
        <v>6697</v>
      </c>
      <c r="Q646" s="27" t="s">
        <v>1993</v>
      </c>
      <c r="R646" s="27" t="s">
        <v>648</v>
      </c>
      <c r="S646" s="27" t="s">
        <v>345</v>
      </c>
      <c r="T646" s="27" t="s">
        <v>341</v>
      </c>
      <c r="U646" s="27" t="s">
        <v>1994</v>
      </c>
    </row>
    <row r="647" customFormat="false" ht="19.5" hidden="false" customHeight="true" outlineLevel="0" collapsed="false">
      <c r="A647" s="19" t="n">
        <v>5672</v>
      </c>
      <c r="B647" s="15" t="s">
        <v>1995</v>
      </c>
      <c r="C647" s="17" t="s">
        <v>763</v>
      </c>
      <c r="D647" s="16" t="n">
        <v>10</v>
      </c>
      <c r="E647" s="17" t="s">
        <v>39</v>
      </c>
      <c r="F647" s="17" t="s">
        <v>39</v>
      </c>
      <c r="G647" s="15" t="s">
        <v>436</v>
      </c>
      <c r="H647" s="18" t="s">
        <v>436</v>
      </c>
      <c r="I647" s="15" t="s">
        <v>389</v>
      </c>
      <c r="J647" s="17" t="s">
        <v>336</v>
      </c>
      <c r="K647" s="17" t="s">
        <v>140</v>
      </c>
      <c r="L647" s="19" t="s">
        <v>140</v>
      </c>
      <c r="M647" s="15" t="s">
        <v>343</v>
      </c>
      <c r="N647" s="17" t="n">
        <v>8520</v>
      </c>
      <c r="O647" s="15" t="s">
        <v>344</v>
      </c>
      <c r="P647" s="19" t="n">
        <v>8520</v>
      </c>
      <c r="Q647" s="15" t="s">
        <v>1996</v>
      </c>
      <c r="R647" s="15" t="s">
        <v>648</v>
      </c>
      <c r="S647" s="15" t="s">
        <v>345</v>
      </c>
      <c r="T647" s="15" t="s">
        <v>341</v>
      </c>
      <c r="U647" s="15" t="s">
        <v>1997</v>
      </c>
    </row>
    <row r="648" customFormat="false" ht="19.5" hidden="false" customHeight="true" outlineLevel="0" collapsed="false">
      <c r="A648" s="26" t="n">
        <v>5673</v>
      </c>
      <c r="B648" s="27" t="s">
        <v>1998</v>
      </c>
      <c r="C648" s="30" t="s">
        <v>260</v>
      </c>
      <c r="D648" s="39" t="n">
        <v>5</v>
      </c>
      <c r="E648" s="30" t="s">
        <v>39</v>
      </c>
      <c r="F648" s="30" t="s">
        <v>39</v>
      </c>
      <c r="G648" s="27" t="s">
        <v>59</v>
      </c>
      <c r="H648" s="40" t="s">
        <v>59</v>
      </c>
      <c r="I648" s="27" t="s">
        <v>366</v>
      </c>
      <c r="J648" s="30" t="s">
        <v>336</v>
      </c>
      <c r="K648" s="30" t="s">
        <v>1999</v>
      </c>
      <c r="L648" s="26" t="s">
        <v>1999</v>
      </c>
      <c r="M648" s="27" t="s">
        <v>368</v>
      </c>
      <c r="N648" s="30" t="n">
        <v>0</v>
      </c>
      <c r="O648" s="27" t="s">
        <v>369</v>
      </c>
      <c r="P648" s="26" t="s">
        <v>683</v>
      </c>
      <c r="Q648" s="27" t="s">
        <v>684</v>
      </c>
      <c r="R648" s="27" t="s">
        <v>685</v>
      </c>
      <c r="S648" s="27" t="s">
        <v>370</v>
      </c>
      <c r="T648" s="27" t="s">
        <v>371</v>
      </c>
      <c r="U648" s="27" t="s">
        <v>2000</v>
      </c>
    </row>
    <row r="649" customFormat="false" ht="19.5" hidden="false" customHeight="true" outlineLevel="0" collapsed="false">
      <c r="A649" s="19" t="n">
        <v>5674</v>
      </c>
      <c r="B649" s="15" t="s">
        <v>307</v>
      </c>
      <c r="C649" s="17" t="s">
        <v>260</v>
      </c>
      <c r="D649" s="16" t="n">
        <v>5</v>
      </c>
      <c r="E649" s="17" t="s">
        <v>39</v>
      </c>
      <c r="F649" s="17" t="s">
        <v>39</v>
      </c>
      <c r="G649" s="15" t="s">
        <v>308</v>
      </c>
      <c r="H649" s="18" t="s">
        <v>308</v>
      </c>
      <c r="I649" s="15" t="s">
        <v>356</v>
      </c>
      <c r="J649" s="17" t="s">
        <v>360</v>
      </c>
      <c r="K649" s="17" t="s">
        <v>82</v>
      </c>
      <c r="L649" s="19" t="s">
        <v>48</v>
      </c>
      <c r="M649" s="15" t="s">
        <v>361</v>
      </c>
      <c r="N649" s="17" t="n">
        <v>5110</v>
      </c>
      <c r="O649" s="15" t="s">
        <v>344</v>
      </c>
      <c r="P649" s="19" t="n">
        <v>5110</v>
      </c>
      <c r="Q649" s="15" t="s">
        <v>2001</v>
      </c>
      <c r="R649" s="15" t="s">
        <v>648</v>
      </c>
      <c r="S649" s="15" t="s">
        <v>345</v>
      </c>
      <c r="T649" s="15" t="s">
        <v>341</v>
      </c>
      <c r="U649" s="15" t="s">
        <v>2002</v>
      </c>
    </row>
    <row r="650" customFormat="false" ht="19.5" hidden="false" customHeight="true" outlineLevel="0" collapsed="false">
      <c r="A650" s="26" t="n">
        <v>5675</v>
      </c>
      <c r="B650" s="27" t="s">
        <v>2003</v>
      </c>
      <c r="C650" s="30" t="s">
        <v>2004</v>
      </c>
      <c r="D650" s="39" t="n">
        <v>1.75</v>
      </c>
      <c r="E650" s="30" t="s">
        <v>39</v>
      </c>
      <c r="F650" s="30" t="s">
        <v>39</v>
      </c>
      <c r="G650" s="27" t="s">
        <v>466</v>
      </c>
      <c r="H650" s="40" t="s">
        <v>466</v>
      </c>
      <c r="I650" s="27" t="s">
        <v>376</v>
      </c>
      <c r="J650" s="30" t="s">
        <v>336</v>
      </c>
      <c r="K650" s="30" t="s">
        <v>106</v>
      </c>
      <c r="L650" s="26" t="s">
        <v>106</v>
      </c>
      <c r="M650" s="27" t="s">
        <v>377</v>
      </c>
      <c r="N650" s="30" t="n">
        <v>0</v>
      </c>
      <c r="O650" s="27" t="s">
        <v>339</v>
      </c>
      <c r="P650" s="26" t="s">
        <v>690</v>
      </c>
      <c r="Q650" s="27" t="s">
        <v>691</v>
      </c>
      <c r="R650" s="27" t="s">
        <v>692</v>
      </c>
      <c r="S650" s="27" t="s">
        <v>345</v>
      </c>
      <c r="T650" s="27" t="s">
        <v>341</v>
      </c>
      <c r="U650" s="27" t="s">
        <v>841</v>
      </c>
    </row>
    <row r="651" customFormat="false" ht="19.5" hidden="false" customHeight="true" outlineLevel="0" collapsed="false">
      <c r="A651" s="19" t="n">
        <v>5676</v>
      </c>
      <c r="B651" s="15" t="s">
        <v>2005</v>
      </c>
      <c r="C651" s="17" t="s">
        <v>2006</v>
      </c>
      <c r="D651" s="16" t="n">
        <v>7</v>
      </c>
      <c r="E651" s="17" t="s">
        <v>39</v>
      </c>
      <c r="F651" s="17" t="s">
        <v>39</v>
      </c>
      <c r="G651" s="15" t="s">
        <v>105</v>
      </c>
      <c r="H651" s="18" t="s">
        <v>105</v>
      </c>
      <c r="I651" s="15" t="s">
        <v>376</v>
      </c>
      <c r="J651" s="17" t="s">
        <v>336</v>
      </c>
      <c r="K651" s="17" t="s">
        <v>142</v>
      </c>
      <c r="L651" s="19" t="s">
        <v>106</v>
      </c>
      <c r="M651" s="15" t="s">
        <v>377</v>
      </c>
      <c r="N651" s="17" t="n">
        <v>0</v>
      </c>
      <c r="O651" s="15" t="s">
        <v>339</v>
      </c>
      <c r="P651" s="19" t="s">
        <v>690</v>
      </c>
      <c r="Q651" s="15" t="s">
        <v>691</v>
      </c>
      <c r="R651" s="15" t="s">
        <v>692</v>
      </c>
      <c r="S651" s="15" t="s">
        <v>345</v>
      </c>
      <c r="T651" s="15" t="s">
        <v>341</v>
      </c>
      <c r="U651" s="15" t="s">
        <v>827</v>
      </c>
    </row>
    <row r="652" customFormat="false" ht="19.5" hidden="false" customHeight="true" outlineLevel="0" collapsed="false">
      <c r="A652" s="26" t="n">
        <v>5677</v>
      </c>
      <c r="B652" s="27" t="s">
        <v>309</v>
      </c>
      <c r="C652" s="30" t="s">
        <v>263</v>
      </c>
      <c r="D652" s="39" t="n">
        <v>20</v>
      </c>
      <c r="E652" s="30" t="s">
        <v>39</v>
      </c>
      <c r="F652" s="30" t="s">
        <v>39</v>
      </c>
      <c r="G652" s="27" t="s">
        <v>310</v>
      </c>
      <c r="H652" s="40" t="s">
        <v>310</v>
      </c>
      <c r="I652" s="27" t="s">
        <v>356</v>
      </c>
      <c r="J652" s="30" t="s">
        <v>360</v>
      </c>
      <c r="K652" s="30" t="s">
        <v>82</v>
      </c>
      <c r="L652" s="26" t="s">
        <v>51</v>
      </c>
      <c r="M652" s="27" t="s">
        <v>361</v>
      </c>
      <c r="N652" s="30" t="n">
        <v>18107</v>
      </c>
      <c r="O652" s="27" t="s">
        <v>344</v>
      </c>
      <c r="P652" s="26" t="n">
        <v>18107</v>
      </c>
      <c r="Q652" s="27" t="s">
        <v>2007</v>
      </c>
      <c r="R652" s="27" t="s">
        <v>648</v>
      </c>
      <c r="S652" s="27" t="s">
        <v>345</v>
      </c>
      <c r="T652" s="27" t="s">
        <v>341</v>
      </c>
      <c r="U652" s="27" t="s">
        <v>2008</v>
      </c>
    </row>
    <row r="653" customFormat="false" ht="19.5" hidden="false" customHeight="true" outlineLevel="0" collapsed="false">
      <c r="A653" s="19" t="n">
        <v>5678</v>
      </c>
      <c r="B653" s="15" t="s">
        <v>2009</v>
      </c>
      <c r="C653" s="17" t="s">
        <v>2010</v>
      </c>
      <c r="D653" s="16" t="n">
        <v>0.5</v>
      </c>
      <c r="E653" s="17" t="s">
        <v>39</v>
      </c>
      <c r="F653" s="17" t="s">
        <v>39</v>
      </c>
      <c r="G653" s="15" t="s">
        <v>466</v>
      </c>
      <c r="H653" s="18" t="s">
        <v>466</v>
      </c>
      <c r="I653" s="15" t="s">
        <v>467</v>
      </c>
      <c r="J653" s="17" t="s">
        <v>336</v>
      </c>
      <c r="K653" s="17" t="s">
        <v>118</v>
      </c>
      <c r="L653" s="19" t="s">
        <v>118</v>
      </c>
      <c r="M653" s="15" t="s">
        <v>349</v>
      </c>
      <c r="N653" s="17" t="n">
        <v>0</v>
      </c>
      <c r="O653" s="15" t="s">
        <v>339</v>
      </c>
      <c r="P653" s="19" t="s">
        <v>690</v>
      </c>
      <c r="Q653" s="15" t="s">
        <v>691</v>
      </c>
      <c r="R653" s="15" t="s">
        <v>692</v>
      </c>
      <c r="S653" s="15" t="s">
        <v>345</v>
      </c>
      <c r="T653" s="15" t="s">
        <v>341</v>
      </c>
      <c r="U653" s="15" t="s">
        <v>693</v>
      </c>
    </row>
    <row r="654" customFormat="false" ht="19.5" hidden="false" customHeight="true" outlineLevel="0" collapsed="false">
      <c r="A654" s="26" t="n">
        <v>5679</v>
      </c>
      <c r="B654" s="27" t="s">
        <v>2011</v>
      </c>
      <c r="C654" s="30" t="s">
        <v>260</v>
      </c>
      <c r="D654" s="39" t="n">
        <v>5</v>
      </c>
      <c r="E654" s="30" t="s">
        <v>39</v>
      </c>
      <c r="F654" s="30" t="s">
        <v>39</v>
      </c>
      <c r="G654" s="27" t="s">
        <v>411</v>
      </c>
      <c r="H654" s="40" t="s">
        <v>411</v>
      </c>
      <c r="I654" s="27" t="s">
        <v>342</v>
      </c>
      <c r="J654" s="30" t="s">
        <v>336</v>
      </c>
      <c r="K654" s="30" t="s">
        <v>111</v>
      </c>
      <c r="L654" s="26" t="s">
        <v>111</v>
      </c>
      <c r="M654" s="27" t="s">
        <v>343</v>
      </c>
      <c r="N654" s="30" t="n">
        <v>479097</v>
      </c>
      <c r="O654" s="27" t="s">
        <v>344</v>
      </c>
      <c r="P654" s="26" t="n">
        <v>479097</v>
      </c>
      <c r="Q654" s="27" t="s">
        <v>735</v>
      </c>
      <c r="R654" s="27" t="s">
        <v>648</v>
      </c>
      <c r="S654" s="27" t="s">
        <v>345</v>
      </c>
      <c r="T654" s="27" t="s">
        <v>341</v>
      </c>
      <c r="U654" s="27" t="s">
        <v>736</v>
      </c>
    </row>
    <row r="655" customFormat="false" ht="19.5" hidden="false" customHeight="true" outlineLevel="0" collapsed="false">
      <c r="A655" s="19" t="n">
        <v>5680</v>
      </c>
      <c r="B655" s="15" t="s">
        <v>2012</v>
      </c>
      <c r="C655" s="17" t="s">
        <v>1172</v>
      </c>
      <c r="D655" s="16" t="n">
        <v>1</v>
      </c>
      <c r="E655" s="17" t="s">
        <v>39</v>
      </c>
      <c r="F655" s="17" t="s">
        <v>39</v>
      </c>
      <c r="G655" s="15" t="s">
        <v>466</v>
      </c>
      <c r="H655" s="18" t="s">
        <v>466</v>
      </c>
      <c r="I655" s="15" t="s">
        <v>467</v>
      </c>
      <c r="J655" s="17" t="s">
        <v>336</v>
      </c>
      <c r="K655" s="17" t="s">
        <v>159</v>
      </c>
      <c r="L655" s="19" t="s">
        <v>159</v>
      </c>
      <c r="M655" s="15" t="s">
        <v>349</v>
      </c>
      <c r="N655" s="17" t="n">
        <v>0</v>
      </c>
      <c r="O655" s="15" t="s">
        <v>339</v>
      </c>
      <c r="P655" s="19" t="s">
        <v>690</v>
      </c>
      <c r="Q655" s="15" t="s">
        <v>691</v>
      </c>
      <c r="R655" s="15" t="s">
        <v>692</v>
      </c>
      <c r="S655" s="15" t="s">
        <v>345</v>
      </c>
      <c r="T655" s="15" t="s">
        <v>341</v>
      </c>
      <c r="U655" s="15" t="s">
        <v>693</v>
      </c>
    </row>
    <row r="656" customFormat="false" ht="19.5" hidden="false" customHeight="true" outlineLevel="0" collapsed="false">
      <c r="A656" s="26" t="n">
        <v>5681</v>
      </c>
      <c r="B656" s="27" t="s">
        <v>2013</v>
      </c>
      <c r="C656" s="30" t="s">
        <v>296</v>
      </c>
      <c r="D656" s="39" t="n">
        <v>1</v>
      </c>
      <c r="E656" s="30" t="s">
        <v>39</v>
      </c>
      <c r="F656" s="30" t="s">
        <v>39</v>
      </c>
      <c r="G656" s="27" t="s">
        <v>466</v>
      </c>
      <c r="H656" s="40" t="s">
        <v>466</v>
      </c>
      <c r="I656" s="27" t="s">
        <v>366</v>
      </c>
      <c r="J656" s="30" t="s">
        <v>336</v>
      </c>
      <c r="K656" s="30" t="s">
        <v>159</v>
      </c>
      <c r="L656" s="26" t="s">
        <v>367</v>
      </c>
      <c r="M656" s="27" t="s">
        <v>368</v>
      </c>
      <c r="N656" s="30" t="n">
        <v>0</v>
      </c>
      <c r="O656" s="27" t="s">
        <v>369</v>
      </c>
      <c r="P656" s="26" t="s">
        <v>683</v>
      </c>
      <c r="Q656" s="27" t="s">
        <v>684</v>
      </c>
      <c r="R656" s="27" t="s">
        <v>685</v>
      </c>
      <c r="S656" s="27" t="s">
        <v>370</v>
      </c>
      <c r="T656" s="27" t="s">
        <v>371</v>
      </c>
      <c r="U656" s="27" t="s">
        <v>687</v>
      </c>
    </row>
    <row r="657" customFormat="false" ht="19.5" hidden="false" customHeight="true" outlineLevel="0" collapsed="false">
      <c r="A657" s="19" t="n">
        <v>5687</v>
      </c>
      <c r="B657" s="15" t="s">
        <v>2014</v>
      </c>
      <c r="C657" s="17" t="s">
        <v>1230</v>
      </c>
      <c r="D657" s="16" t="n">
        <v>20</v>
      </c>
      <c r="E657" s="17" t="s">
        <v>39</v>
      </c>
      <c r="F657" s="17" t="s">
        <v>39</v>
      </c>
      <c r="G657" s="15" t="s">
        <v>59</v>
      </c>
      <c r="H657" s="18" t="s">
        <v>59</v>
      </c>
      <c r="I657" s="15" t="s">
        <v>366</v>
      </c>
      <c r="J657" s="17" t="s">
        <v>336</v>
      </c>
      <c r="K657" s="17" t="s">
        <v>442</v>
      </c>
      <c r="L657" s="19" t="s">
        <v>367</v>
      </c>
      <c r="M657" s="15" t="s">
        <v>368</v>
      </c>
      <c r="N657" s="17" t="n">
        <v>0</v>
      </c>
      <c r="O657" s="15" t="s">
        <v>369</v>
      </c>
      <c r="P657" s="19" t="s">
        <v>683</v>
      </c>
      <c r="Q657" s="15" t="s">
        <v>684</v>
      </c>
      <c r="R657" s="15" t="s">
        <v>685</v>
      </c>
      <c r="S657" s="15" t="s">
        <v>370</v>
      </c>
      <c r="T657" s="15" t="s">
        <v>371</v>
      </c>
      <c r="U657" s="15" t="s">
        <v>2015</v>
      </c>
    </row>
    <row r="658" customFormat="false" ht="19.5" hidden="false" customHeight="true" outlineLevel="0" collapsed="false">
      <c r="A658" s="26" t="n">
        <v>5688</v>
      </c>
      <c r="B658" s="27" t="s">
        <v>2016</v>
      </c>
      <c r="C658" s="30" t="s">
        <v>260</v>
      </c>
      <c r="D658" s="39" t="n">
        <v>5</v>
      </c>
      <c r="E658" s="30" t="s">
        <v>39</v>
      </c>
      <c r="F658" s="30" t="s">
        <v>39</v>
      </c>
      <c r="G658" s="27" t="s">
        <v>466</v>
      </c>
      <c r="H658" s="40" t="s">
        <v>466</v>
      </c>
      <c r="I658" s="27" t="s">
        <v>382</v>
      </c>
      <c r="J658" s="30" t="s">
        <v>336</v>
      </c>
      <c r="K658" s="30" t="s">
        <v>159</v>
      </c>
      <c r="L658" s="26" t="s">
        <v>159</v>
      </c>
      <c r="M658" s="27" t="s">
        <v>349</v>
      </c>
      <c r="N658" s="30" t="n">
        <v>0</v>
      </c>
      <c r="O658" s="27" t="s">
        <v>339</v>
      </c>
      <c r="P658" s="26" t="s">
        <v>690</v>
      </c>
      <c r="Q658" s="27" t="s">
        <v>691</v>
      </c>
      <c r="R658" s="27" t="s">
        <v>692</v>
      </c>
      <c r="S658" s="27" t="s">
        <v>345</v>
      </c>
      <c r="T658" s="27" t="s">
        <v>341</v>
      </c>
      <c r="U658" s="27" t="s">
        <v>693</v>
      </c>
    </row>
    <row r="659" customFormat="false" ht="19.5" hidden="false" customHeight="true" outlineLevel="0" collapsed="false">
      <c r="A659" s="19" t="n">
        <v>5689</v>
      </c>
      <c r="B659" s="15" t="s">
        <v>2017</v>
      </c>
      <c r="C659" s="17" t="s">
        <v>260</v>
      </c>
      <c r="D659" s="16" t="n">
        <v>5</v>
      </c>
      <c r="E659" s="17" t="s">
        <v>39</v>
      </c>
      <c r="F659" s="17" t="s">
        <v>39</v>
      </c>
      <c r="G659" s="15" t="s">
        <v>466</v>
      </c>
      <c r="H659" s="18" t="s">
        <v>466</v>
      </c>
      <c r="I659" s="15" t="s">
        <v>382</v>
      </c>
      <c r="J659" s="17" t="s">
        <v>336</v>
      </c>
      <c r="K659" s="17" t="s">
        <v>159</v>
      </c>
      <c r="L659" s="19" t="s">
        <v>159</v>
      </c>
      <c r="M659" s="15" t="s">
        <v>349</v>
      </c>
      <c r="N659" s="17" t="n">
        <v>0</v>
      </c>
      <c r="O659" s="15" t="s">
        <v>339</v>
      </c>
      <c r="P659" s="19" t="s">
        <v>690</v>
      </c>
      <c r="Q659" s="15" t="s">
        <v>691</v>
      </c>
      <c r="R659" s="15" t="s">
        <v>692</v>
      </c>
      <c r="S659" s="15" t="s">
        <v>345</v>
      </c>
      <c r="T659" s="15" t="s">
        <v>341</v>
      </c>
      <c r="U659" s="15" t="s">
        <v>693</v>
      </c>
    </row>
    <row r="660" customFormat="false" ht="19.5" hidden="false" customHeight="true" outlineLevel="0" collapsed="false">
      <c r="A660" s="26" t="n">
        <v>5690</v>
      </c>
      <c r="B660" s="27" t="s">
        <v>2018</v>
      </c>
      <c r="C660" s="30" t="s">
        <v>263</v>
      </c>
      <c r="D660" s="39" t="n">
        <v>20</v>
      </c>
      <c r="E660" s="30" t="s">
        <v>39</v>
      </c>
      <c r="F660" s="30" t="s">
        <v>39</v>
      </c>
      <c r="G660" s="27" t="s">
        <v>466</v>
      </c>
      <c r="H660" s="40" t="s">
        <v>466</v>
      </c>
      <c r="I660" s="27" t="s">
        <v>382</v>
      </c>
      <c r="J660" s="30" t="s">
        <v>336</v>
      </c>
      <c r="K660" s="30" t="s">
        <v>159</v>
      </c>
      <c r="L660" s="26" t="s">
        <v>159</v>
      </c>
      <c r="M660" s="27" t="s">
        <v>349</v>
      </c>
      <c r="N660" s="30" t="n">
        <v>0</v>
      </c>
      <c r="O660" s="27" t="s">
        <v>339</v>
      </c>
      <c r="P660" s="26" t="s">
        <v>690</v>
      </c>
      <c r="Q660" s="27" t="s">
        <v>691</v>
      </c>
      <c r="R660" s="27" t="s">
        <v>692</v>
      </c>
      <c r="S660" s="27" t="s">
        <v>345</v>
      </c>
      <c r="T660" s="27" t="s">
        <v>341</v>
      </c>
      <c r="U660" s="27" t="s">
        <v>693</v>
      </c>
    </row>
    <row r="661" customFormat="false" ht="19.5" hidden="false" customHeight="true" outlineLevel="0" collapsed="false">
      <c r="A661" s="19" t="n">
        <v>5691</v>
      </c>
      <c r="B661" s="15" t="s">
        <v>2019</v>
      </c>
      <c r="C661" s="17" t="s">
        <v>260</v>
      </c>
      <c r="D661" s="16" t="n">
        <v>5</v>
      </c>
      <c r="E661" s="17" t="s">
        <v>39</v>
      </c>
      <c r="F661" s="17" t="s">
        <v>39</v>
      </c>
      <c r="G661" s="15" t="s">
        <v>514</v>
      </c>
      <c r="H661" s="18" t="s">
        <v>514</v>
      </c>
      <c r="I661" s="15" t="s">
        <v>356</v>
      </c>
      <c r="J661" s="17" t="s">
        <v>336</v>
      </c>
      <c r="K661" s="17" t="s">
        <v>82</v>
      </c>
      <c r="L661" s="19" t="s">
        <v>82</v>
      </c>
      <c r="M661" s="15" t="s">
        <v>343</v>
      </c>
      <c r="N661" s="17" t="n">
        <v>3123</v>
      </c>
      <c r="O661" s="15" t="s">
        <v>344</v>
      </c>
      <c r="P661" s="19" t="n">
        <v>3123</v>
      </c>
      <c r="Q661" s="15" t="s">
        <v>2020</v>
      </c>
      <c r="R661" s="15" t="s">
        <v>648</v>
      </c>
      <c r="S661" s="15" t="s">
        <v>345</v>
      </c>
      <c r="T661" s="15" t="s">
        <v>341</v>
      </c>
      <c r="U661" s="15" t="s">
        <v>2021</v>
      </c>
    </row>
    <row r="662" customFormat="false" ht="19.5" hidden="false" customHeight="true" outlineLevel="0" collapsed="false">
      <c r="A662" s="26" t="n">
        <v>5692</v>
      </c>
      <c r="B662" s="27" t="s">
        <v>2022</v>
      </c>
      <c r="C662" s="30" t="s">
        <v>2023</v>
      </c>
      <c r="D662" s="39" t="n">
        <v>10</v>
      </c>
      <c r="E662" s="30" t="s">
        <v>39</v>
      </c>
      <c r="F662" s="30" t="s">
        <v>39</v>
      </c>
      <c r="G662" s="27" t="s">
        <v>592</v>
      </c>
      <c r="H662" s="40" t="s">
        <v>592</v>
      </c>
      <c r="I662" s="27" t="s">
        <v>342</v>
      </c>
      <c r="J662" s="30" t="s">
        <v>336</v>
      </c>
      <c r="K662" s="30" t="s">
        <v>111</v>
      </c>
      <c r="L662" s="26" t="s">
        <v>111</v>
      </c>
      <c r="M662" s="27" t="s">
        <v>343</v>
      </c>
      <c r="N662" s="30" t="n">
        <v>15420</v>
      </c>
      <c r="O662" s="27" t="s">
        <v>344</v>
      </c>
      <c r="P662" s="26" t="n">
        <v>15420</v>
      </c>
      <c r="Q662" s="27" t="s">
        <v>2024</v>
      </c>
      <c r="R662" s="27" t="s">
        <v>648</v>
      </c>
      <c r="S662" s="27" t="s">
        <v>345</v>
      </c>
      <c r="T662" s="27" t="s">
        <v>341</v>
      </c>
      <c r="U662" s="27" t="s">
        <v>2025</v>
      </c>
    </row>
    <row r="663" customFormat="false" ht="19.5" hidden="false" customHeight="true" outlineLevel="0" collapsed="false">
      <c r="A663" s="19" t="n">
        <v>5693</v>
      </c>
      <c r="B663" s="15" t="s">
        <v>2026</v>
      </c>
      <c r="C663" s="17" t="s">
        <v>763</v>
      </c>
      <c r="D663" s="16" t="n">
        <v>10</v>
      </c>
      <c r="E663" s="17" t="s">
        <v>39</v>
      </c>
      <c r="F663" s="17" t="s">
        <v>39</v>
      </c>
      <c r="G663" s="15" t="s">
        <v>445</v>
      </c>
      <c r="H663" s="18" t="s">
        <v>445</v>
      </c>
      <c r="I663" s="15" t="s">
        <v>379</v>
      </c>
      <c r="J663" s="17" t="s">
        <v>336</v>
      </c>
      <c r="K663" s="17" t="s">
        <v>140</v>
      </c>
      <c r="L663" s="19" t="s">
        <v>140</v>
      </c>
      <c r="M663" s="15" t="s">
        <v>343</v>
      </c>
      <c r="N663" s="17" t="n">
        <v>9917</v>
      </c>
      <c r="O663" s="15" t="s">
        <v>344</v>
      </c>
      <c r="P663" s="19" t="n">
        <v>9917</v>
      </c>
      <c r="Q663" s="15" t="s">
        <v>2027</v>
      </c>
      <c r="R663" s="15" t="s">
        <v>648</v>
      </c>
      <c r="S663" s="15" t="s">
        <v>345</v>
      </c>
      <c r="T663" s="15" t="s">
        <v>341</v>
      </c>
      <c r="U663" s="15" t="s">
        <v>2028</v>
      </c>
    </row>
    <row r="664" customFormat="false" ht="19.5" hidden="false" customHeight="true" outlineLevel="0" collapsed="false">
      <c r="A664" s="26" t="n">
        <v>5694</v>
      </c>
      <c r="B664" s="27" t="s">
        <v>2029</v>
      </c>
      <c r="C664" s="30" t="s">
        <v>263</v>
      </c>
      <c r="D664" s="39" t="n">
        <v>20</v>
      </c>
      <c r="E664" s="30" t="s">
        <v>39</v>
      </c>
      <c r="F664" s="30" t="s">
        <v>39</v>
      </c>
      <c r="G664" s="27" t="s">
        <v>439</v>
      </c>
      <c r="H664" s="40" t="s">
        <v>439</v>
      </c>
      <c r="I664" s="27" t="s">
        <v>379</v>
      </c>
      <c r="J664" s="30" t="s">
        <v>336</v>
      </c>
      <c r="K664" s="30" t="s">
        <v>140</v>
      </c>
      <c r="L664" s="26" t="s">
        <v>140</v>
      </c>
      <c r="M664" s="27" t="s">
        <v>343</v>
      </c>
      <c r="N664" s="30" t="n">
        <v>12407</v>
      </c>
      <c r="O664" s="27" t="s">
        <v>344</v>
      </c>
      <c r="P664" s="26" t="n">
        <v>12407</v>
      </c>
      <c r="Q664" s="27" t="s">
        <v>2030</v>
      </c>
      <c r="R664" s="27" t="s">
        <v>648</v>
      </c>
      <c r="S664" s="27" t="s">
        <v>345</v>
      </c>
      <c r="T664" s="27" t="s">
        <v>341</v>
      </c>
      <c r="U664" s="27" t="s">
        <v>2031</v>
      </c>
    </row>
    <row r="665" customFormat="false" ht="19.5" hidden="false" customHeight="true" outlineLevel="0" collapsed="false">
      <c r="A665" s="19" t="n">
        <v>5695</v>
      </c>
      <c r="B665" s="15" t="s">
        <v>2032</v>
      </c>
      <c r="C665" s="17" t="s">
        <v>263</v>
      </c>
      <c r="D665" s="16" t="n">
        <v>20</v>
      </c>
      <c r="E665" s="17" t="s">
        <v>39</v>
      </c>
      <c r="F665" s="17" t="s">
        <v>39</v>
      </c>
      <c r="G665" s="15" t="s">
        <v>518</v>
      </c>
      <c r="H665" s="18" t="s">
        <v>2033</v>
      </c>
      <c r="I665" s="15" t="s">
        <v>519</v>
      </c>
      <c r="J665" s="17" t="s">
        <v>336</v>
      </c>
      <c r="K665" s="17" t="s">
        <v>82</v>
      </c>
      <c r="L665" s="19" t="s">
        <v>82</v>
      </c>
      <c r="M665" s="15" t="s">
        <v>343</v>
      </c>
      <c r="N665" s="17" t="n">
        <v>0</v>
      </c>
      <c r="O665" s="15" t="s">
        <v>353</v>
      </c>
      <c r="P665" s="19" t="s">
        <v>1193</v>
      </c>
      <c r="Q665" s="15" t="s">
        <v>2034</v>
      </c>
      <c r="R665" s="15" t="s">
        <v>717</v>
      </c>
      <c r="S665" s="15" t="s">
        <v>345</v>
      </c>
      <c r="T665" s="15" t="s">
        <v>341</v>
      </c>
      <c r="U665" s="15" t="s">
        <v>2035</v>
      </c>
    </row>
    <row r="666" customFormat="false" ht="19.5" hidden="false" customHeight="true" outlineLevel="0" collapsed="false">
      <c r="A666" s="26" t="n">
        <v>5696</v>
      </c>
      <c r="B666" s="27" t="s">
        <v>2036</v>
      </c>
      <c r="C666" s="30" t="s">
        <v>263</v>
      </c>
      <c r="D666" s="39" t="n">
        <v>20</v>
      </c>
      <c r="E666" s="30" t="s">
        <v>39</v>
      </c>
      <c r="F666" s="30" t="s">
        <v>39</v>
      </c>
      <c r="G666" s="27" t="s">
        <v>458</v>
      </c>
      <c r="H666" s="40" t="s">
        <v>458</v>
      </c>
      <c r="I666" s="27" t="s">
        <v>459</v>
      </c>
      <c r="J666" s="30" t="s">
        <v>336</v>
      </c>
      <c r="K666" s="30" t="s">
        <v>419</v>
      </c>
      <c r="L666" s="26" t="s">
        <v>419</v>
      </c>
      <c r="M666" s="27" t="s">
        <v>343</v>
      </c>
      <c r="N666" s="30" t="n">
        <v>3202</v>
      </c>
      <c r="O666" s="27" t="s">
        <v>344</v>
      </c>
      <c r="P666" s="26" t="n">
        <v>3202</v>
      </c>
      <c r="Q666" s="27" t="s">
        <v>2037</v>
      </c>
      <c r="R666" s="27" t="s">
        <v>648</v>
      </c>
      <c r="S666" s="27" t="s">
        <v>345</v>
      </c>
      <c r="T666" s="27" t="s">
        <v>341</v>
      </c>
      <c r="U666" s="27" t="s">
        <v>2038</v>
      </c>
    </row>
    <row r="667" customFormat="false" ht="19.5" hidden="false" customHeight="true" outlineLevel="0" collapsed="false">
      <c r="A667" s="19" t="n">
        <v>5697</v>
      </c>
      <c r="B667" s="15" t="s">
        <v>2039</v>
      </c>
      <c r="C667" s="17" t="s">
        <v>260</v>
      </c>
      <c r="D667" s="16" t="n">
        <v>5</v>
      </c>
      <c r="E667" s="17" t="s">
        <v>39</v>
      </c>
      <c r="F667" s="17" t="s">
        <v>39</v>
      </c>
      <c r="G667" s="15" t="s">
        <v>534</v>
      </c>
      <c r="H667" s="18" t="s">
        <v>534</v>
      </c>
      <c r="I667" s="15" t="s">
        <v>342</v>
      </c>
      <c r="J667" s="17" t="s">
        <v>336</v>
      </c>
      <c r="K667" s="17" t="s">
        <v>82</v>
      </c>
      <c r="L667" s="19" t="s">
        <v>111</v>
      </c>
      <c r="M667" s="15" t="s">
        <v>343</v>
      </c>
      <c r="N667" s="17" t="n">
        <v>820</v>
      </c>
      <c r="O667" s="15" t="s">
        <v>344</v>
      </c>
      <c r="P667" s="19" t="n">
        <v>820</v>
      </c>
      <c r="Q667" s="15" t="s">
        <v>2040</v>
      </c>
      <c r="R667" s="15" t="s">
        <v>648</v>
      </c>
      <c r="S667" s="15" t="s">
        <v>345</v>
      </c>
      <c r="T667" s="15" t="s">
        <v>341</v>
      </c>
      <c r="U667" s="15" t="s">
        <v>2041</v>
      </c>
    </row>
    <row r="668" customFormat="false" ht="19.5" hidden="false" customHeight="true" outlineLevel="0" collapsed="false">
      <c r="A668" s="26" t="n">
        <v>5698</v>
      </c>
      <c r="B668" s="27" t="s">
        <v>2042</v>
      </c>
      <c r="C668" s="30" t="s">
        <v>260</v>
      </c>
      <c r="D668" s="39" t="n">
        <v>5</v>
      </c>
      <c r="E668" s="30" t="s">
        <v>39</v>
      </c>
      <c r="F668" s="30" t="s">
        <v>39</v>
      </c>
      <c r="G668" s="27" t="s">
        <v>474</v>
      </c>
      <c r="H668" s="40" t="s">
        <v>474</v>
      </c>
      <c r="I668" s="27" t="s">
        <v>356</v>
      </c>
      <c r="J668" s="30" t="s">
        <v>336</v>
      </c>
      <c r="K668" s="30" t="s">
        <v>82</v>
      </c>
      <c r="L668" s="26" t="s">
        <v>82</v>
      </c>
      <c r="M668" s="27" t="s">
        <v>343</v>
      </c>
      <c r="N668" s="30" t="n">
        <v>16320</v>
      </c>
      <c r="O668" s="27" t="s">
        <v>344</v>
      </c>
      <c r="P668" s="26" t="n">
        <v>16320</v>
      </c>
      <c r="Q668" s="27" t="s">
        <v>2043</v>
      </c>
      <c r="R668" s="27" t="s">
        <v>648</v>
      </c>
      <c r="S668" s="27" t="s">
        <v>345</v>
      </c>
      <c r="T668" s="27" t="s">
        <v>341</v>
      </c>
      <c r="U668" s="27" t="s">
        <v>2044</v>
      </c>
    </row>
    <row r="669" customFormat="false" ht="19.5" hidden="false" customHeight="true" outlineLevel="0" collapsed="false">
      <c r="A669" s="19" t="n">
        <v>5699</v>
      </c>
      <c r="B669" s="15" t="s">
        <v>2045</v>
      </c>
      <c r="C669" s="17" t="s">
        <v>260</v>
      </c>
      <c r="D669" s="16" t="n">
        <v>5</v>
      </c>
      <c r="E669" s="17" t="s">
        <v>39</v>
      </c>
      <c r="F669" s="17" t="s">
        <v>39</v>
      </c>
      <c r="G669" s="15" t="s">
        <v>408</v>
      </c>
      <c r="H669" s="18" t="s">
        <v>408</v>
      </c>
      <c r="I669" s="15" t="s">
        <v>356</v>
      </c>
      <c r="J669" s="17" t="s">
        <v>336</v>
      </c>
      <c r="K669" s="17" t="s">
        <v>409</v>
      </c>
      <c r="L669" s="19" t="s">
        <v>409</v>
      </c>
      <c r="M669" s="15" t="s">
        <v>343</v>
      </c>
      <c r="N669" s="17" t="n">
        <v>3101</v>
      </c>
      <c r="O669" s="15" t="s">
        <v>344</v>
      </c>
      <c r="P669" s="19" t="n">
        <v>3101</v>
      </c>
      <c r="Q669" s="15" t="s">
        <v>2046</v>
      </c>
      <c r="R669" s="15" t="s">
        <v>648</v>
      </c>
      <c r="S669" s="15" t="s">
        <v>345</v>
      </c>
      <c r="T669" s="15" t="s">
        <v>341</v>
      </c>
      <c r="U669" s="15" t="s">
        <v>2047</v>
      </c>
    </row>
    <row r="670" customFormat="false" ht="19.5" hidden="false" customHeight="true" outlineLevel="0" collapsed="false">
      <c r="A670" s="26" t="n">
        <v>5700</v>
      </c>
      <c r="B670" s="27" t="s">
        <v>2048</v>
      </c>
      <c r="C670" s="30" t="s">
        <v>2049</v>
      </c>
      <c r="D670" s="39" t="n">
        <v>3</v>
      </c>
      <c r="E670" s="30" t="s">
        <v>39</v>
      </c>
      <c r="F670" s="30" t="s">
        <v>39</v>
      </c>
      <c r="G670" s="27" t="s">
        <v>518</v>
      </c>
      <c r="H670" s="40" t="s">
        <v>518</v>
      </c>
      <c r="I670" s="27" t="s">
        <v>376</v>
      </c>
      <c r="J670" s="30" t="s">
        <v>336</v>
      </c>
      <c r="K670" s="30" t="s">
        <v>142</v>
      </c>
      <c r="L670" s="26" t="s">
        <v>106</v>
      </c>
      <c r="M670" s="27" t="s">
        <v>377</v>
      </c>
      <c r="N670" s="30" t="n">
        <v>0</v>
      </c>
      <c r="O670" s="27" t="s">
        <v>339</v>
      </c>
      <c r="P670" s="26" t="s">
        <v>690</v>
      </c>
      <c r="Q670" s="27" t="s">
        <v>691</v>
      </c>
      <c r="R670" s="27" t="s">
        <v>692</v>
      </c>
      <c r="S670" s="27" t="s">
        <v>345</v>
      </c>
      <c r="T670" s="27" t="s">
        <v>341</v>
      </c>
      <c r="U670" s="27" t="s">
        <v>827</v>
      </c>
    </row>
    <row r="671" customFormat="false" ht="19.5" hidden="false" customHeight="true" outlineLevel="0" collapsed="false">
      <c r="A671" s="19" t="n">
        <v>5701</v>
      </c>
      <c r="B671" s="15" t="s">
        <v>2050</v>
      </c>
      <c r="C671" s="17" t="s">
        <v>2004</v>
      </c>
      <c r="D671" s="16" t="n">
        <v>1.75</v>
      </c>
      <c r="E671" s="17" t="s">
        <v>39</v>
      </c>
      <c r="F671" s="17" t="s">
        <v>39</v>
      </c>
      <c r="G671" s="15" t="s">
        <v>518</v>
      </c>
      <c r="H671" s="18" t="s">
        <v>518</v>
      </c>
      <c r="I671" s="15" t="s">
        <v>376</v>
      </c>
      <c r="J671" s="17" t="s">
        <v>336</v>
      </c>
      <c r="K671" s="17" t="s">
        <v>142</v>
      </c>
      <c r="L671" s="19" t="s">
        <v>106</v>
      </c>
      <c r="M671" s="15" t="s">
        <v>377</v>
      </c>
      <c r="N671" s="17" t="n">
        <v>0</v>
      </c>
      <c r="O671" s="15" t="s">
        <v>339</v>
      </c>
      <c r="P671" s="19" t="s">
        <v>690</v>
      </c>
      <c r="Q671" s="15" t="s">
        <v>691</v>
      </c>
      <c r="R671" s="15" t="s">
        <v>692</v>
      </c>
      <c r="S671" s="15" t="s">
        <v>345</v>
      </c>
      <c r="T671" s="15" t="s">
        <v>341</v>
      </c>
      <c r="U671" s="15" t="s">
        <v>827</v>
      </c>
    </row>
    <row r="672" customFormat="false" ht="19.5" hidden="false" customHeight="true" outlineLevel="0" collapsed="false">
      <c r="A672" s="26" t="n">
        <v>5702</v>
      </c>
      <c r="B672" s="27" t="s">
        <v>2051</v>
      </c>
      <c r="C672" s="30" t="s">
        <v>2052</v>
      </c>
      <c r="D672" s="39" t="n">
        <v>1</v>
      </c>
      <c r="E672" s="30" t="s">
        <v>63</v>
      </c>
      <c r="F672" s="30" t="s">
        <v>63</v>
      </c>
      <c r="G672" s="27" t="s">
        <v>531</v>
      </c>
      <c r="H672" s="40" t="s">
        <v>531</v>
      </c>
      <c r="I672" s="27" t="s">
        <v>379</v>
      </c>
      <c r="J672" s="30" t="s">
        <v>336</v>
      </c>
      <c r="K672" s="30" t="s">
        <v>530</v>
      </c>
      <c r="L672" s="26" t="s">
        <v>530</v>
      </c>
      <c r="M672" s="27" t="s">
        <v>343</v>
      </c>
      <c r="N672" s="30" t="n">
        <v>18007</v>
      </c>
      <c r="O672" s="27" t="s">
        <v>344</v>
      </c>
      <c r="P672" s="26" t="n">
        <v>18007</v>
      </c>
      <c r="Q672" s="27" t="s">
        <v>2053</v>
      </c>
      <c r="R672" s="27" t="s">
        <v>648</v>
      </c>
      <c r="S672" s="27" t="s">
        <v>345</v>
      </c>
      <c r="T672" s="27" t="s">
        <v>341</v>
      </c>
      <c r="U672" s="27" t="s">
        <v>2054</v>
      </c>
    </row>
    <row r="673" customFormat="false" ht="19.5" hidden="false" customHeight="true" outlineLevel="0" collapsed="false">
      <c r="A673" s="19" t="n">
        <v>5703</v>
      </c>
      <c r="B673" s="15" t="s">
        <v>2055</v>
      </c>
      <c r="C673" s="17" t="s">
        <v>260</v>
      </c>
      <c r="D673" s="16" t="n">
        <v>5</v>
      </c>
      <c r="E673" s="17" t="s">
        <v>39</v>
      </c>
      <c r="F673" s="17" t="s">
        <v>39</v>
      </c>
      <c r="G673" s="15" t="s">
        <v>612</v>
      </c>
      <c r="H673" s="18" t="s">
        <v>612</v>
      </c>
      <c r="I673" s="15" t="s">
        <v>379</v>
      </c>
      <c r="J673" s="17" t="s">
        <v>336</v>
      </c>
      <c r="K673" s="17" t="s">
        <v>140</v>
      </c>
      <c r="L673" s="19" t="s">
        <v>140</v>
      </c>
      <c r="M673" s="15" t="s">
        <v>343</v>
      </c>
      <c r="N673" s="17" t="n">
        <v>4810</v>
      </c>
      <c r="O673" s="15" t="s">
        <v>344</v>
      </c>
      <c r="P673" s="19" t="n">
        <v>4810</v>
      </c>
      <c r="Q673" s="15" t="s">
        <v>2056</v>
      </c>
      <c r="R673" s="15" t="s">
        <v>648</v>
      </c>
      <c r="S673" s="15" t="s">
        <v>345</v>
      </c>
      <c r="T673" s="15" t="s">
        <v>341</v>
      </c>
      <c r="U673" s="15" t="s">
        <v>2057</v>
      </c>
    </row>
    <row r="674" customFormat="false" ht="19.5" hidden="false" customHeight="true" outlineLevel="0" collapsed="false">
      <c r="A674" s="26" t="n">
        <v>5704</v>
      </c>
      <c r="B674" s="27" t="s">
        <v>2058</v>
      </c>
      <c r="C674" s="30" t="s">
        <v>1189</v>
      </c>
      <c r="D674" s="39" t="n">
        <v>5</v>
      </c>
      <c r="E674" s="30" t="s">
        <v>39</v>
      </c>
      <c r="F674" s="30" t="s">
        <v>39</v>
      </c>
      <c r="G674" s="27" t="s">
        <v>618</v>
      </c>
      <c r="H674" s="40" t="s">
        <v>618</v>
      </c>
      <c r="I674" s="27" t="s">
        <v>342</v>
      </c>
      <c r="J674" s="30" t="s">
        <v>336</v>
      </c>
      <c r="K674" s="30" t="s">
        <v>111</v>
      </c>
      <c r="L674" s="26" t="s">
        <v>111</v>
      </c>
      <c r="M674" s="27" t="s">
        <v>343</v>
      </c>
      <c r="N674" s="30" t="n">
        <v>19123</v>
      </c>
      <c r="O674" s="27" t="s">
        <v>344</v>
      </c>
      <c r="P674" s="26" t="n">
        <v>19123</v>
      </c>
      <c r="Q674" s="27" t="s">
        <v>2059</v>
      </c>
      <c r="R674" s="27" t="s">
        <v>648</v>
      </c>
      <c r="S674" s="27" t="s">
        <v>345</v>
      </c>
      <c r="T674" s="27" t="s">
        <v>341</v>
      </c>
      <c r="U674" s="27" t="s">
        <v>2060</v>
      </c>
    </row>
    <row r="675" customFormat="false" ht="19.5" hidden="false" customHeight="true" outlineLevel="0" collapsed="false">
      <c r="A675" s="19" t="n">
        <v>5705</v>
      </c>
      <c r="B675" s="15" t="s">
        <v>2061</v>
      </c>
      <c r="C675" s="17" t="s">
        <v>263</v>
      </c>
      <c r="D675" s="16" t="n">
        <v>20</v>
      </c>
      <c r="E675" s="17" t="s">
        <v>39</v>
      </c>
      <c r="F675" s="17" t="s">
        <v>39</v>
      </c>
      <c r="G675" s="15" t="s">
        <v>588</v>
      </c>
      <c r="H675" s="18" t="s">
        <v>588</v>
      </c>
      <c r="I675" s="15" t="s">
        <v>382</v>
      </c>
      <c r="J675" s="17" t="s">
        <v>336</v>
      </c>
      <c r="K675" s="17" t="s">
        <v>159</v>
      </c>
      <c r="L675" s="19" t="s">
        <v>159</v>
      </c>
      <c r="M675" s="15" t="s">
        <v>349</v>
      </c>
      <c r="N675" s="17" t="n">
        <v>0</v>
      </c>
      <c r="O675" s="15" t="s">
        <v>339</v>
      </c>
      <c r="P675" s="19" t="s">
        <v>690</v>
      </c>
      <c r="Q675" s="15" t="s">
        <v>691</v>
      </c>
      <c r="R675" s="15" t="s">
        <v>692</v>
      </c>
      <c r="S675" s="15" t="s">
        <v>345</v>
      </c>
      <c r="T675" s="15" t="s">
        <v>341</v>
      </c>
      <c r="U675" s="15" t="s">
        <v>693</v>
      </c>
    </row>
    <row r="676" customFormat="false" ht="19.5" hidden="false" customHeight="true" outlineLevel="0" collapsed="false">
      <c r="A676" s="26" t="n">
        <v>5706</v>
      </c>
      <c r="B676" s="27" t="s">
        <v>2062</v>
      </c>
      <c r="C676" s="30" t="s">
        <v>1230</v>
      </c>
      <c r="D676" s="39" t="n">
        <v>20</v>
      </c>
      <c r="E676" s="30" t="s">
        <v>39</v>
      </c>
      <c r="F676" s="30" t="s">
        <v>39</v>
      </c>
      <c r="G676" s="27" t="s">
        <v>527</v>
      </c>
      <c r="H676" s="40" t="s">
        <v>527</v>
      </c>
      <c r="I676" s="27" t="s">
        <v>467</v>
      </c>
      <c r="J676" s="30" t="s">
        <v>336</v>
      </c>
      <c r="K676" s="30" t="s">
        <v>159</v>
      </c>
      <c r="L676" s="26" t="s">
        <v>159</v>
      </c>
      <c r="M676" s="27" t="s">
        <v>349</v>
      </c>
      <c r="N676" s="30" t="n">
        <v>0</v>
      </c>
      <c r="O676" s="27" t="s">
        <v>339</v>
      </c>
      <c r="P676" s="26" t="s">
        <v>690</v>
      </c>
      <c r="Q676" s="27" t="s">
        <v>691</v>
      </c>
      <c r="R676" s="27" t="s">
        <v>692</v>
      </c>
      <c r="S676" s="27" t="s">
        <v>345</v>
      </c>
      <c r="T676" s="27" t="s">
        <v>341</v>
      </c>
      <c r="U676" s="27" t="s">
        <v>693</v>
      </c>
    </row>
    <row r="677" customFormat="false" ht="19.5" hidden="false" customHeight="true" outlineLevel="0" collapsed="false">
      <c r="A677" s="19" t="n">
        <v>5707</v>
      </c>
      <c r="B677" s="15" t="s">
        <v>2063</v>
      </c>
      <c r="C677" s="17" t="s">
        <v>1172</v>
      </c>
      <c r="D677" s="16" t="n">
        <v>1</v>
      </c>
      <c r="E677" s="17" t="s">
        <v>39</v>
      </c>
      <c r="F677" s="17" t="s">
        <v>39</v>
      </c>
      <c r="G677" s="15" t="s">
        <v>622</v>
      </c>
      <c r="H677" s="18" t="s">
        <v>622</v>
      </c>
      <c r="I677" s="15" t="s">
        <v>459</v>
      </c>
      <c r="J677" s="17" t="s">
        <v>336</v>
      </c>
      <c r="K677" s="17" t="s">
        <v>419</v>
      </c>
      <c r="L677" s="19" t="s">
        <v>419</v>
      </c>
      <c r="M677" s="15" t="s">
        <v>343</v>
      </c>
      <c r="N677" s="17" t="n">
        <v>1802</v>
      </c>
      <c r="O677" s="15" t="s">
        <v>344</v>
      </c>
      <c r="P677" s="19" t="n">
        <v>1802</v>
      </c>
      <c r="Q677" s="15" t="s">
        <v>2064</v>
      </c>
      <c r="R677" s="15" t="s">
        <v>648</v>
      </c>
      <c r="S677" s="15" t="s">
        <v>345</v>
      </c>
      <c r="T677" s="15" t="s">
        <v>341</v>
      </c>
      <c r="U677" s="15" t="s">
        <v>2065</v>
      </c>
    </row>
    <row r="678" customFormat="false" ht="19.5" hidden="false" customHeight="true" outlineLevel="0" collapsed="false">
      <c r="A678" s="26" t="n">
        <v>5708</v>
      </c>
      <c r="B678" s="27" t="s">
        <v>2066</v>
      </c>
      <c r="C678" s="30" t="s">
        <v>287</v>
      </c>
      <c r="D678" s="39" t="n">
        <v>10</v>
      </c>
      <c r="E678" s="30" t="s">
        <v>63</v>
      </c>
      <c r="F678" s="30" t="s">
        <v>63</v>
      </c>
      <c r="G678" s="27" t="s">
        <v>145</v>
      </c>
      <c r="H678" s="40" t="s">
        <v>145</v>
      </c>
      <c r="I678" s="27" t="s">
        <v>342</v>
      </c>
      <c r="J678" s="30" t="s">
        <v>336</v>
      </c>
      <c r="K678" s="30" t="s">
        <v>146</v>
      </c>
      <c r="L678" s="26" t="s">
        <v>146</v>
      </c>
      <c r="M678" s="27" t="s">
        <v>343</v>
      </c>
      <c r="N678" s="30" t="n">
        <v>33217</v>
      </c>
      <c r="O678" s="27" t="s">
        <v>344</v>
      </c>
      <c r="P678" s="26" t="n">
        <v>33217</v>
      </c>
      <c r="Q678" s="27" t="s">
        <v>709</v>
      </c>
      <c r="R678" s="27" t="s">
        <v>648</v>
      </c>
      <c r="S678" s="27" t="s">
        <v>345</v>
      </c>
      <c r="T678" s="27" t="s">
        <v>341</v>
      </c>
      <c r="U678" s="27" t="s">
        <v>710</v>
      </c>
    </row>
    <row r="679" customFormat="false" ht="19.5" hidden="false" customHeight="true" outlineLevel="0" collapsed="false">
      <c r="A679" s="19" t="n">
        <v>5709</v>
      </c>
      <c r="B679" s="15" t="s">
        <v>2067</v>
      </c>
      <c r="C679" s="17" t="s">
        <v>287</v>
      </c>
      <c r="D679" s="16" t="n">
        <v>10</v>
      </c>
      <c r="E679" s="17" t="s">
        <v>63</v>
      </c>
      <c r="F679" s="17" t="s">
        <v>63</v>
      </c>
      <c r="G679" s="15" t="s">
        <v>581</v>
      </c>
      <c r="H679" s="18" t="s">
        <v>581</v>
      </c>
      <c r="I679" s="15" t="s">
        <v>379</v>
      </c>
      <c r="J679" s="17" t="s">
        <v>336</v>
      </c>
      <c r="K679" s="17" t="s">
        <v>530</v>
      </c>
      <c r="L679" s="19" t="s">
        <v>530</v>
      </c>
      <c r="M679" s="15" t="s">
        <v>343</v>
      </c>
      <c r="N679" s="17" t="n">
        <v>31017</v>
      </c>
      <c r="O679" s="15" t="s">
        <v>344</v>
      </c>
      <c r="P679" s="19" t="n">
        <v>31017</v>
      </c>
      <c r="Q679" s="15" t="s">
        <v>2068</v>
      </c>
      <c r="R679" s="15" t="s">
        <v>648</v>
      </c>
      <c r="S679" s="15" t="s">
        <v>345</v>
      </c>
      <c r="T679" s="15" t="s">
        <v>341</v>
      </c>
      <c r="U679" s="15" t="s">
        <v>2069</v>
      </c>
    </row>
    <row r="680" customFormat="false" ht="19.5" hidden="false" customHeight="true" outlineLevel="0" collapsed="false">
      <c r="A680" s="26" t="n">
        <v>5710</v>
      </c>
      <c r="B680" s="27" t="s">
        <v>86</v>
      </c>
      <c r="C680" s="30" t="s">
        <v>260</v>
      </c>
      <c r="D680" s="39" t="n">
        <v>5</v>
      </c>
      <c r="E680" s="30" t="s">
        <v>39</v>
      </c>
      <c r="F680" s="30" t="s">
        <v>39</v>
      </c>
      <c r="G680" s="27" t="s">
        <v>87</v>
      </c>
      <c r="H680" s="40" t="s">
        <v>87</v>
      </c>
      <c r="I680" s="27" t="s">
        <v>355</v>
      </c>
      <c r="J680" s="30" t="s">
        <v>360</v>
      </c>
      <c r="K680" s="30" t="s">
        <v>88</v>
      </c>
      <c r="L680" s="26" t="s">
        <v>48</v>
      </c>
      <c r="M680" s="27" t="s">
        <v>361</v>
      </c>
      <c r="N680" s="30" t="n">
        <v>9407</v>
      </c>
      <c r="O680" s="27" t="s">
        <v>344</v>
      </c>
      <c r="P680" s="26" t="n">
        <v>9407</v>
      </c>
      <c r="Q680" s="27" t="s">
        <v>2070</v>
      </c>
      <c r="R680" s="27" t="s">
        <v>648</v>
      </c>
      <c r="S680" s="27" t="s">
        <v>345</v>
      </c>
      <c r="T680" s="27" t="s">
        <v>341</v>
      </c>
      <c r="U680" s="27" t="s">
        <v>2071</v>
      </c>
    </row>
    <row r="681" customFormat="false" ht="19.5" hidden="false" customHeight="true" outlineLevel="0" collapsed="false">
      <c r="A681" s="19" t="n">
        <v>5711</v>
      </c>
      <c r="B681" s="15" t="s">
        <v>2072</v>
      </c>
      <c r="C681" s="17" t="s">
        <v>1189</v>
      </c>
      <c r="D681" s="16" t="n">
        <v>5</v>
      </c>
      <c r="E681" s="17" t="s">
        <v>39</v>
      </c>
      <c r="F681" s="17" t="s">
        <v>39</v>
      </c>
      <c r="G681" s="15" t="s">
        <v>162</v>
      </c>
      <c r="H681" s="18" t="s">
        <v>162</v>
      </c>
      <c r="I681" s="15" t="s">
        <v>390</v>
      </c>
      <c r="J681" s="17" t="s">
        <v>336</v>
      </c>
      <c r="K681" s="17" t="s">
        <v>163</v>
      </c>
      <c r="L681" s="19" t="s">
        <v>106</v>
      </c>
      <c r="M681" s="15" t="s">
        <v>377</v>
      </c>
      <c r="N681" s="17" t="n">
        <v>0</v>
      </c>
      <c r="O681" s="15" t="s">
        <v>339</v>
      </c>
      <c r="P681" s="19" t="s">
        <v>690</v>
      </c>
      <c r="Q681" s="15" t="s">
        <v>691</v>
      </c>
      <c r="R681" s="15" t="s">
        <v>692</v>
      </c>
      <c r="S681" s="15" t="s">
        <v>370</v>
      </c>
      <c r="T681" s="15" t="s">
        <v>371</v>
      </c>
      <c r="U681" s="15" t="s">
        <v>1092</v>
      </c>
    </row>
    <row r="682" customFormat="false" ht="19.5" hidden="false" customHeight="true" outlineLevel="0" collapsed="false">
      <c r="A682" s="26" t="n">
        <v>5712</v>
      </c>
      <c r="B682" s="27" t="s">
        <v>2073</v>
      </c>
      <c r="C682" s="30" t="s">
        <v>1189</v>
      </c>
      <c r="D682" s="39" t="n">
        <v>5</v>
      </c>
      <c r="E682" s="30" t="s">
        <v>39</v>
      </c>
      <c r="F682" s="30" t="s">
        <v>39</v>
      </c>
      <c r="G682" s="27" t="s">
        <v>465</v>
      </c>
      <c r="H682" s="40" t="s">
        <v>465</v>
      </c>
      <c r="I682" s="27" t="s">
        <v>379</v>
      </c>
      <c r="J682" s="30" t="s">
        <v>336</v>
      </c>
      <c r="K682" s="30" t="s">
        <v>140</v>
      </c>
      <c r="L682" s="26" t="s">
        <v>140</v>
      </c>
      <c r="M682" s="27" t="s">
        <v>343</v>
      </c>
      <c r="N682" s="30" t="n">
        <v>1188593</v>
      </c>
      <c r="O682" s="27" t="s">
        <v>344</v>
      </c>
      <c r="P682" s="26" t="n">
        <v>1188593</v>
      </c>
      <c r="Q682" s="27" t="s">
        <v>2074</v>
      </c>
      <c r="R682" s="27" t="s">
        <v>648</v>
      </c>
      <c r="S682" s="27" t="s">
        <v>345</v>
      </c>
      <c r="T682" s="27" t="s">
        <v>341</v>
      </c>
      <c r="U682" s="27" t="s">
        <v>2075</v>
      </c>
    </row>
    <row r="683" customFormat="false" ht="19.5" hidden="false" customHeight="true" outlineLevel="0" collapsed="false">
      <c r="A683" s="19" t="n">
        <v>5713</v>
      </c>
      <c r="B683" s="15" t="s">
        <v>2076</v>
      </c>
      <c r="C683" s="17" t="s">
        <v>263</v>
      </c>
      <c r="D683" s="16" t="n">
        <v>20</v>
      </c>
      <c r="E683" s="17" t="s">
        <v>39</v>
      </c>
      <c r="F683" s="17" t="s">
        <v>39</v>
      </c>
      <c r="G683" s="15" t="s">
        <v>506</v>
      </c>
      <c r="H683" s="18" t="s">
        <v>506</v>
      </c>
      <c r="I683" s="15" t="s">
        <v>342</v>
      </c>
      <c r="J683" s="17" t="s">
        <v>336</v>
      </c>
      <c r="K683" s="17" t="s">
        <v>111</v>
      </c>
      <c r="L683" s="19" t="s">
        <v>111</v>
      </c>
      <c r="M683" s="15" t="s">
        <v>343</v>
      </c>
      <c r="N683" s="17" t="n">
        <v>7823</v>
      </c>
      <c r="O683" s="15" t="s">
        <v>344</v>
      </c>
      <c r="P683" s="19" t="n">
        <v>7823</v>
      </c>
      <c r="Q683" s="15" t="s">
        <v>2077</v>
      </c>
      <c r="R683" s="15" t="s">
        <v>648</v>
      </c>
      <c r="S683" s="15" t="s">
        <v>345</v>
      </c>
      <c r="T683" s="15" t="s">
        <v>341</v>
      </c>
      <c r="U683" s="15" t="s">
        <v>2078</v>
      </c>
    </row>
    <row r="684" customFormat="false" ht="19.5" hidden="false" customHeight="true" outlineLevel="0" collapsed="false">
      <c r="A684" s="26" t="n">
        <v>5714</v>
      </c>
      <c r="B684" s="27" t="s">
        <v>2079</v>
      </c>
      <c r="C684" s="30" t="s">
        <v>260</v>
      </c>
      <c r="D684" s="39" t="n">
        <v>5</v>
      </c>
      <c r="E684" s="30" t="s">
        <v>39</v>
      </c>
      <c r="F684" s="30" t="s">
        <v>39</v>
      </c>
      <c r="G684" s="27" t="s">
        <v>526</v>
      </c>
      <c r="H684" s="40" t="s">
        <v>526</v>
      </c>
      <c r="I684" s="27" t="s">
        <v>356</v>
      </c>
      <c r="J684" s="30" t="s">
        <v>336</v>
      </c>
      <c r="K684" s="30" t="s">
        <v>82</v>
      </c>
      <c r="L684" s="26" t="s">
        <v>82</v>
      </c>
      <c r="M684" s="27" t="s">
        <v>343</v>
      </c>
      <c r="N684" s="30" t="n">
        <v>1613</v>
      </c>
      <c r="O684" s="27" t="s">
        <v>344</v>
      </c>
      <c r="P684" s="26" t="n">
        <v>1613</v>
      </c>
      <c r="Q684" s="27" t="s">
        <v>2080</v>
      </c>
      <c r="R684" s="27" t="s">
        <v>648</v>
      </c>
      <c r="S684" s="27" t="s">
        <v>345</v>
      </c>
      <c r="T684" s="27" t="s">
        <v>341</v>
      </c>
      <c r="U684" s="27" t="s">
        <v>2081</v>
      </c>
    </row>
    <row r="685" customFormat="false" ht="19.5" hidden="false" customHeight="true" outlineLevel="0" collapsed="false">
      <c r="A685" s="19" t="n">
        <v>5813</v>
      </c>
      <c r="B685" s="15" t="s">
        <v>2082</v>
      </c>
      <c r="C685" s="17" t="s">
        <v>263</v>
      </c>
      <c r="D685" s="16" t="n">
        <v>20</v>
      </c>
      <c r="E685" s="17" t="s">
        <v>39</v>
      </c>
      <c r="F685" s="17" t="s">
        <v>39</v>
      </c>
      <c r="G685" s="15" t="s">
        <v>613</v>
      </c>
      <c r="H685" s="18" t="s">
        <v>613</v>
      </c>
      <c r="I685" s="15" t="s">
        <v>342</v>
      </c>
      <c r="J685" s="17" t="s">
        <v>336</v>
      </c>
      <c r="K685" s="17" t="s">
        <v>111</v>
      </c>
      <c r="L685" s="19" t="s">
        <v>111</v>
      </c>
      <c r="M685" s="15" t="s">
        <v>343</v>
      </c>
      <c r="N685" s="17" t="n">
        <v>18122</v>
      </c>
      <c r="O685" s="15" t="s">
        <v>344</v>
      </c>
      <c r="P685" s="19" t="n">
        <v>18122</v>
      </c>
      <c r="Q685" s="15" t="s">
        <v>2083</v>
      </c>
      <c r="R685" s="15" t="s">
        <v>648</v>
      </c>
      <c r="S685" s="15" t="s">
        <v>345</v>
      </c>
      <c r="T685" s="15" t="s">
        <v>341</v>
      </c>
      <c r="U685" s="15" t="s">
        <v>2084</v>
      </c>
    </row>
    <row r="686" customFormat="false" ht="19.5" hidden="false" customHeight="true" outlineLevel="0" collapsed="false">
      <c r="A686" s="26" t="n">
        <v>5814</v>
      </c>
      <c r="B686" s="27" t="s">
        <v>2085</v>
      </c>
      <c r="C686" s="30" t="s">
        <v>288</v>
      </c>
      <c r="D686" s="39" t="n">
        <v>0.2</v>
      </c>
      <c r="E686" s="30" t="s">
        <v>39</v>
      </c>
      <c r="F686" s="30" t="s">
        <v>39</v>
      </c>
      <c r="G686" s="27" t="s">
        <v>613</v>
      </c>
      <c r="H686" s="40" t="s">
        <v>613</v>
      </c>
      <c r="I686" s="27" t="s">
        <v>342</v>
      </c>
      <c r="J686" s="30" t="s">
        <v>336</v>
      </c>
      <c r="K686" s="30" t="s">
        <v>111</v>
      </c>
      <c r="L686" s="26" t="s">
        <v>111</v>
      </c>
      <c r="M686" s="27" t="s">
        <v>343</v>
      </c>
      <c r="N686" s="30" t="n">
        <v>18122</v>
      </c>
      <c r="O686" s="27" t="s">
        <v>344</v>
      </c>
      <c r="P686" s="26" t="n">
        <v>18122</v>
      </c>
      <c r="Q686" s="27" t="s">
        <v>2083</v>
      </c>
      <c r="R686" s="27" t="s">
        <v>648</v>
      </c>
      <c r="S686" s="27" t="s">
        <v>345</v>
      </c>
      <c r="T686" s="27" t="s">
        <v>341</v>
      </c>
      <c r="U686" s="27" t="s">
        <v>2086</v>
      </c>
    </row>
    <row r="687" customFormat="false" ht="19.5" hidden="false" customHeight="true" outlineLevel="0" collapsed="false">
      <c r="A687" s="19" t="n">
        <v>5841</v>
      </c>
      <c r="B687" s="15" t="s">
        <v>2087</v>
      </c>
      <c r="C687" s="17" t="s">
        <v>263</v>
      </c>
      <c r="D687" s="16" t="n">
        <v>20</v>
      </c>
      <c r="E687" s="17" t="s">
        <v>39</v>
      </c>
      <c r="F687" s="17" t="s">
        <v>39</v>
      </c>
      <c r="G687" s="15" t="s">
        <v>506</v>
      </c>
      <c r="H687" s="18" t="s">
        <v>506</v>
      </c>
      <c r="I687" s="15" t="s">
        <v>342</v>
      </c>
      <c r="J687" s="17" t="s">
        <v>336</v>
      </c>
      <c r="K687" s="17" t="s">
        <v>111</v>
      </c>
      <c r="L687" s="19" t="s">
        <v>111</v>
      </c>
      <c r="M687" s="15" t="s">
        <v>343</v>
      </c>
      <c r="N687" s="17" t="n">
        <v>25423</v>
      </c>
      <c r="O687" s="15" t="s">
        <v>344</v>
      </c>
      <c r="P687" s="19" t="n">
        <v>25423</v>
      </c>
      <c r="Q687" s="15" t="s">
        <v>2088</v>
      </c>
      <c r="R687" s="15" t="s">
        <v>648</v>
      </c>
      <c r="S687" s="15" t="s">
        <v>345</v>
      </c>
      <c r="T687" s="15" t="s">
        <v>341</v>
      </c>
      <c r="U687" s="15" t="s">
        <v>2089</v>
      </c>
    </row>
    <row r="688" customFormat="false" ht="19.5" hidden="false" customHeight="true" outlineLevel="0" collapsed="false">
      <c r="A688" s="26" t="n">
        <v>5842</v>
      </c>
      <c r="B688" s="27" t="s">
        <v>2090</v>
      </c>
      <c r="C688" s="30" t="s">
        <v>288</v>
      </c>
      <c r="D688" s="39" t="n">
        <v>0.2</v>
      </c>
      <c r="E688" s="30" t="s">
        <v>39</v>
      </c>
      <c r="F688" s="30" t="s">
        <v>39</v>
      </c>
      <c r="G688" s="27" t="s">
        <v>506</v>
      </c>
      <c r="H688" s="40" t="s">
        <v>506</v>
      </c>
      <c r="I688" s="27" t="s">
        <v>342</v>
      </c>
      <c r="J688" s="30" t="s">
        <v>336</v>
      </c>
      <c r="K688" s="30" t="s">
        <v>111</v>
      </c>
      <c r="L688" s="26" t="s">
        <v>111</v>
      </c>
      <c r="M688" s="27" t="s">
        <v>343</v>
      </c>
      <c r="N688" s="30" t="n">
        <v>25423</v>
      </c>
      <c r="O688" s="27" t="s">
        <v>344</v>
      </c>
      <c r="P688" s="26" t="n">
        <v>25423</v>
      </c>
      <c r="Q688" s="27" t="s">
        <v>2088</v>
      </c>
      <c r="R688" s="27" t="s">
        <v>648</v>
      </c>
      <c r="S688" s="27" t="s">
        <v>345</v>
      </c>
      <c r="T688" s="27" t="s">
        <v>341</v>
      </c>
      <c r="U688" s="27" t="s">
        <v>2091</v>
      </c>
    </row>
    <row r="689" customFormat="false" ht="19.5" hidden="false" customHeight="true" outlineLevel="0" collapsed="false">
      <c r="A689" s="19" t="n">
        <v>5857</v>
      </c>
      <c r="B689" s="15" t="s">
        <v>2092</v>
      </c>
      <c r="C689" s="17" t="s">
        <v>287</v>
      </c>
      <c r="D689" s="16" t="n">
        <v>10</v>
      </c>
      <c r="E689" s="17" t="s">
        <v>63</v>
      </c>
      <c r="F689" s="17" t="s">
        <v>63</v>
      </c>
      <c r="G689" s="15" t="s">
        <v>145</v>
      </c>
      <c r="H689" s="18" t="s">
        <v>145</v>
      </c>
      <c r="I689" s="15" t="s">
        <v>342</v>
      </c>
      <c r="J689" s="17" t="s">
        <v>336</v>
      </c>
      <c r="K689" s="17" t="s">
        <v>146</v>
      </c>
      <c r="L689" s="19" t="s">
        <v>146</v>
      </c>
      <c r="M689" s="15" t="s">
        <v>343</v>
      </c>
      <c r="N689" s="17" t="n">
        <v>9520</v>
      </c>
      <c r="O689" s="15" t="s">
        <v>344</v>
      </c>
      <c r="P689" s="19" t="n">
        <v>9520</v>
      </c>
      <c r="Q689" s="15" t="s">
        <v>2093</v>
      </c>
      <c r="R689" s="15" t="s">
        <v>648</v>
      </c>
      <c r="S689" s="15" t="s">
        <v>345</v>
      </c>
      <c r="T689" s="15" t="s">
        <v>341</v>
      </c>
      <c r="U689" s="15" t="s">
        <v>2094</v>
      </c>
    </row>
    <row r="690" customFormat="false" ht="19.5" hidden="false" customHeight="true" outlineLevel="0" collapsed="false">
      <c r="A690" s="26" t="n">
        <v>5986</v>
      </c>
      <c r="B690" s="27" t="s">
        <v>2095</v>
      </c>
      <c r="C690" s="30" t="s">
        <v>263</v>
      </c>
      <c r="D690" s="39" t="n">
        <v>20</v>
      </c>
      <c r="E690" s="30" t="s">
        <v>39</v>
      </c>
      <c r="F690" s="30" t="s">
        <v>39</v>
      </c>
      <c r="G690" s="27" t="s">
        <v>611</v>
      </c>
      <c r="H690" s="40" t="s">
        <v>611</v>
      </c>
      <c r="I690" s="27" t="s">
        <v>379</v>
      </c>
      <c r="J690" s="30" t="s">
        <v>336</v>
      </c>
      <c r="K690" s="30" t="s">
        <v>140</v>
      </c>
      <c r="L690" s="26" t="s">
        <v>140</v>
      </c>
      <c r="M690" s="27" t="s">
        <v>343</v>
      </c>
      <c r="N690" s="30" t="n">
        <v>2024</v>
      </c>
      <c r="O690" s="27" t="s">
        <v>344</v>
      </c>
      <c r="P690" s="26" t="n">
        <v>2024</v>
      </c>
      <c r="Q690" s="27" t="s">
        <v>2096</v>
      </c>
      <c r="R690" s="27" t="s">
        <v>648</v>
      </c>
      <c r="S690" s="27" t="s">
        <v>345</v>
      </c>
      <c r="T690" s="27" t="s">
        <v>341</v>
      </c>
      <c r="U690" s="27" t="s">
        <v>2097</v>
      </c>
    </row>
    <row r="691" customFormat="false" ht="19.5" hidden="false" customHeight="true" outlineLevel="0" collapsed="false">
      <c r="A691" s="19" t="n">
        <v>5989</v>
      </c>
      <c r="B691" s="15" t="s">
        <v>2098</v>
      </c>
      <c r="C691" s="17" t="s">
        <v>263</v>
      </c>
      <c r="D691" s="16" t="n">
        <v>20</v>
      </c>
      <c r="E691" s="17" t="s">
        <v>39</v>
      </c>
      <c r="F691" s="17" t="s">
        <v>39</v>
      </c>
      <c r="G691" s="15" t="s">
        <v>611</v>
      </c>
      <c r="H691" s="18" t="s">
        <v>611</v>
      </c>
      <c r="I691" s="15" t="s">
        <v>379</v>
      </c>
      <c r="J691" s="17" t="s">
        <v>336</v>
      </c>
      <c r="K691" s="17" t="s">
        <v>140</v>
      </c>
      <c r="L691" s="19" t="s">
        <v>140</v>
      </c>
      <c r="M691" s="15" t="s">
        <v>343</v>
      </c>
      <c r="N691" s="17" t="n">
        <v>17921</v>
      </c>
      <c r="O691" s="15" t="s">
        <v>344</v>
      </c>
      <c r="P691" s="19" t="n">
        <v>17921</v>
      </c>
      <c r="Q691" s="15" t="s">
        <v>1076</v>
      </c>
      <c r="R691" s="15" t="s">
        <v>648</v>
      </c>
      <c r="S691" s="15" t="s">
        <v>345</v>
      </c>
      <c r="T691" s="15" t="s">
        <v>341</v>
      </c>
      <c r="U691" s="15" t="s">
        <v>1077</v>
      </c>
    </row>
    <row r="692" customFormat="false" ht="19.5" hidden="false" customHeight="true" outlineLevel="0" collapsed="false">
      <c r="A692" s="26" t="n">
        <v>5995</v>
      </c>
      <c r="B692" s="27" t="s">
        <v>2099</v>
      </c>
      <c r="C692" s="30" t="s">
        <v>263</v>
      </c>
      <c r="D692" s="39" t="n">
        <v>20</v>
      </c>
      <c r="E692" s="30" t="s">
        <v>39</v>
      </c>
      <c r="F692" s="30" t="s">
        <v>39</v>
      </c>
      <c r="G692" s="27" t="s">
        <v>40</v>
      </c>
      <c r="H692" s="40" t="s">
        <v>40</v>
      </c>
      <c r="I692" s="27" t="s">
        <v>342</v>
      </c>
      <c r="J692" s="30" t="s">
        <v>336</v>
      </c>
      <c r="K692" s="30" t="s">
        <v>41</v>
      </c>
      <c r="L692" s="26" t="s">
        <v>41</v>
      </c>
      <c r="M692" s="27" t="s">
        <v>343</v>
      </c>
      <c r="N692" s="30" t="n">
        <v>6715</v>
      </c>
      <c r="O692" s="27" t="s">
        <v>344</v>
      </c>
      <c r="P692" s="26" t="n">
        <v>6715</v>
      </c>
      <c r="Q692" s="27" t="s">
        <v>2100</v>
      </c>
      <c r="R692" s="27" t="s">
        <v>648</v>
      </c>
      <c r="S692" s="27" t="s">
        <v>345</v>
      </c>
      <c r="T692" s="27" t="s">
        <v>341</v>
      </c>
      <c r="U692" s="27" t="s">
        <v>2101</v>
      </c>
    </row>
    <row r="693" customFormat="false" ht="19.5" hidden="false" customHeight="true" outlineLevel="0" collapsed="false">
      <c r="A693" s="19" t="n">
        <v>5996</v>
      </c>
      <c r="B693" s="15" t="s">
        <v>2102</v>
      </c>
      <c r="C693" s="17" t="s">
        <v>263</v>
      </c>
      <c r="D693" s="16" t="n">
        <v>20</v>
      </c>
      <c r="E693" s="17" t="s">
        <v>39</v>
      </c>
      <c r="F693" s="17" t="s">
        <v>39</v>
      </c>
      <c r="G693" s="15" t="s">
        <v>506</v>
      </c>
      <c r="H693" s="18" t="s">
        <v>506</v>
      </c>
      <c r="I693" s="15" t="s">
        <v>342</v>
      </c>
      <c r="J693" s="17" t="s">
        <v>336</v>
      </c>
      <c r="K693" s="17" t="s">
        <v>111</v>
      </c>
      <c r="L693" s="19" t="s">
        <v>111</v>
      </c>
      <c r="M693" s="15" t="s">
        <v>343</v>
      </c>
      <c r="N693" s="17" t="n">
        <v>16922</v>
      </c>
      <c r="O693" s="15" t="s">
        <v>344</v>
      </c>
      <c r="P693" s="19" t="n">
        <v>16922</v>
      </c>
      <c r="Q693" s="15" t="s">
        <v>2103</v>
      </c>
      <c r="R693" s="15" t="s">
        <v>648</v>
      </c>
      <c r="S693" s="15" t="s">
        <v>345</v>
      </c>
      <c r="T693" s="15" t="s">
        <v>341</v>
      </c>
      <c r="U693" s="15" t="s">
        <v>2104</v>
      </c>
    </row>
    <row r="694" customFormat="false" ht="19.5" hidden="false" customHeight="true" outlineLevel="0" collapsed="false">
      <c r="A694" s="26" t="n">
        <v>6009</v>
      </c>
      <c r="B694" s="27" t="s">
        <v>2105</v>
      </c>
      <c r="C694" s="30" t="s">
        <v>263</v>
      </c>
      <c r="D694" s="39" t="n">
        <v>20</v>
      </c>
      <c r="E694" s="30" t="s">
        <v>39</v>
      </c>
      <c r="F694" s="30" t="s">
        <v>39</v>
      </c>
      <c r="G694" s="27" t="s">
        <v>506</v>
      </c>
      <c r="H694" s="40" t="s">
        <v>506</v>
      </c>
      <c r="I694" s="27" t="s">
        <v>342</v>
      </c>
      <c r="J694" s="30" t="s">
        <v>336</v>
      </c>
      <c r="K694" s="30" t="s">
        <v>146</v>
      </c>
      <c r="L694" s="26" t="s">
        <v>111</v>
      </c>
      <c r="M694" s="27" t="s">
        <v>343</v>
      </c>
      <c r="N694" s="30" t="n">
        <v>25423</v>
      </c>
      <c r="O694" s="27" t="s">
        <v>344</v>
      </c>
      <c r="P694" s="26" t="n">
        <v>25423</v>
      </c>
      <c r="Q694" s="27" t="s">
        <v>2088</v>
      </c>
      <c r="R694" s="27" t="s">
        <v>648</v>
      </c>
      <c r="S694" s="27" t="s">
        <v>345</v>
      </c>
      <c r="T694" s="27" t="s">
        <v>341</v>
      </c>
      <c r="U694" s="27" t="s">
        <v>2106</v>
      </c>
    </row>
    <row r="695" customFormat="false" ht="19.5" hidden="false" customHeight="true" outlineLevel="0" collapsed="false">
      <c r="A695" s="19" t="n">
        <v>6023</v>
      </c>
      <c r="B695" s="15" t="s">
        <v>2107</v>
      </c>
      <c r="C695" s="17" t="s">
        <v>272</v>
      </c>
      <c r="D695" s="16" t="n">
        <v>5</v>
      </c>
      <c r="E695" s="17" t="s">
        <v>63</v>
      </c>
      <c r="F695" s="17" t="s">
        <v>63</v>
      </c>
      <c r="G695" s="15" t="s">
        <v>358</v>
      </c>
      <c r="H695" s="18" t="s">
        <v>358</v>
      </c>
      <c r="I695" s="15" t="s">
        <v>356</v>
      </c>
      <c r="J695" s="17" t="s">
        <v>336</v>
      </c>
      <c r="K695" s="17" t="s">
        <v>65</v>
      </c>
      <c r="L695" s="19" t="s">
        <v>65</v>
      </c>
      <c r="M695" s="15" t="s">
        <v>343</v>
      </c>
      <c r="N695" s="17" t="n">
        <v>34318</v>
      </c>
      <c r="O695" s="15" t="s">
        <v>344</v>
      </c>
      <c r="P695" s="19" t="n">
        <v>34318</v>
      </c>
      <c r="Q695" s="15" t="s">
        <v>2108</v>
      </c>
      <c r="R695" s="15" t="s">
        <v>648</v>
      </c>
      <c r="S695" s="15" t="s">
        <v>345</v>
      </c>
      <c r="T695" s="15" t="s">
        <v>341</v>
      </c>
      <c r="U695" s="15" t="s">
        <v>2109</v>
      </c>
    </row>
    <row r="696" customFormat="false" ht="19.5" hidden="false" customHeight="true" outlineLevel="0" collapsed="false">
      <c r="A696" s="26" t="n">
        <v>6075</v>
      </c>
      <c r="B696" s="27" t="s">
        <v>2110</v>
      </c>
      <c r="C696" s="30" t="s">
        <v>288</v>
      </c>
      <c r="D696" s="39" t="n">
        <v>0.2</v>
      </c>
      <c r="E696" s="30" t="s">
        <v>39</v>
      </c>
      <c r="F696" s="30" t="s">
        <v>39</v>
      </c>
      <c r="G696" s="27" t="s">
        <v>378</v>
      </c>
      <c r="H696" s="40" t="s">
        <v>378</v>
      </c>
      <c r="I696" s="27" t="s">
        <v>379</v>
      </c>
      <c r="J696" s="30" t="s">
        <v>336</v>
      </c>
      <c r="K696" s="30" t="s">
        <v>140</v>
      </c>
      <c r="L696" s="26" t="s">
        <v>140</v>
      </c>
      <c r="M696" s="27" t="s">
        <v>343</v>
      </c>
      <c r="N696" s="30" t="n">
        <v>9420</v>
      </c>
      <c r="O696" s="27" t="s">
        <v>344</v>
      </c>
      <c r="P696" s="26" t="n">
        <v>9420</v>
      </c>
      <c r="Q696" s="27" t="s">
        <v>1024</v>
      </c>
      <c r="R696" s="27" t="s">
        <v>648</v>
      </c>
      <c r="S696" s="27" t="s">
        <v>345</v>
      </c>
      <c r="T696" s="27" t="s">
        <v>341</v>
      </c>
      <c r="U696" s="27" t="s">
        <v>1025</v>
      </c>
    </row>
    <row r="697" customFormat="false" ht="19.5" hidden="false" customHeight="true" outlineLevel="0" collapsed="false">
      <c r="A697" s="19" t="n">
        <v>6134</v>
      </c>
      <c r="B697" s="15" t="s">
        <v>2111</v>
      </c>
      <c r="C697" s="17" t="s">
        <v>1402</v>
      </c>
      <c r="D697" s="16" t="n">
        <v>1000</v>
      </c>
      <c r="E697" s="17" t="s">
        <v>1403</v>
      </c>
      <c r="F697" s="17" t="s">
        <v>1403</v>
      </c>
      <c r="G697" s="15" t="s">
        <v>493</v>
      </c>
      <c r="H697" s="18" t="s">
        <v>493</v>
      </c>
      <c r="I697" s="15" t="s">
        <v>494</v>
      </c>
      <c r="J697" s="17" t="s">
        <v>336</v>
      </c>
      <c r="K697" s="17" t="s">
        <v>128</v>
      </c>
      <c r="L697" s="19" t="s">
        <v>128</v>
      </c>
      <c r="M697" s="15" t="s">
        <v>349</v>
      </c>
      <c r="N697" s="17" t="n">
        <v>0</v>
      </c>
      <c r="O697" s="15" t="s">
        <v>339</v>
      </c>
      <c r="P697" s="19" t="s">
        <v>690</v>
      </c>
      <c r="Q697" s="15" t="s">
        <v>691</v>
      </c>
      <c r="R697" s="15" t="s">
        <v>692</v>
      </c>
      <c r="S697" s="15" t="s">
        <v>345</v>
      </c>
      <c r="T697" s="15" t="s">
        <v>341</v>
      </c>
      <c r="U697" s="15" t="s">
        <v>693</v>
      </c>
    </row>
    <row r="698" customFormat="false" ht="19.5" hidden="false" customHeight="true" outlineLevel="0" collapsed="false">
      <c r="A698" s="26" t="n">
        <v>6142</v>
      </c>
      <c r="B698" s="27" t="s">
        <v>2112</v>
      </c>
      <c r="C698" s="30" t="s">
        <v>1192</v>
      </c>
      <c r="D698" s="39" t="n">
        <v>0</v>
      </c>
      <c r="E698" s="30" t="s">
        <v>39</v>
      </c>
      <c r="F698" s="30" t="s">
        <v>39</v>
      </c>
      <c r="G698" s="27" t="s">
        <v>468</v>
      </c>
      <c r="H698" s="40" t="s">
        <v>468</v>
      </c>
      <c r="I698" s="27" t="s">
        <v>363</v>
      </c>
      <c r="J698" s="30" t="s">
        <v>336</v>
      </c>
      <c r="K698" s="30" t="s">
        <v>82</v>
      </c>
      <c r="L698" s="26" t="s">
        <v>82</v>
      </c>
      <c r="M698" s="27" t="s">
        <v>352</v>
      </c>
      <c r="N698" s="30" t="n">
        <v>0</v>
      </c>
      <c r="O698" s="27" t="s">
        <v>353</v>
      </c>
      <c r="P698" s="26" t="n">
        <v>14421</v>
      </c>
      <c r="Q698" s="27" t="s">
        <v>1200</v>
      </c>
      <c r="R698" s="27" t="s">
        <v>717</v>
      </c>
      <c r="S698" s="27" t="s">
        <v>340</v>
      </c>
      <c r="T698" s="27" t="s">
        <v>341</v>
      </c>
      <c r="U698" s="27" t="s">
        <v>1201</v>
      </c>
    </row>
    <row r="699" customFormat="false" ht="19.5" hidden="false" customHeight="true" outlineLevel="0" collapsed="false">
      <c r="A699" s="19" t="n">
        <v>6143</v>
      </c>
      <c r="B699" s="15" t="s">
        <v>2113</v>
      </c>
      <c r="C699" s="17" t="s">
        <v>1192</v>
      </c>
      <c r="D699" s="16" t="n">
        <v>0</v>
      </c>
      <c r="E699" s="17" t="s">
        <v>63</v>
      </c>
      <c r="F699" s="17" t="s">
        <v>63</v>
      </c>
      <c r="G699" s="15" t="s">
        <v>538</v>
      </c>
      <c r="H699" s="18" t="s">
        <v>538</v>
      </c>
      <c r="I699" s="15" t="s">
        <v>413</v>
      </c>
      <c r="J699" s="17" t="s">
        <v>336</v>
      </c>
      <c r="K699" s="17" t="s">
        <v>111</v>
      </c>
      <c r="L699" s="19" t="s">
        <v>111</v>
      </c>
      <c r="M699" s="15" t="s">
        <v>352</v>
      </c>
      <c r="N699" s="17" t="n">
        <v>7122</v>
      </c>
      <c r="O699" s="15" t="s">
        <v>344</v>
      </c>
      <c r="P699" s="19" t="n">
        <v>14623</v>
      </c>
      <c r="Q699" s="15" t="s">
        <v>2114</v>
      </c>
      <c r="R699" s="15" t="s">
        <v>702</v>
      </c>
      <c r="S699" s="15" t="s">
        <v>340</v>
      </c>
      <c r="T699" s="15" t="s">
        <v>341</v>
      </c>
      <c r="U699" s="15" t="s">
        <v>2115</v>
      </c>
    </row>
    <row r="700" customFormat="false" ht="19.5" hidden="false" customHeight="true" outlineLevel="0" collapsed="false">
      <c r="A700" s="26" t="n">
        <v>6147</v>
      </c>
      <c r="B700" s="27" t="s">
        <v>2116</v>
      </c>
      <c r="C700" s="30" t="s">
        <v>314</v>
      </c>
      <c r="D700" s="39" t="n">
        <v>20</v>
      </c>
      <c r="E700" s="30" t="s">
        <v>39</v>
      </c>
      <c r="F700" s="30" t="s">
        <v>39</v>
      </c>
      <c r="G700" s="27" t="s">
        <v>614</v>
      </c>
      <c r="H700" s="40" t="s">
        <v>614</v>
      </c>
      <c r="I700" s="27" t="s">
        <v>402</v>
      </c>
      <c r="J700" s="30" t="s">
        <v>336</v>
      </c>
      <c r="K700" s="30" t="s">
        <v>140</v>
      </c>
      <c r="L700" s="26" t="s">
        <v>140</v>
      </c>
      <c r="M700" s="27" t="s">
        <v>352</v>
      </c>
      <c r="N700" s="30" t="n">
        <v>34725</v>
      </c>
      <c r="O700" s="27" t="s">
        <v>344</v>
      </c>
      <c r="P700" s="26" t="n">
        <v>34725</v>
      </c>
      <c r="Q700" s="27" t="s">
        <v>2117</v>
      </c>
      <c r="R700" s="27" t="s">
        <v>648</v>
      </c>
      <c r="S700" s="27" t="s">
        <v>340</v>
      </c>
      <c r="T700" s="27" t="s">
        <v>341</v>
      </c>
      <c r="U700" s="27" t="s">
        <v>2118</v>
      </c>
    </row>
    <row r="701" customFormat="false" ht="19.5" hidden="false" customHeight="true" outlineLevel="0" collapsed="false">
      <c r="A701" s="19" t="n">
        <v>6148</v>
      </c>
      <c r="B701" s="15" t="s">
        <v>2119</v>
      </c>
      <c r="C701" s="17" t="s">
        <v>1192</v>
      </c>
      <c r="D701" s="16" t="n">
        <v>0</v>
      </c>
      <c r="E701" s="17" t="s">
        <v>39</v>
      </c>
      <c r="F701" s="17" t="s">
        <v>39</v>
      </c>
      <c r="G701" s="15" t="s">
        <v>574</v>
      </c>
      <c r="H701" s="18" t="s">
        <v>574</v>
      </c>
      <c r="I701" s="15" t="s">
        <v>413</v>
      </c>
      <c r="J701" s="17" t="s">
        <v>336</v>
      </c>
      <c r="K701" s="17" t="s">
        <v>82</v>
      </c>
      <c r="L701" s="19" t="s">
        <v>111</v>
      </c>
      <c r="M701" s="15" t="s">
        <v>352</v>
      </c>
      <c r="N701" s="17" t="n">
        <v>7122</v>
      </c>
      <c r="O701" s="15" t="s">
        <v>344</v>
      </c>
      <c r="P701" s="19" t="n">
        <v>1838604</v>
      </c>
      <c r="Q701" s="15" t="s">
        <v>2120</v>
      </c>
      <c r="R701" s="15" t="s">
        <v>702</v>
      </c>
      <c r="S701" s="15" t="s">
        <v>340</v>
      </c>
      <c r="T701" s="15" t="s">
        <v>341</v>
      </c>
      <c r="U701" s="15" t="s">
        <v>2121</v>
      </c>
    </row>
    <row r="702" customFormat="false" ht="19.5" hidden="false" customHeight="true" outlineLevel="0" collapsed="false">
      <c r="A702" s="26" t="n">
        <v>6149</v>
      </c>
      <c r="B702" s="27" t="s">
        <v>2122</v>
      </c>
      <c r="C702" s="30" t="s">
        <v>1192</v>
      </c>
      <c r="D702" s="39" t="n">
        <v>0</v>
      </c>
      <c r="E702" s="30" t="s">
        <v>39</v>
      </c>
      <c r="F702" s="30" t="s">
        <v>39</v>
      </c>
      <c r="G702" s="27" t="s">
        <v>435</v>
      </c>
      <c r="H702" s="40" t="s">
        <v>435</v>
      </c>
      <c r="I702" s="27" t="s">
        <v>402</v>
      </c>
      <c r="J702" s="30" t="s">
        <v>336</v>
      </c>
      <c r="K702" s="30" t="s">
        <v>82</v>
      </c>
      <c r="L702" s="26" t="s">
        <v>140</v>
      </c>
      <c r="M702" s="27" t="s">
        <v>352</v>
      </c>
      <c r="N702" s="30" t="n">
        <v>7122</v>
      </c>
      <c r="O702" s="27" t="s">
        <v>344</v>
      </c>
      <c r="P702" s="26" t="n">
        <v>40024</v>
      </c>
      <c r="Q702" s="27" t="s">
        <v>2123</v>
      </c>
      <c r="R702" s="27" t="s">
        <v>702</v>
      </c>
      <c r="S702" s="27" t="s">
        <v>340</v>
      </c>
      <c r="T702" s="27" t="s">
        <v>341</v>
      </c>
      <c r="U702" s="27" t="s">
        <v>2124</v>
      </c>
    </row>
    <row r="703" customFormat="false" ht="19.5" hidden="false" customHeight="true" outlineLevel="0" collapsed="false">
      <c r="A703" s="19" t="n">
        <v>6154</v>
      </c>
      <c r="B703" s="15" t="s">
        <v>2125</v>
      </c>
      <c r="C703" s="17" t="s">
        <v>1192</v>
      </c>
      <c r="D703" s="16" t="n">
        <v>0</v>
      </c>
      <c r="E703" s="17" t="s">
        <v>63</v>
      </c>
      <c r="F703" s="17" t="s">
        <v>63</v>
      </c>
      <c r="G703" s="15" t="s">
        <v>538</v>
      </c>
      <c r="H703" s="18" t="s">
        <v>538</v>
      </c>
      <c r="I703" s="15" t="s">
        <v>413</v>
      </c>
      <c r="J703" s="17" t="s">
        <v>336</v>
      </c>
      <c r="K703" s="17" t="s">
        <v>82</v>
      </c>
      <c r="L703" s="19" t="s">
        <v>111</v>
      </c>
      <c r="M703" s="15" t="s">
        <v>352</v>
      </c>
      <c r="N703" s="17" t="n">
        <v>7122</v>
      </c>
      <c r="O703" s="15" t="s">
        <v>344</v>
      </c>
      <c r="P703" s="19" t="n">
        <v>14623</v>
      </c>
      <c r="Q703" s="15" t="s">
        <v>2114</v>
      </c>
      <c r="R703" s="15" t="s">
        <v>702</v>
      </c>
      <c r="S703" s="15" t="s">
        <v>340</v>
      </c>
      <c r="T703" s="15" t="s">
        <v>341</v>
      </c>
      <c r="U703" s="15" t="s">
        <v>2126</v>
      </c>
    </row>
    <row r="704" customFormat="false" ht="19.5" hidden="false" customHeight="true" outlineLevel="0" collapsed="false">
      <c r="A704" s="26" t="n">
        <v>6155</v>
      </c>
      <c r="B704" s="27" t="s">
        <v>2127</v>
      </c>
      <c r="C704" s="30" t="s">
        <v>1192</v>
      </c>
      <c r="D704" s="39" t="n">
        <v>0</v>
      </c>
      <c r="E704" s="30" t="s">
        <v>39</v>
      </c>
      <c r="F704" s="30" t="s">
        <v>39</v>
      </c>
      <c r="G704" s="27" t="s">
        <v>597</v>
      </c>
      <c r="H704" s="40" t="s">
        <v>597</v>
      </c>
      <c r="I704" s="27" t="s">
        <v>413</v>
      </c>
      <c r="J704" s="30" t="s">
        <v>336</v>
      </c>
      <c r="K704" s="30" t="s">
        <v>82</v>
      </c>
      <c r="L704" s="26" t="s">
        <v>111</v>
      </c>
      <c r="M704" s="27" t="s">
        <v>352</v>
      </c>
      <c r="N704" s="30" t="n">
        <v>7122</v>
      </c>
      <c r="O704" s="27" t="s">
        <v>344</v>
      </c>
      <c r="P704" s="26" t="n">
        <v>24925</v>
      </c>
      <c r="Q704" s="27" t="s">
        <v>2128</v>
      </c>
      <c r="R704" s="27" t="s">
        <v>702</v>
      </c>
      <c r="S704" s="27" t="s">
        <v>340</v>
      </c>
      <c r="T704" s="27" t="s">
        <v>341</v>
      </c>
      <c r="U704" s="27" t="s">
        <v>2129</v>
      </c>
    </row>
    <row r="705" customFormat="false" ht="19.5" hidden="false" customHeight="true" outlineLevel="0" collapsed="false">
      <c r="A705" s="19" t="n">
        <v>6158</v>
      </c>
      <c r="B705" s="15" t="s">
        <v>2130</v>
      </c>
      <c r="C705" s="17" t="s">
        <v>263</v>
      </c>
      <c r="D705" s="16" t="n">
        <v>20</v>
      </c>
      <c r="E705" s="17" t="s">
        <v>39</v>
      </c>
      <c r="F705" s="17" t="s">
        <v>39</v>
      </c>
      <c r="G705" s="15" t="s">
        <v>612</v>
      </c>
      <c r="H705" s="18" t="s">
        <v>612</v>
      </c>
      <c r="I705" s="15" t="s">
        <v>379</v>
      </c>
      <c r="J705" s="17" t="s">
        <v>336</v>
      </c>
      <c r="K705" s="17" t="s">
        <v>140</v>
      </c>
      <c r="L705" s="19" t="s">
        <v>140</v>
      </c>
      <c r="M705" s="15" t="s">
        <v>343</v>
      </c>
      <c r="N705" s="17" t="n">
        <v>4810</v>
      </c>
      <c r="O705" s="15" t="s">
        <v>344</v>
      </c>
      <c r="P705" s="19" t="n">
        <v>4810</v>
      </c>
      <c r="Q705" s="15" t="s">
        <v>2056</v>
      </c>
      <c r="R705" s="15" t="s">
        <v>648</v>
      </c>
      <c r="S705" s="15" t="s">
        <v>345</v>
      </c>
      <c r="T705" s="15" t="s">
        <v>341</v>
      </c>
      <c r="U705" s="15" t="s">
        <v>2057</v>
      </c>
    </row>
    <row r="706" customFormat="false" ht="19.5" hidden="false" customHeight="true" outlineLevel="0" collapsed="false">
      <c r="A706" s="26" t="n">
        <v>6159</v>
      </c>
      <c r="B706" s="27" t="s">
        <v>2131</v>
      </c>
      <c r="C706" s="30" t="s">
        <v>1082</v>
      </c>
      <c r="D706" s="39" t="n">
        <v>1000</v>
      </c>
      <c r="E706" s="30" t="s">
        <v>39</v>
      </c>
      <c r="F706" s="30" t="s">
        <v>39</v>
      </c>
      <c r="G706" s="27" t="s">
        <v>612</v>
      </c>
      <c r="H706" s="40" t="s">
        <v>612</v>
      </c>
      <c r="I706" s="27" t="s">
        <v>379</v>
      </c>
      <c r="J706" s="30" t="s">
        <v>336</v>
      </c>
      <c r="K706" s="30" t="s">
        <v>140</v>
      </c>
      <c r="L706" s="26" t="s">
        <v>140</v>
      </c>
      <c r="M706" s="27" t="s">
        <v>343</v>
      </c>
      <c r="N706" s="30" t="n">
        <v>4810</v>
      </c>
      <c r="O706" s="27" t="s">
        <v>344</v>
      </c>
      <c r="P706" s="26" t="n">
        <v>4810</v>
      </c>
      <c r="Q706" s="27" t="s">
        <v>2056</v>
      </c>
      <c r="R706" s="27" t="s">
        <v>648</v>
      </c>
      <c r="S706" s="27" t="s">
        <v>345</v>
      </c>
      <c r="T706" s="27" t="s">
        <v>341</v>
      </c>
      <c r="U706" s="27" t="s">
        <v>2057</v>
      </c>
    </row>
    <row r="707" customFormat="false" ht="19.5" hidden="false" customHeight="true" outlineLevel="0" collapsed="false">
      <c r="A707" s="19" t="n">
        <v>6166</v>
      </c>
      <c r="B707" s="15" t="s">
        <v>2132</v>
      </c>
      <c r="C707" s="17" t="s">
        <v>2133</v>
      </c>
      <c r="D707" s="16" t="n">
        <v>1097</v>
      </c>
      <c r="E707" s="17" t="s">
        <v>63</v>
      </c>
      <c r="F707" s="17" t="s">
        <v>63</v>
      </c>
      <c r="G707" s="15" t="s">
        <v>451</v>
      </c>
      <c r="H707" s="18" t="s">
        <v>451</v>
      </c>
      <c r="I707" s="15" t="s">
        <v>452</v>
      </c>
      <c r="J707" s="17" t="s">
        <v>336</v>
      </c>
      <c r="K707" s="17" t="s">
        <v>453</v>
      </c>
      <c r="L707" s="19" t="s">
        <v>453</v>
      </c>
      <c r="M707" s="15" t="s">
        <v>338</v>
      </c>
      <c r="N707" s="17" t="n">
        <v>0</v>
      </c>
      <c r="O707" s="15" t="s">
        <v>339</v>
      </c>
      <c r="P707" s="19" t="s">
        <v>690</v>
      </c>
      <c r="Q707" s="15" t="s">
        <v>691</v>
      </c>
      <c r="R707" s="15" t="s">
        <v>692</v>
      </c>
      <c r="S707" s="15" t="s">
        <v>340</v>
      </c>
      <c r="T707" s="15" t="s">
        <v>341</v>
      </c>
      <c r="U707" s="15" t="s">
        <v>939</v>
      </c>
    </row>
    <row r="708" customFormat="false" ht="19.5" hidden="false" customHeight="true" outlineLevel="0" collapsed="false">
      <c r="A708" s="26" t="n">
        <v>6179</v>
      </c>
      <c r="B708" s="27" t="s">
        <v>2134</v>
      </c>
      <c r="C708" s="30" t="s">
        <v>1192</v>
      </c>
      <c r="D708" s="39" t="n">
        <v>0</v>
      </c>
      <c r="E708" s="30" t="s">
        <v>63</v>
      </c>
      <c r="F708" s="30" t="s">
        <v>63</v>
      </c>
      <c r="G708" s="27" t="s">
        <v>478</v>
      </c>
      <c r="H708" s="40" t="s">
        <v>478</v>
      </c>
      <c r="I708" s="27" t="s">
        <v>413</v>
      </c>
      <c r="J708" s="30" t="s">
        <v>336</v>
      </c>
      <c r="K708" s="30" t="s">
        <v>111</v>
      </c>
      <c r="L708" s="26" t="s">
        <v>479</v>
      </c>
      <c r="M708" s="27" t="s">
        <v>352</v>
      </c>
      <c r="N708" s="30" t="n">
        <v>13520</v>
      </c>
      <c r="O708" s="27" t="s">
        <v>344</v>
      </c>
      <c r="P708" s="26" t="n">
        <v>27025</v>
      </c>
      <c r="Q708" s="27" t="s">
        <v>2135</v>
      </c>
      <c r="R708" s="27" t="s">
        <v>702</v>
      </c>
      <c r="S708" s="27" t="s">
        <v>340</v>
      </c>
      <c r="T708" s="27" t="s">
        <v>341</v>
      </c>
      <c r="U708" s="27" t="s">
        <v>2136</v>
      </c>
    </row>
    <row r="709" customFormat="false" ht="19.5" hidden="false" customHeight="true" outlineLevel="0" collapsed="false">
      <c r="A709" s="19" t="n">
        <v>6182</v>
      </c>
      <c r="B709" s="15" t="s">
        <v>2137</v>
      </c>
      <c r="C709" s="17" t="s">
        <v>1192</v>
      </c>
      <c r="D709" s="16" t="n">
        <v>0</v>
      </c>
      <c r="E709" s="17" t="s">
        <v>39</v>
      </c>
      <c r="F709" s="17" t="s">
        <v>39</v>
      </c>
      <c r="G709" s="15" t="s">
        <v>586</v>
      </c>
      <c r="H709" s="18" t="s">
        <v>586</v>
      </c>
      <c r="I709" s="15" t="s">
        <v>363</v>
      </c>
      <c r="J709" s="17" t="s">
        <v>336</v>
      </c>
      <c r="K709" s="17" t="s">
        <v>82</v>
      </c>
      <c r="L709" s="19" t="s">
        <v>82</v>
      </c>
      <c r="M709" s="15" t="s">
        <v>352</v>
      </c>
      <c r="N709" s="17" t="n">
        <v>36419</v>
      </c>
      <c r="O709" s="15" t="s">
        <v>353</v>
      </c>
      <c r="P709" s="19" t="s">
        <v>1193</v>
      </c>
      <c r="Q709" s="15" t="s">
        <v>2138</v>
      </c>
      <c r="R709" s="15" t="s">
        <v>702</v>
      </c>
      <c r="S709" s="15" t="s">
        <v>340</v>
      </c>
      <c r="T709" s="15" t="s">
        <v>341</v>
      </c>
      <c r="U709" s="15" t="s">
        <v>2139</v>
      </c>
    </row>
    <row r="710" customFormat="false" ht="19.5" hidden="false" customHeight="true" outlineLevel="0" collapsed="false">
      <c r="A710" s="26" t="n">
        <v>6183</v>
      </c>
      <c r="B710" s="27" t="s">
        <v>2140</v>
      </c>
      <c r="C710" s="30" t="s">
        <v>1192</v>
      </c>
      <c r="D710" s="39" t="n">
        <v>0</v>
      </c>
      <c r="E710" s="30" t="s">
        <v>63</v>
      </c>
      <c r="F710" s="30" t="s">
        <v>63</v>
      </c>
      <c r="G710" s="27" t="s">
        <v>362</v>
      </c>
      <c r="H710" s="40" t="s">
        <v>362</v>
      </c>
      <c r="I710" s="27" t="s">
        <v>363</v>
      </c>
      <c r="J710" s="30" t="s">
        <v>336</v>
      </c>
      <c r="K710" s="30" t="s">
        <v>82</v>
      </c>
      <c r="L710" s="26" t="s">
        <v>82</v>
      </c>
      <c r="M710" s="27" t="s">
        <v>352</v>
      </c>
      <c r="N710" s="30" t="n">
        <v>1218</v>
      </c>
      <c r="O710" s="27" t="s">
        <v>344</v>
      </c>
      <c r="P710" s="26" t="n">
        <v>32518</v>
      </c>
      <c r="Q710" s="27" t="s">
        <v>2141</v>
      </c>
      <c r="R710" s="27" t="s">
        <v>702</v>
      </c>
      <c r="S710" s="27" t="s">
        <v>340</v>
      </c>
      <c r="T710" s="27" t="s">
        <v>341</v>
      </c>
      <c r="U710" s="27" t="s">
        <v>2142</v>
      </c>
    </row>
    <row r="711" customFormat="false" ht="19.5" hidden="false" customHeight="true" outlineLevel="0" collapsed="false">
      <c r="A711" s="19" t="n">
        <v>6184</v>
      </c>
      <c r="B711" s="15" t="s">
        <v>131</v>
      </c>
      <c r="C711" s="17" t="s">
        <v>1192</v>
      </c>
      <c r="D711" s="16" t="n">
        <v>0</v>
      </c>
      <c r="E711" s="17" t="s">
        <v>63</v>
      </c>
      <c r="F711" s="17" t="s">
        <v>63</v>
      </c>
      <c r="G711" s="15" t="s">
        <v>132</v>
      </c>
      <c r="H711" s="18" t="s">
        <v>2143</v>
      </c>
      <c r="I711" s="15" t="s">
        <v>413</v>
      </c>
      <c r="J711" s="17" t="s">
        <v>336</v>
      </c>
      <c r="K711" s="17" t="s">
        <v>111</v>
      </c>
      <c r="L711" s="19" t="s">
        <v>111</v>
      </c>
      <c r="M711" s="15" t="s">
        <v>352</v>
      </c>
      <c r="N711" s="17" t="n">
        <v>13520</v>
      </c>
      <c r="O711" s="15" t="s">
        <v>353</v>
      </c>
      <c r="P711" s="19" t="s">
        <v>1193</v>
      </c>
      <c r="Q711" s="15" t="s">
        <v>2144</v>
      </c>
      <c r="R711" s="15" t="s">
        <v>702</v>
      </c>
      <c r="S711" s="15" t="s">
        <v>340</v>
      </c>
      <c r="T711" s="15" t="s">
        <v>341</v>
      </c>
      <c r="U711" s="15" t="s">
        <v>2145</v>
      </c>
    </row>
    <row r="712" customFormat="false" ht="19.5" hidden="false" customHeight="true" outlineLevel="0" collapsed="false">
      <c r="A712" s="26" t="n">
        <v>6185</v>
      </c>
      <c r="B712" s="27" t="s">
        <v>2146</v>
      </c>
      <c r="C712" s="30" t="s">
        <v>1192</v>
      </c>
      <c r="D712" s="39" t="n">
        <v>0</v>
      </c>
      <c r="E712" s="30" t="s">
        <v>39</v>
      </c>
      <c r="F712" s="30" t="s">
        <v>39</v>
      </c>
      <c r="G712" s="27" t="s">
        <v>132</v>
      </c>
      <c r="H712" s="40" t="s">
        <v>132</v>
      </c>
      <c r="I712" s="27" t="s">
        <v>363</v>
      </c>
      <c r="J712" s="30" t="s">
        <v>360</v>
      </c>
      <c r="K712" s="30" t="s">
        <v>82</v>
      </c>
      <c r="L712" s="26" t="s">
        <v>51</v>
      </c>
      <c r="M712" s="27" t="s">
        <v>361</v>
      </c>
      <c r="N712" s="30" t="n">
        <v>19120</v>
      </c>
      <c r="O712" s="27" t="s">
        <v>353</v>
      </c>
      <c r="P712" s="26" t="s">
        <v>1193</v>
      </c>
      <c r="Q712" s="27" t="s">
        <v>2147</v>
      </c>
      <c r="R712" s="27" t="s">
        <v>702</v>
      </c>
      <c r="S712" s="27" t="s">
        <v>340</v>
      </c>
      <c r="T712" s="27" t="s">
        <v>341</v>
      </c>
      <c r="U712" s="27" t="s">
        <v>2148</v>
      </c>
    </row>
    <row r="713" customFormat="false" ht="19.5" hidden="false" customHeight="true" outlineLevel="0" collapsed="false">
      <c r="A713" s="19" t="n">
        <v>6186</v>
      </c>
      <c r="B713" s="15" t="s">
        <v>2149</v>
      </c>
      <c r="C713" s="17" t="s">
        <v>1192</v>
      </c>
      <c r="D713" s="16" t="n">
        <v>0</v>
      </c>
      <c r="E713" s="17" t="s">
        <v>39</v>
      </c>
      <c r="F713" s="17" t="s">
        <v>39</v>
      </c>
      <c r="G713" s="15" t="s">
        <v>393</v>
      </c>
      <c r="H713" s="18" t="s">
        <v>393</v>
      </c>
      <c r="I713" s="15" t="s">
        <v>356</v>
      </c>
      <c r="J713" s="17" t="s">
        <v>360</v>
      </c>
      <c r="K713" s="17" t="s">
        <v>82</v>
      </c>
      <c r="L713" s="19" t="s">
        <v>51</v>
      </c>
      <c r="M713" s="15" t="s">
        <v>361</v>
      </c>
      <c r="N713" s="17" t="n">
        <v>19120</v>
      </c>
      <c r="O713" s="15" t="s">
        <v>353</v>
      </c>
      <c r="P713" s="19" t="s">
        <v>1193</v>
      </c>
      <c r="Q713" s="15" t="s">
        <v>2147</v>
      </c>
      <c r="R713" s="15" t="s">
        <v>702</v>
      </c>
      <c r="S713" s="15" t="s">
        <v>345</v>
      </c>
      <c r="T713" s="15" t="s">
        <v>341</v>
      </c>
      <c r="U713" s="15" t="s">
        <v>2150</v>
      </c>
    </row>
    <row r="714" customFormat="false" ht="19.5" hidden="false" customHeight="true" outlineLevel="0" collapsed="false">
      <c r="A714" s="26" t="n">
        <v>6187</v>
      </c>
      <c r="B714" s="27" t="s">
        <v>2151</v>
      </c>
      <c r="C714" s="30" t="s">
        <v>1192</v>
      </c>
      <c r="D714" s="39" t="n">
        <v>0</v>
      </c>
      <c r="E714" s="30" t="s">
        <v>63</v>
      </c>
      <c r="F714" s="30" t="s">
        <v>63</v>
      </c>
      <c r="G714" s="27" t="s">
        <v>507</v>
      </c>
      <c r="H714" s="40" t="s">
        <v>507</v>
      </c>
      <c r="I714" s="27" t="s">
        <v>413</v>
      </c>
      <c r="J714" s="30" t="s">
        <v>336</v>
      </c>
      <c r="K714" s="30" t="s">
        <v>111</v>
      </c>
      <c r="L714" s="26" t="s">
        <v>111</v>
      </c>
      <c r="M714" s="27" t="s">
        <v>352</v>
      </c>
      <c r="N714" s="30" t="n">
        <v>0</v>
      </c>
      <c r="O714" s="27" t="s">
        <v>353</v>
      </c>
      <c r="P714" s="26" t="s">
        <v>1193</v>
      </c>
      <c r="Q714" s="27" t="s">
        <v>1194</v>
      </c>
      <c r="R714" s="27" t="s">
        <v>717</v>
      </c>
      <c r="S714" s="27" t="s">
        <v>340</v>
      </c>
      <c r="T714" s="27" t="s">
        <v>341</v>
      </c>
      <c r="U714" s="27" t="s">
        <v>1195</v>
      </c>
    </row>
    <row r="715" customFormat="false" ht="19.5" hidden="false" customHeight="true" outlineLevel="0" collapsed="false">
      <c r="A715" s="19" t="n">
        <v>6188</v>
      </c>
      <c r="B715" s="15" t="s">
        <v>2152</v>
      </c>
      <c r="C715" s="17" t="s">
        <v>314</v>
      </c>
      <c r="D715" s="16" t="n">
        <v>20</v>
      </c>
      <c r="E715" s="17" t="s">
        <v>39</v>
      </c>
      <c r="F715" s="17" t="s">
        <v>39</v>
      </c>
      <c r="G715" s="15" t="s">
        <v>598</v>
      </c>
      <c r="H715" s="18" t="s">
        <v>598</v>
      </c>
      <c r="I715" s="15" t="s">
        <v>413</v>
      </c>
      <c r="J715" s="17" t="s">
        <v>336</v>
      </c>
      <c r="K715" s="17" t="s">
        <v>111</v>
      </c>
      <c r="L715" s="19" t="s">
        <v>111</v>
      </c>
      <c r="M715" s="15" t="s">
        <v>352</v>
      </c>
      <c r="N715" s="17" t="n">
        <v>27922</v>
      </c>
      <c r="O715" s="15" t="s">
        <v>344</v>
      </c>
      <c r="P715" s="19" t="n">
        <v>24925</v>
      </c>
      <c r="Q715" s="15" t="s">
        <v>2128</v>
      </c>
      <c r="R715" s="15" t="s">
        <v>702</v>
      </c>
      <c r="S715" s="15" t="s">
        <v>340</v>
      </c>
      <c r="T715" s="15" t="s">
        <v>341</v>
      </c>
      <c r="U715" s="15" t="s">
        <v>2153</v>
      </c>
    </row>
    <row r="716" customFormat="false" ht="19.5" hidden="false" customHeight="true" outlineLevel="0" collapsed="false">
      <c r="A716" s="26" t="n">
        <v>6189</v>
      </c>
      <c r="B716" s="27" t="s">
        <v>2154</v>
      </c>
      <c r="C716" s="30" t="s">
        <v>1192</v>
      </c>
      <c r="D716" s="39" t="n">
        <v>0</v>
      </c>
      <c r="E716" s="30" t="s">
        <v>39</v>
      </c>
      <c r="F716" s="30" t="s">
        <v>39</v>
      </c>
      <c r="G716" s="27" t="s">
        <v>427</v>
      </c>
      <c r="H716" s="40" t="s">
        <v>427</v>
      </c>
      <c r="I716" s="27" t="s">
        <v>402</v>
      </c>
      <c r="J716" s="30" t="s">
        <v>336</v>
      </c>
      <c r="K716" s="30" t="s">
        <v>140</v>
      </c>
      <c r="L716" s="26" t="s">
        <v>140</v>
      </c>
      <c r="M716" s="27" t="s">
        <v>352</v>
      </c>
      <c r="N716" s="30" t="n">
        <v>0</v>
      </c>
      <c r="O716" s="27" t="s">
        <v>353</v>
      </c>
      <c r="P716" s="26" t="s">
        <v>1193</v>
      </c>
      <c r="Q716" s="27" t="s">
        <v>1194</v>
      </c>
      <c r="R716" s="27" t="s">
        <v>717</v>
      </c>
      <c r="S716" s="27" t="s">
        <v>340</v>
      </c>
      <c r="T716" s="27" t="s">
        <v>341</v>
      </c>
      <c r="U716" s="27" t="s">
        <v>1195</v>
      </c>
    </row>
    <row r="717" customFormat="false" ht="19.5" hidden="false" customHeight="true" outlineLevel="0" collapsed="false">
      <c r="A717" s="19" t="n">
        <v>6197</v>
      </c>
      <c r="B717" s="15" t="s">
        <v>612</v>
      </c>
      <c r="C717" s="17" t="s">
        <v>314</v>
      </c>
      <c r="D717" s="16" t="n">
        <v>20</v>
      </c>
      <c r="E717" s="17" t="s">
        <v>39</v>
      </c>
      <c r="F717" s="17" t="s">
        <v>39</v>
      </c>
      <c r="G717" s="15" t="s">
        <v>612</v>
      </c>
      <c r="H717" s="18" t="s">
        <v>612</v>
      </c>
      <c r="I717" s="15" t="s">
        <v>379</v>
      </c>
      <c r="J717" s="17" t="s">
        <v>336</v>
      </c>
      <c r="K717" s="17" t="s">
        <v>140</v>
      </c>
      <c r="L717" s="19" t="s">
        <v>140</v>
      </c>
      <c r="M717" s="15" t="s">
        <v>343</v>
      </c>
      <c r="N717" s="17" t="n">
        <v>17921</v>
      </c>
      <c r="O717" s="15" t="s">
        <v>344</v>
      </c>
      <c r="P717" s="19" t="n">
        <v>4810</v>
      </c>
      <c r="Q717" s="15" t="s">
        <v>2155</v>
      </c>
      <c r="R717" s="15" t="s">
        <v>702</v>
      </c>
      <c r="S717" s="15" t="s">
        <v>345</v>
      </c>
      <c r="T717" s="15" t="s">
        <v>341</v>
      </c>
      <c r="U717" s="15" t="s">
        <v>2156</v>
      </c>
    </row>
    <row r="718" customFormat="false" ht="19.5" hidden="false" customHeight="true" outlineLevel="0" collapsed="false">
      <c r="A718" s="26" t="n">
        <v>6202</v>
      </c>
      <c r="B718" s="27" t="s">
        <v>2157</v>
      </c>
      <c r="C718" s="30" t="s">
        <v>1192</v>
      </c>
      <c r="D718" s="39" t="n">
        <v>0</v>
      </c>
      <c r="E718" s="30" t="s">
        <v>39</v>
      </c>
      <c r="F718" s="30" t="s">
        <v>39</v>
      </c>
      <c r="G718" s="27" t="s">
        <v>605</v>
      </c>
      <c r="H718" s="40" t="s">
        <v>605</v>
      </c>
      <c r="I718" s="27" t="s">
        <v>402</v>
      </c>
      <c r="J718" s="30" t="s">
        <v>336</v>
      </c>
      <c r="K718" s="30" t="s">
        <v>140</v>
      </c>
      <c r="L718" s="26" t="s">
        <v>140</v>
      </c>
      <c r="M718" s="27" t="s">
        <v>352</v>
      </c>
      <c r="N718" s="30" t="n">
        <v>0</v>
      </c>
      <c r="O718" s="27" t="s">
        <v>353</v>
      </c>
      <c r="P718" s="26" t="s">
        <v>1193</v>
      </c>
      <c r="Q718" s="27" t="s">
        <v>1194</v>
      </c>
      <c r="R718" s="27" t="s">
        <v>717</v>
      </c>
      <c r="S718" s="27" t="s">
        <v>340</v>
      </c>
      <c r="T718" s="27" t="s">
        <v>341</v>
      </c>
      <c r="U718" s="27" t="s">
        <v>1195</v>
      </c>
    </row>
    <row r="719" customFormat="false" ht="19.5" hidden="false" customHeight="true" outlineLevel="0" collapsed="false">
      <c r="A719" s="19" t="n">
        <v>6227</v>
      </c>
      <c r="B719" s="15" t="s">
        <v>2158</v>
      </c>
      <c r="C719" s="17" t="s">
        <v>1402</v>
      </c>
      <c r="D719" s="16" t="n">
        <v>1000</v>
      </c>
      <c r="E719" s="17" t="s">
        <v>1403</v>
      </c>
      <c r="F719" s="17" t="s">
        <v>1403</v>
      </c>
      <c r="G719" s="15" t="s">
        <v>466</v>
      </c>
      <c r="H719" s="18" t="s">
        <v>466</v>
      </c>
      <c r="I719" s="15" t="s">
        <v>421</v>
      </c>
      <c r="J719" s="17" t="s">
        <v>336</v>
      </c>
      <c r="K719" s="17" t="s">
        <v>1536</v>
      </c>
      <c r="L719" s="19" t="s">
        <v>1536</v>
      </c>
      <c r="M719" s="15" t="s">
        <v>349</v>
      </c>
      <c r="N719" s="17" t="n">
        <v>0</v>
      </c>
      <c r="O719" s="15" t="s">
        <v>339</v>
      </c>
      <c r="P719" s="19" t="s">
        <v>690</v>
      </c>
      <c r="Q719" s="15" t="s">
        <v>691</v>
      </c>
      <c r="R719" s="15" t="s">
        <v>692</v>
      </c>
      <c r="S719" s="15" t="s">
        <v>345</v>
      </c>
      <c r="T719" s="15" t="s">
        <v>341</v>
      </c>
      <c r="U719" s="15" t="s">
        <v>693</v>
      </c>
    </row>
    <row r="720" customFormat="false" ht="19.5" hidden="false" customHeight="true" outlineLevel="0" collapsed="false">
      <c r="A720" s="26" t="n">
        <v>6259</v>
      </c>
      <c r="B720" s="27" t="s">
        <v>2159</v>
      </c>
      <c r="C720" s="30" t="s">
        <v>272</v>
      </c>
      <c r="D720" s="39" t="n">
        <v>5</v>
      </c>
      <c r="E720" s="30" t="s">
        <v>63</v>
      </c>
      <c r="F720" s="30" t="s">
        <v>63</v>
      </c>
      <c r="G720" s="27" t="s">
        <v>470</v>
      </c>
      <c r="H720" s="40" t="s">
        <v>470</v>
      </c>
      <c r="I720" s="27" t="s">
        <v>469</v>
      </c>
      <c r="J720" s="30" t="s">
        <v>336</v>
      </c>
      <c r="K720" s="30" t="s">
        <v>82</v>
      </c>
      <c r="L720" s="26" t="s">
        <v>82</v>
      </c>
      <c r="M720" s="27" t="s">
        <v>343</v>
      </c>
      <c r="N720" s="30" t="n">
        <v>27717</v>
      </c>
      <c r="O720" s="27" t="s">
        <v>344</v>
      </c>
      <c r="P720" s="26" t="n">
        <v>27717</v>
      </c>
      <c r="Q720" s="27" t="s">
        <v>1323</v>
      </c>
      <c r="R720" s="27" t="s">
        <v>648</v>
      </c>
      <c r="S720" s="27" t="s">
        <v>345</v>
      </c>
      <c r="T720" s="27" t="s">
        <v>341</v>
      </c>
      <c r="U720" s="27" t="s">
        <v>2160</v>
      </c>
    </row>
    <row r="721" customFormat="false" ht="19.5" hidden="false" customHeight="true" outlineLevel="0" collapsed="false">
      <c r="A721" s="19" t="n">
        <v>6260</v>
      </c>
      <c r="B721" s="15" t="s">
        <v>2161</v>
      </c>
      <c r="C721" s="17" t="s">
        <v>1112</v>
      </c>
      <c r="D721" s="16" t="n">
        <v>1</v>
      </c>
      <c r="E721" s="17" t="s">
        <v>63</v>
      </c>
      <c r="F721" s="17" t="s">
        <v>63</v>
      </c>
      <c r="G721" s="15" t="s">
        <v>470</v>
      </c>
      <c r="H721" s="18" t="s">
        <v>470</v>
      </c>
      <c r="I721" s="15" t="s">
        <v>469</v>
      </c>
      <c r="J721" s="17" t="s">
        <v>336</v>
      </c>
      <c r="K721" s="17" t="s">
        <v>82</v>
      </c>
      <c r="L721" s="19" t="s">
        <v>82</v>
      </c>
      <c r="M721" s="15" t="s">
        <v>343</v>
      </c>
      <c r="N721" s="17" t="n">
        <v>27717</v>
      </c>
      <c r="O721" s="15" t="s">
        <v>344</v>
      </c>
      <c r="P721" s="19" t="n">
        <v>27717</v>
      </c>
      <c r="Q721" s="15" t="s">
        <v>1323</v>
      </c>
      <c r="R721" s="15" t="s">
        <v>648</v>
      </c>
      <c r="S721" s="15" t="s">
        <v>345</v>
      </c>
      <c r="T721" s="15" t="s">
        <v>341</v>
      </c>
      <c r="U721" s="15" t="s">
        <v>2160</v>
      </c>
    </row>
    <row r="722" customFormat="false" ht="19.5" hidden="false" customHeight="true" outlineLevel="0" collapsed="false">
      <c r="A722" s="26" t="n">
        <v>6263</v>
      </c>
      <c r="B722" s="27" t="s">
        <v>2162</v>
      </c>
      <c r="C722" s="30" t="s">
        <v>1402</v>
      </c>
      <c r="D722" s="39" t="n">
        <v>1000</v>
      </c>
      <c r="E722" s="30" t="s">
        <v>1403</v>
      </c>
      <c r="F722" s="30" t="s">
        <v>1403</v>
      </c>
      <c r="G722" s="27" t="s">
        <v>493</v>
      </c>
      <c r="H722" s="40" t="s">
        <v>493</v>
      </c>
      <c r="I722" s="27" t="s">
        <v>494</v>
      </c>
      <c r="J722" s="30" t="s">
        <v>336</v>
      </c>
      <c r="K722" s="30" t="s">
        <v>128</v>
      </c>
      <c r="L722" s="26" t="s">
        <v>128</v>
      </c>
      <c r="M722" s="27" t="s">
        <v>349</v>
      </c>
      <c r="N722" s="30" t="n">
        <v>0</v>
      </c>
      <c r="O722" s="27" t="s">
        <v>339</v>
      </c>
      <c r="P722" s="26" t="s">
        <v>690</v>
      </c>
      <c r="Q722" s="27" t="s">
        <v>691</v>
      </c>
      <c r="R722" s="27" t="s">
        <v>692</v>
      </c>
      <c r="S722" s="27" t="s">
        <v>345</v>
      </c>
      <c r="T722" s="27" t="s">
        <v>341</v>
      </c>
      <c r="U722" s="27" t="s">
        <v>693</v>
      </c>
    </row>
    <row r="723" customFormat="false" ht="19.5" hidden="false" customHeight="true" outlineLevel="0" collapsed="false">
      <c r="A723" s="19" t="n">
        <v>6264</v>
      </c>
      <c r="B723" s="15" t="s">
        <v>2163</v>
      </c>
      <c r="C723" s="17" t="s">
        <v>1402</v>
      </c>
      <c r="D723" s="16" t="n">
        <v>1000</v>
      </c>
      <c r="E723" s="17" t="s">
        <v>1403</v>
      </c>
      <c r="F723" s="17" t="s">
        <v>1403</v>
      </c>
      <c r="G723" s="15" t="s">
        <v>566</v>
      </c>
      <c r="H723" s="18" t="s">
        <v>566</v>
      </c>
      <c r="I723" s="15" t="s">
        <v>560</v>
      </c>
      <c r="J723" s="17" t="s">
        <v>336</v>
      </c>
      <c r="K723" s="17" t="s">
        <v>578</v>
      </c>
      <c r="L723" s="19" t="s">
        <v>578</v>
      </c>
      <c r="M723" s="15" t="s">
        <v>349</v>
      </c>
      <c r="N723" s="17" t="n">
        <v>0</v>
      </c>
      <c r="O723" s="15" t="s">
        <v>339</v>
      </c>
      <c r="P723" s="19" t="s">
        <v>690</v>
      </c>
      <c r="Q723" s="15" t="s">
        <v>691</v>
      </c>
      <c r="R723" s="15" t="s">
        <v>692</v>
      </c>
      <c r="S723" s="15" t="s">
        <v>345</v>
      </c>
      <c r="T723" s="15" t="s">
        <v>341</v>
      </c>
      <c r="U723" s="15" t="s">
        <v>693</v>
      </c>
    </row>
    <row r="724" customFormat="false" ht="19.5" hidden="false" customHeight="true" outlineLevel="0" collapsed="false">
      <c r="A724" s="26" t="n">
        <v>6265</v>
      </c>
      <c r="B724" s="27" t="s">
        <v>2164</v>
      </c>
      <c r="C724" s="30" t="s">
        <v>1402</v>
      </c>
      <c r="D724" s="39" t="n">
        <v>1000</v>
      </c>
      <c r="E724" s="30" t="s">
        <v>1403</v>
      </c>
      <c r="F724" s="30" t="s">
        <v>1403</v>
      </c>
      <c r="G724" s="27" t="s">
        <v>420</v>
      </c>
      <c r="H724" s="40" t="s">
        <v>420</v>
      </c>
      <c r="I724" s="27" t="s">
        <v>421</v>
      </c>
      <c r="J724" s="30" t="s">
        <v>336</v>
      </c>
      <c r="K724" s="30" t="s">
        <v>1536</v>
      </c>
      <c r="L724" s="26" t="s">
        <v>1536</v>
      </c>
      <c r="M724" s="27" t="s">
        <v>349</v>
      </c>
      <c r="N724" s="30" t="n">
        <v>0</v>
      </c>
      <c r="O724" s="27" t="s">
        <v>339</v>
      </c>
      <c r="P724" s="26" t="s">
        <v>690</v>
      </c>
      <c r="Q724" s="27" t="s">
        <v>691</v>
      </c>
      <c r="R724" s="27" t="s">
        <v>692</v>
      </c>
      <c r="S724" s="27" t="s">
        <v>345</v>
      </c>
      <c r="T724" s="27" t="s">
        <v>341</v>
      </c>
      <c r="U724" s="27" t="s">
        <v>693</v>
      </c>
    </row>
    <row r="725" customFormat="false" ht="19.5" hidden="false" customHeight="true" outlineLevel="0" collapsed="false">
      <c r="A725" s="19" t="n">
        <v>6266</v>
      </c>
      <c r="B725" s="15" t="s">
        <v>2165</v>
      </c>
      <c r="C725" s="17" t="s">
        <v>1402</v>
      </c>
      <c r="D725" s="16" t="n">
        <v>1000</v>
      </c>
      <c r="E725" s="17" t="s">
        <v>1403</v>
      </c>
      <c r="F725" s="17" t="s">
        <v>1403</v>
      </c>
      <c r="G725" s="15" t="s">
        <v>602</v>
      </c>
      <c r="H725" s="18" t="s">
        <v>602</v>
      </c>
      <c r="I725" s="15" t="s">
        <v>347</v>
      </c>
      <c r="J725" s="17" t="s">
        <v>336</v>
      </c>
      <c r="K725" s="17" t="s">
        <v>348</v>
      </c>
      <c r="L725" s="19" t="s">
        <v>348</v>
      </c>
      <c r="M725" s="15" t="s">
        <v>349</v>
      </c>
      <c r="N725" s="17" t="n">
        <v>0</v>
      </c>
      <c r="O725" s="15" t="s">
        <v>339</v>
      </c>
      <c r="P725" s="19" t="s">
        <v>690</v>
      </c>
      <c r="Q725" s="15" t="s">
        <v>691</v>
      </c>
      <c r="R725" s="15" t="s">
        <v>692</v>
      </c>
      <c r="S725" s="15" t="s">
        <v>345</v>
      </c>
      <c r="T725" s="15" t="s">
        <v>341</v>
      </c>
      <c r="U725" s="15" t="s">
        <v>693</v>
      </c>
    </row>
    <row r="726" customFormat="false" ht="19.5" hidden="false" customHeight="true" outlineLevel="0" collapsed="false">
      <c r="A726" s="26" t="n">
        <v>6275</v>
      </c>
      <c r="B726" s="27" t="s">
        <v>2166</v>
      </c>
      <c r="C726" s="30" t="s">
        <v>1140</v>
      </c>
      <c r="D726" s="39" t="n">
        <v>1000</v>
      </c>
      <c r="E726" s="30" t="s">
        <v>63</v>
      </c>
      <c r="F726" s="30" t="s">
        <v>63</v>
      </c>
      <c r="G726" s="27" t="s">
        <v>466</v>
      </c>
      <c r="H726" s="40" t="s">
        <v>466</v>
      </c>
      <c r="I726" s="27" t="s">
        <v>421</v>
      </c>
      <c r="J726" s="30" t="s">
        <v>336</v>
      </c>
      <c r="K726" s="30" t="s">
        <v>1536</v>
      </c>
      <c r="L726" s="26" t="s">
        <v>1536</v>
      </c>
      <c r="M726" s="27" t="s">
        <v>349</v>
      </c>
      <c r="N726" s="30" t="n">
        <v>0</v>
      </c>
      <c r="O726" s="27" t="s">
        <v>339</v>
      </c>
      <c r="P726" s="26" t="s">
        <v>690</v>
      </c>
      <c r="Q726" s="27" t="s">
        <v>691</v>
      </c>
      <c r="R726" s="27" t="s">
        <v>692</v>
      </c>
      <c r="S726" s="27" t="s">
        <v>345</v>
      </c>
      <c r="T726" s="27" t="s">
        <v>341</v>
      </c>
      <c r="U726" s="27" t="s">
        <v>693</v>
      </c>
    </row>
    <row r="727" customFormat="false" ht="19.5" hidden="false" customHeight="true" outlineLevel="0" collapsed="false">
      <c r="A727" s="19" t="n">
        <v>6278</v>
      </c>
      <c r="B727" s="15" t="s">
        <v>2167</v>
      </c>
      <c r="C727" s="17" t="s">
        <v>2168</v>
      </c>
      <c r="D727" s="16" t="n">
        <v>1000</v>
      </c>
      <c r="E727" s="17" t="s">
        <v>39</v>
      </c>
      <c r="F727" s="17" t="s">
        <v>39</v>
      </c>
      <c r="G727" s="15" t="s">
        <v>468</v>
      </c>
      <c r="H727" s="18" t="s">
        <v>468</v>
      </c>
      <c r="I727" s="15" t="s">
        <v>469</v>
      </c>
      <c r="J727" s="17" t="s">
        <v>336</v>
      </c>
      <c r="K727" s="17" t="s">
        <v>82</v>
      </c>
      <c r="L727" s="19" t="s">
        <v>82</v>
      </c>
      <c r="M727" s="15" t="s">
        <v>343</v>
      </c>
      <c r="N727" s="17" t="n">
        <v>14421</v>
      </c>
      <c r="O727" s="15" t="s">
        <v>344</v>
      </c>
      <c r="P727" s="19" t="n">
        <v>14421</v>
      </c>
      <c r="Q727" s="15" t="s">
        <v>1271</v>
      </c>
      <c r="R727" s="15" t="s">
        <v>648</v>
      </c>
      <c r="S727" s="15" t="s">
        <v>345</v>
      </c>
      <c r="T727" s="15" t="s">
        <v>341</v>
      </c>
      <c r="U727" s="15" t="s">
        <v>2169</v>
      </c>
    </row>
    <row r="728" customFormat="false" ht="19.5" hidden="false" customHeight="true" outlineLevel="0" collapsed="false">
      <c r="A728" s="26" t="n">
        <v>6282</v>
      </c>
      <c r="B728" s="27" t="s">
        <v>2170</v>
      </c>
      <c r="C728" s="30" t="s">
        <v>1192</v>
      </c>
      <c r="D728" s="39" t="n">
        <v>0</v>
      </c>
      <c r="E728" s="30" t="s">
        <v>63</v>
      </c>
      <c r="F728" s="30" t="s">
        <v>63</v>
      </c>
      <c r="G728" s="27" t="s">
        <v>532</v>
      </c>
      <c r="H728" s="40" t="s">
        <v>532</v>
      </c>
      <c r="I728" s="27" t="s">
        <v>402</v>
      </c>
      <c r="J728" s="30" t="s">
        <v>336</v>
      </c>
      <c r="K728" s="30" t="s">
        <v>530</v>
      </c>
      <c r="L728" s="26" t="s">
        <v>530</v>
      </c>
      <c r="M728" s="27" t="s">
        <v>352</v>
      </c>
      <c r="N728" s="30" t="n">
        <v>11819</v>
      </c>
      <c r="O728" s="27" t="s">
        <v>344</v>
      </c>
      <c r="P728" s="26" t="n">
        <v>11819</v>
      </c>
      <c r="Q728" s="27" t="s">
        <v>1350</v>
      </c>
      <c r="R728" s="27" t="s">
        <v>648</v>
      </c>
      <c r="S728" s="27" t="s">
        <v>340</v>
      </c>
      <c r="T728" s="27" t="s">
        <v>341</v>
      </c>
      <c r="U728" s="27" t="s">
        <v>2171</v>
      </c>
    </row>
    <row r="729" customFormat="false" ht="19.5" hidden="false" customHeight="true" outlineLevel="0" collapsed="false">
      <c r="A729" s="19" t="n">
        <v>6285</v>
      </c>
      <c r="B729" s="15" t="s">
        <v>2172</v>
      </c>
      <c r="C729" s="17" t="s">
        <v>1230</v>
      </c>
      <c r="D729" s="16" t="n">
        <v>20</v>
      </c>
      <c r="E729" s="17" t="s">
        <v>39</v>
      </c>
      <c r="F729" s="17" t="s">
        <v>39</v>
      </c>
      <c r="G729" s="15" t="s">
        <v>599</v>
      </c>
      <c r="H729" s="18" t="s">
        <v>599</v>
      </c>
      <c r="I729" s="15" t="s">
        <v>342</v>
      </c>
      <c r="J729" s="17" t="s">
        <v>336</v>
      </c>
      <c r="K729" s="17" t="s">
        <v>111</v>
      </c>
      <c r="L729" s="19" t="s">
        <v>111</v>
      </c>
      <c r="M729" s="15" t="s">
        <v>343</v>
      </c>
      <c r="N729" s="17" t="n">
        <v>28925</v>
      </c>
      <c r="O729" s="15" t="s">
        <v>344</v>
      </c>
      <c r="P729" s="19" t="n">
        <v>28925</v>
      </c>
      <c r="Q729" s="15" t="s">
        <v>2173</v>
      </c>
      <c r="R729" s="15" t="s">
        <v>648</v>
      </c>
      <c r="S729" s="15" t="s">
        <v>345</v>
      </c>
      <c r="T729" s="15" t="s">
        <v>341</v>
      </c>
      <c r="U729" s="15" t="s">
        <v>2174</v>
      </c>
    </row>
    <row r="730" customFormat="false" ht="19.5" hidden="false" customHeight="true" outlineLevel="0" collapsed="false">
      <c r="A730" s="26" t="n">
        <v>6286</v>
      </c>
      <c r="B730" s="27" t="s">
        <v>2175</v>
      </c>
      <c r="C730" s="30" t="s">
        <v>763</v>
      </c>
      <c r="D730" s="39" t="n">
        <v>10</v>
      </c>
      <c r="E730" s="30" t="s">
        <v>39</v>
      </c>
      <c r="F730" s="30" t="s">
        <v>39</v>
      </c>
      <c r="G730" s="27" t="s">
        <v>44</v>
      </c>
      <c r="H730" s="40" t="s">
        <v>44</v>
      </c>
      <c r="I730" s="27" t="s">
        <v>356</v>
      </c>
      <c r="J730" s="30" t="s">
        <v>360</v>
      </c>
      <c r="K730" s="30" t="s">
        <v>51</v>
      </c>
      <c r="L730" s="26" t="s">
        <v>51</v>
      </c>
      <c r="M730" s="27" t="s">
        <v>361</v>
      </c>
      <c r="N730" s="30" t="n">
        <v>2020</v>
      </c>
      <c r="O730" s="27" t="s">
        <v>344</v>
      </c>
      <c r="P730" s="26" t="n">
        <v>2020</v>
      </c>
      <c r="Q730" s="27" t="s">
        <v>984</v>
      </c>
      <c r="R730" s="27" t="s">
        <v>648</v>
      </c>
      <c r="S730" s="27" t="s">
        <v>345</v>
      </c>
      <c r="T730" s="27" t="s">
        <v>341</v>
      </c>
      <c r="U730" s="27" t="s">
        <v>985</v>
      </c>
    </row>
    <row r="731" customFormat="false" ht="19.5" hidden="false" customHeight="true" outlineLevel="0" collapsed="false">
      <c r="A731" s="19" t="n">
        <v>6289</v>
      </c>
      <c r="B731" s="15" t="s">
        <v>2176</v>
      </c>
      <c r="C731" s="17" t="s">
        <v>1192</v>
      </c>
      <c r="D731" s="16" t="n">
        <v>0</v>
      </c>
      <c r="E731" s="17" t="s">
        <v>63</v>
      </c>
      <c r="F731" s="17" t="s">
        <v>63</v>
      </c>
      <c r="G731" s="15" t="s">
        <v>515</v>
      </c>
      <c r="H731" s="18" t="s">
        <v>515</v>
      </c>
      <c r="I731" s="15" t="s">
        <v>363</v>
      </c>
      <c r="J731" s="17" t="s">
        <v>336</v>
      </c>
      <c r="K731" s="17" t="s">
        <v>82</v>
      </c>
      <c r="L731" s="19" t="s">
        <v>82</v>
      </c>
      <c r="M731" s="15" t="s">
        <v>352</v>
      </c>
      <c r="N731" s="17" t="n">
        <v>2710</v>
      </c>
      <c r="O731" s="15" t="s">
        <v>344</v>
      </c>
      <c r="P731" s="19" t="n">
        <v>2710</v>
      </c>
      <c r="Q731" s="15" t="s">
        <v>2177</v>
      </c>
      <c r="R731" s="15" t="s">
        <v>648</v>
      </c>
      <c r="S731" s="15" t="s">
        <v>340</v>
      </c>
      <c r="T731" s="15" t="s">
        <v>341</v>
      </c>
      <c r="U731" s="15" t="s">
        <v>2178</v>
      </c>
    </row>
    <row r="732" customFormat="false" ht="19.5" hidden="false" customHeight="true" outlineLevel="0" collapsed="false">
      <c r="A732" s="26" t="n">
        <v>6296</v>
      </c>
      <c r="B732" s="27" t="s">
        <v>2179</v>
      </c>
      <c r="C732" s="30" t="s">
        <v>1793</v>
      </c>
      <c r="D732" s="39" t="n">
        <v>10</v>
      </c>
      <c r="E732" s="30" t="s">
        <v>63</v>
      </c>
      <c r="F732" s="30" t="s">
        <v>63</v>
      </c>
      <c r="G732" s="27" t="s">
        <v>145</v>
      </c>
      <c r="H732" s="40" t="s">
        <v>145</v>
      </c>
      <c r="I732" s="27" t="s">
        <v>342</v>
      </c>
      <c r="J732" s="30" t="s">
        <v>336</v>
      </c>
      <c r="K732" s="30" t="s">
        <v>146</v>
      </c>
      <c r="L732" s="26" t="s">
        <v>146</v>
      </c>
      <c r="M732" s="27" t="s">
        <v>343</v>
      </c>
      <c r="N732" s="30" t="n">
        <v>2820</v>
      </c>
      <c r="O732" s="27" t="s">
        <v>344</v>
      </c>
      <c r="P732" s="26" t="n">
        <v>2820</v>
      </c>
      <c r="Q732" s="27" t="s">
        <v>2180</v>
      </c>
      <c r="R732" s="27" t="s">
        <v>648</v>
      </c>
      <c r="S732" s="27" t="s">
        <v>345</v>
      </c>
      <c r="T732" s="27" t="s">
        <v>341</v>
      </c>
      <c r="U732" s="27" t="s">
        <v>2181</v>
      </c>
    </row>
    <row r="733" customFormat="false" ht="19.5" hidden="false" customHeight="true" outlineLevel="0" collapsed="false">
      <c r="A733" s="19" t="n">
        <v>6297</v>
      </c>
      <c r="B733" s="15" t="s">
        <v>2182</v>
      </c>
      <c r="C733" s="17" t="s">
        <v>1192</v>
      </c>
      <c r="D733" s="16" t="n">
        <v>0</v>
      </c>
      <c r="E733" s="17" t="s">
        <v>39</v>
      </c>
      <c r="F733" s="17" t="s">
        <v>39</v>
      </c>
      <c r="G733" s="15" t="s">
        <v>599</v>
      </c>
      <c r="H733" s="18" t="s">
        <v>599</v>
      </c>
      <c r="I733" s="15" t="s">
        <v>413</v>
      </c>
      <c r="J733" s="17" t="s">
        <v>336</v>
      </c>
      <c r="K733" s="17" t="s">
        <v>111</v>
      </c>
      <c r="L733" s="19" t="s">
        <v>111</v>
      </c>
      <c r="M733" s="15" t="s">
        <v>352</v>
      </c>
      <c r="N733" s="17" t="n">
        <v>18723</v>
      </c>
      <c r="O733" s="15" t="s">
        <v>344</v>
      </c>
      <c r="P733" s="19" t="n">
        <v>18723</v>
      </c>
      <c r="Q733" s="15" t="s">
        <v>2183</v>
      </c>
      <c r="R733" s="15" t="s">
        <v>648</v>
      </c>
      <c r="S733" s="15" t="s">
        <v>340</v>
      </c>
      <c r="T733" s="15" t="s">
        <v>341</v>
      </c>
      <c r="U733" s="15" t="s">
        <v>2184</v>
      </c>
    </row>
    <row r="734" customFormat="false" ht="19.5" hidden="false" customHeight="true" outlineLevel="0" collapsed="false">
      <c r="A734" s="26" t="n">
        <v>6298</v>
      </c>
      <c r="B734" s="27" t="s">
        <v>2185</v>
      </c>
      <c r="C734" s="30" t="s">
        <v>1192</v>
      </c>
      <c r="D734" s="39" t="n">
        <v>0</v>
      </c>
      <c r="E734" s="30" t="s">
        <v>63</v>
      </c>
      <c r="F734" s="30" t="s">
        <v>63</v>
      </c>
      <c r="G734" s="27" t="s">
        <v>513</v>
      </c>
      <c r="H734" s="40" t="s">
        <v>513</v>
      </c>
      <c r="I734" s="27" t="s">
        <v>413</v>
      </c>
      <c r="J734" s="30" t="s">
        <v>336</v>
      </c>
      <c r="K734" s="30" t="s">
        <v>111</v>
      </c>
      <c r="L734" s="26" t="s">
        <v>479</v>
      </c>
      <c r="M734" s="27" t="s">
        <v>352</v>
      </c>
      <c r="N734" s="30" t="n">
        <v>13520</v>
      </c>
      <c r="O734" s="27" t="s">
        <v>344</v>
      </c>
      <c r="P734" s="26" t="n">
        <v>14518</v>
      </c>
      <c r="Q734" s="27" t="s">
        <v>2186</v>
      </c>
      <c r="R734" s="27" t="s">
        <v>702</v>
      </c>
      <c r="S734" s="27" t="s">
        <v>340</v>
      </c>
      <c r="T734" s="27" t="s">
        <v>341</v>
      </c>
      <c r="U734" s="27" t="s">
        <v>2187</v>
      </c>
    </row>
    <row r="735" customFormat="false" ht="19.5" hidden="false" customHeight="true" outlineLevel="0" collapsed="false">
      <c r="A735" s="19" t="n">
        <v>6299</v>
      </c>
      <c r="B735" s="15" t="s">
        <v>2188</v>
      </c>
      <c r="C735" s="17" t="s">
        <v>1192</v>
      </c>
      <c r="D735" s="16" t="n">
        <v>0</v>
      </c>
      <c r="E735" s="17" t="s">
        <v>39</v>
      </c>
      <c r="F735" s="17" t="s">
        <v>39</v>
      </c>
      <c r="G735" s="15" t="s">
        <v>152</v>
      </c>
      <c r="H735" s="18" t="s">
        <v>152</v>
      </c>
      <c r="I735" s="15" t="s">
        <v>379</v>
      </c>
      <c r="J735" s="17" t="s">
        <v>336</v>
      </c>
      <c r="K735" s="17" t="s">
        <v>140</v>
      </c>
      <c r="L735" s="19" t="s">
        <v>140</v>
      </c>
      <c r="M735" s="15" t="s">
        <v>343</v>
      </c>
      <c r="N735" s="17" t="n">
        <v>9210</v>
      </c>
      <c r="O735" s="15" t="s">
        <v>344</v>
      </c>
      <c r="P735" s="19" t="n">
        <v>9210</v>
      </c>
      <c r="Q735" s="15" t="s">
        <v>2189</v>
      </c>
      <c r="R735" s="15" t="s">
        <v>648</v>
      </c>
      <c r="S735" s="15" t="s">
        <v>345</v>
      </c>
      <c r="T735" s="15" t="s">
        <v>341</v>
      </c>
      <c r="U735" s="15" t="s">
        <v>2190</v>
      </c>
    </row>
    <row r="736" customFormat="false" ht="19.5" hidden="false" customHeight="true" outlineLevel="0" collapsed="false">
      <c r="A736" s="26" t="n">
        <v>6304</v>
      </c>
      <c r="B736" s="27" t="s">
        <v>2191</v>
      </c>
      <c r="C736" s="30" t="s">
        <v>1402</v>
      </c>
      <c r="D736" s="39" t="n">
        <v>1000</v>
      </c>
      <c r="E736" s="30" t="s">
        <v>1403</v>
      </c>
      <c r="F736" s="30" t="s">
        <v>1403</v>
      </c>
      <c r="G736" s="27" t="s">
        <v>495</v>
      </c>
      <c r="H736" s="40" t="s">
        <v>495</v>
      </c>
      <c r="I736" s="27" t="s">
        <v>347</v>
      </c>
      <c r="J736" s="30" t="s">
        <v>336</v>
      </c>
      <c r="K736" s="30" t="s">
        <v>496</v>
      </c>
      <c r="L736" s="26" t="s">
        <v>496</v>
      </c>
      <c r="M736" s="27" t="s">
        <v>349</v>
      </c>
      <c r="N736" s="30" t="n">
        <v>0</v>
      </c>
      <c r="O736" s="27" t="s">
        <v>339</v>
      </c>
      <c r="P736" s="26" t="s">
        <v>690</v>
      </c>
      <c r="Q736" s="27" t="s">
        <v>691</v>
      </c>
      <c r="R736" s="27" t="s">
        <v>692</v>
      </c>
      <c r="S736" s="27" t="s">
        <v>345</v>
      </c>
      <c r="T736" s="27" t="s">
        <v>341</v>
      </c>
      <c r="U736" s="27" t="s">
        <v>693</v>
      </c>
    </row>
    <row r="737" customFormat="false" ht="19.5" hidden="false" customHeight="true" outlineLevel="0" collapsed="false">
      <c r="A737" s="19" t="n">
        <v>6305</v>
      </c>
      <c r="B737" s="15" t="s">
        <v>2192</v>
      </c>
      <c r="C737" s="17" t="s">
        <v>314</v>
      </c>
      <c r="D737" s="16" t="n">
        <v>25</v>
      </c>
      <c r="E737" s="17" t="s">
        <v>63</v>
      </c>
      <c r="F737" s="17" t="s">
        <v>63</v>
      </c>
      <c r="G737" s="15" t="s">
        <v>614</v>
      </c>
      <c r="H737" s="18" t="s">
        <v>614</v>
      </c>
      <c r="I737" s="15" t="s">
        <v>379</v>
      </c>
      <c r="J737" s="17" t="s">
        <v>336</v>
      </c>
      <c r="K737" s="17" t="s">
        <v>111</v>
      </c>
      <c r="L737" s="19" t="s">
        <v>140</v>
      </c>
      <c r="M737" s="15" t="s">
        <v>343</v>
      </c>
      <c r="N737" s="17" t="n">
        <v>34725</v>
      </c>
      <c r="O737" s="15" t="s">
        <v>344</v>
      </c>
      <c r="P737" s="19" t="n">
        <v>34725</v>
      </c>
      <c r="Q737" s="15" t="s">
        <v>2117</v>
      </c>
      <c r="R737" s="15" t="s">
        <v>648</v>
      </c>
      <c r="S737" s="15" t="s">
        <v>345</v>
      </c>
      <c r="T737" s="15" t="s">
        <v>341</v>
      </c>
      <c r="U737" s="15" t="s">
        <v>2193</v>
      </c>
    </row>
    <row r="738" customFormat="false" ht="19.5" hidden="false" customHeight="true" outlineLevel="0" collapsed="false">
      <c r="A738" s="26" t="n">
        <v>6318</v>
      </c>
      <c r="B738" s="27" t="s">
        <v>2194</v>
      </c>
      <c r="C738" s="30" t="s">
        <v>1192</v>
      </c>
      <c r="D738" s="39" t="n">
        <v>0</v>
      </c>
      <c r="E738" s="30" t="s">
        <v>63</v>
      </c>
      <c r="F738" s="30" t="s">
        <v>63</v>
      </c>
      <c r="G738" s="27" t="s">
        <v>505</v>
      </c>
      <c r="H738" s="40" t="s">
        <v>505</v>
      </c>
      <c r="I738" s="27" t="s">
        <v>413</v>
      </c>
      <c r="J738" s="30" t="s">
        <v>336</v>
      </c>
      <c r="K738" s="30" t="s">
        <v>136</v>
      </c>
      <c r="L738" s="26" t="s">
        <v>136</v>
      </c>
      <c r="M738" s="27" t="s">
        <v>352</v>
      </c>
      <c r="N738" s="30" t="n">
        <v>28520</v>
      </c>
      <c r="O738" s="27" t="s">
        <v>344</v>
      </c>
      <c r="P738" s="26" t="n">
        <v>28520</v>
      </c>
      <c r="Q738" s="27" t="s">
        <v>809</v>
      </c>
      <c r="R738" s="27" t="s">
        <v>648</v>
      </c>
      <c r="S738" s="27" t="s">
        <v>340</v>
      </c>
      <c r="T738" s="27" t="s">
        <v>341</v>
      </c>
      <c r="U738" s="27" t="s">
        <v>2195</v>
      </c>
    </row>
    <row r="739" customFormat="false" ht="19.5" hidden="false" customHeight="true" outlineLevel="0" collapsed="false">
      <c r="A739" s="19" t="n">
        <v>6322</v>
      </c>
      <c r="B739" s="15" t="s">
        <v>2196</v>
      </c>
      <c r="C739" s="17" t="s">
        <v>2197</v>
      </c>
      <c r="D739" s="16" t="n">
        <v>1</v>
      </c>
      <c r="E739" s="17" t="s">
        <v>39</v>
      </c>
      <c r="F739" s="17" t="s">
        <v>39</v>
      </c>
      <c r="G739" s="15" t="s">
        <v>468</v>
      </c>
      <c r="H739" s="18" t="s">
        <v>468</v>
      </c>
      <c r="I739" s="15" t="s">
        <v>469</v>
      </c>
      <c r="J739" s="17" t="s">
        <v>336</v>
      </c>
      <c r="K739" s="17" t="s">
        <v>82</v>
      </c>
      <c r="L739" s="19" t="s">
        <v>82</v>
      </c>
      <c r="M739" s="15" t="s">
        <v>343</v>
      </c>
      <c r="N739" s="17" t="n">
        <v>14421</v>
      </c>
      <c r="O739" s="15" t="s">
        <v>344</v>
      </c>
      <c r="P739" s="19" t="n">
        <v>14421</v>
      </c>
      <c r="Q739" s="15" t="s">
        <v>1271</v>
      </c>
      <c r="R739" s="15" t="s">
        <v>648</v>
      </c>
      <c r="S739" s="15" t="s">
        <v>345</v>
      </c>
      <c r="T739" s="15" t="s">
        <v>341</v>
      </c>
      <c r="U739" s="15" t="s">
        <v>2198</v>
      </c>
    </row>
    <row r="740" customFormat="false" ht="19.5" hidden="false" customHeight="true" outlineLevel="0" collapsed="false">
      <c r="A740" s="26" t="n">
        <v>6324</v>
      </c>
      <c r="B740" s="27" t="s">
        <v>2199</v>
      </c>
      <c r="C740" s="30" t="s">
        <v>263</v>
      </c>
      <c r="D740" s="39" t="n">
        <v>20</v>
      </c>
      <c r="E740" s="30" t="s">
        <v>39</v>
      </c>
      <c r="F740" s="30" t="s">
        <v>39</v>
      </c>
      <c r="G740" s="27" t="s">
        <v>411</v>
      </c>
      <c r="H740" s="40" t="s">
        <v>411</v>
      </c>
      <c r="I740" s="27" t="s">
        <v>342</v>
      </c>
      <c r="J740" s="30" t="s">
        <v>336</v>
      </c>
      <c r="K740" s="30" t="s">
        <v>111</v>
      </c>
      <c r="L740" s="26" t="s">
        <v>111</v>
      </c>
      <c r="M740" s="27" t="s">
        <v>343</v>
      </c>
      <c r="N740" s="30" t="n">
        <v>25224</v>
      </c>
      <c r="O740" s="27" t="s">
        <v>344</v>
      </c>
      <c r="P740" s="26" t="n">
        <v>25224</v>
      </c>
      <c r="Q740" s="27" t="s">
        <v>2200</v>
      </c>
      <c r="R740" s="27" t="s">
        <v>648</v>
      </c>
      <c r="S740" s="27" t="s">
        <v>345</v>
      </c>
      <c r="T740" s="27" t="s">
        <v>341</v>
      </c>
      <c r="U740" s="27" t="s">
        <v>2201</v>
      </c>
    </row>
    <row r="741" customFormat="false" ht="19.5" hidden="false" customHeight="true" outlineLevel="0" collapsed="false">
      <c r="A741" s="19" t="n">
        <v>6327</v>
      </c>
      <c r="B741" s="15" t="s">
        <v>2202</v>
      </c>
      <c r="C741" s="17" t="s">
        <v>263</v>
      </c>
      <c r="D741" s="16" t="n">
        <v>20</v>
      </c>
      <c r="E741" s="17" t="s">
        <v>39</v>
      </c>
      <c r="F741" s="17" t="s">
        <v>39</v>
      </c>
      <c r="G741" s="15" t="s">
        <v>155</v>
      </c>
      <c r="H741" s="18" t="s">
        <v>155</v>
      </c>
      <c r="I741" s="15" t="s">
        <v>342</v>
      </c>
      <c r="J741" s="17" t="s">
        <v>336</v>
      </c>
      <c r="K741" s="17" t="s">
        <v>111</v>
      </c>
      <c r="L741" s="19" t="s">
        <v>111</v>
      </c>
      <c r="M741" s="15" t="s">
        <v>343</v>
      </c>
      <c r="N741" s="17" t="n">
        <v>16223</v>
      </c>
      <c r="O741" s="15" t="s">
        <v>344</v>
      </c>
      <c r="P741" s="19" t="n">
        <v>16223</v>
      </c>
      <c r="Q741" s="15" t="s">
        <v>1307</v>
      </c>
      <c r="R741" s="15" t="s">
        <v>648</v>
      </c>
      <c r="S741" s="15" t="s">
        <v>345</v>
      </c>
      <c r="T741" s="15" t="s">
        <v>341</v>
      </c>
      <c r="U741" s="15" t="s">
        <v>1332</v>
      </c>
    </row>
    <row r="742" customFormat="false" ht="19.5" hidden="false" customHeight="true" outlineLevel="0" collapsed="false">
      <c r="A742" s="26" t="n">
        <v>6328</v>
      </c>
      <c r="B742" s="27" t="s">
        <v>2203</v>
      </c>
      <c r="C742" s="30" t="s">
        <v>763</v>
      </c>
      <c r="D742" s="39" t="n">
        <v>10</v>
      </c>
      <c r="E742" s="30" t="s">
        <v>39</v>
      </c>
      <c r="F742" s="30" t="s">
        <v>39</v>
      </c>
      <c r="G742" s="27" t="s">
        <v>614</v>
      </c>
      <c r="H742" s="40" t="s">
        <v>614</v>
      </c>
      <c r="I742" s="27" t="s">
        <v>379</v>
      </c>
      <c r="J742" s="30" t="s">
        <v>336</v>
      </c>
      <c r="K742" s="30" t="s">
        <v>140</v>
      </c>
      <c r="L742" s="26" t="s">
        <v>140</v>
      </c>
      <c r="M742" s="27" t="s">
        <v>343</v>
      </c>
      <c r="N742" s="30" t="n">
        <v>34725</v>
      </c>
      <c r="O742" s="27" t="s">
        <v>344</v>
      </c>
      <c r="P742" s="26" t="n">
        <v>34725</v>
      </c>
      <c r="Q742" s="27" t="s">
        <v>2117</v>
      </c>
      <c r="R742" s="27" t="s">
        <v>648</v>
      </c>
      <c r="S742" s="27" t="s">
        <v>345</v>
      </c>
      <c r="T742" s="27" t="s">
        <v>341</v>
      </c>
      <c r="U742" s="27" t="s">
        <v>2204</v>
      </c>
    </row>
    <row r="743" customFormat="false" ht="19.5" hidden="false" customHeight="true" outlineLevel="0" collapsed="false">
      <c r="A743" s="19" t="n">
        <v>6329</v>
      </c>
      <c r="B743" s="15" t="s">
        <v>2205</v>
      </c>
      <c r="C743" s="17" t="s">
        <v>660</v>
      </c>
      <c r="D743" s="16" t="n">
        <v>5</v>
      </c>
      <c r="E743" s="17" t="s">
        <v>63</v>
      </c>
      <c r="F743" s="17" t="s">
        <v>63</v>
      </c>
      <c r="G743" s="15" t="s">
        <v>513</v>
      </c>
      <c r="H743" s="18" t="s">
        <v>513</v>
      </c>
      <c r="I743" s="15" t="s">
        <v>342</v>
      </c>
      <c r="J743" s="17" t="s">
        <v>336</v>
      </c>
      <c r="K743" s="17" t="s">
        <v>479</v>
      </c>
      <c r="L743" s="19" t="s">
        <v>479</v>
      </c>
      <c r="M743" s="15" t="s">
        <v>343</v>
      </c>
      <c r="N743" s="17" t="n">
        <v>14518</v>
      </c>
      <c r="O743" s="15" t="s">
        <v>344</v>
      </c>
      <c r="P743" s="19" t="n">
        <v>14518</v>
      </c>
      <c r="Q743" s="15" t="s">
        <v>823</v>
      </c>
      <c r="R743" s="15" t="s">
        <v>648</v>
      </c>
      <c r="S743" s="15" t="s">
        <v>345</v>
      </c>
      <c r="T743" s="15" t="s">
        <v>341</v>
      </c>
      <c r="U743" s="15" t="s">
        <v>824</v>
      </c>
    </row>
    <row r="744" customFormat="false" ht="19.5" hidden="false" customHeight="true" outlineLevel="0" collapsed="false">
      <c r="A744" s="26" t="n">
        <v>6330</v>
      </c>
      <c r="B744" s="27" t="s">
        <v>2206</v>
      </c>
      <c r="C744" s="30" t="s">
        <v>715</v>
      </c>
      <c r="D744" s="39" t="n">
        <v>1</v>
      </c>
      <c r="E744" s="30" t="s">
        <v>63</v>
      </c>
      <c r="F744" s="30" t="s">
        <v>63</v>
      </c>
      <c r="G744" s="27" t="s">
        <v>102</v>
      </c>
      <c r="H744" s="40" t="s">
        <v>102</v>
      </c>
      <c r="I744" s="27" t="s">
        <v>356</v>
      </c>
      <c r="J744" s="30" t="s">
        <v>336</v>
      </c>
      <c r="K744" s="30" t="s">
        <v>111</v>
      </c>
      <c r="L744" s="26" t="s">
        <v>82</v>
      </c>
      <c r="M744" s="27" t="s">
        <v>343</v>
      </c>
      <c r="N744" s="30" t="n">
        <v>31522</v>
      </c>
      <c r="O744" s="27" t="s">
        <v>344</v>
      </c>
      <c r="P744" s="26" t="n">
        <v>31522</v>
      </c>
      <c r="Q744" s="27" t="s">
        <v>876</v>
      </c>
      <c r="R744" s="27" t="s">
        <v>648</v>
      </c>
      <c r="S744" s="27" t="s">
        <v>345</v>
      </c>
      <c r="T744" s="27" t="s">
        <v>341</v>
      </c>
      <c r="U744" s="27" t="s">
        <v>2207</v>
      </c>
    </row>
    <row r="745" customFormat="false" ht="19.5" hidden="false" customHeight="true" outlineLevel="0" collapsed="false">
      <c r="A745" s="19" t="n">
        <v>6332</v>
      </c>
      <c r="B745" s="15" t="s">
        <v>2208</v>
      </c>
      <c r="C745" s="17" t="s">
        <v>1402</v>
      </c>
      <c r="D745" s="16" t="n">
        <v>1000</v>
      </c>
      <c r="E745" s="17" t="s">
        <v>1403</v>
      </c>
      <c r="F745" s="17" t="s">
        <v>1403</v>
      </c>
      <c r="G745" s="15" t="s">
        <v>396</v>
      </c>
      <c r="H745" s="18" t="s">
        <v>396</v>
      </c>
      <c r="I745" s="15" t="s">
        <v>397</v>
      </c>
      <c r="J745" s="17" t="s">
        <v>336</v>
      </c>
      <c r="K745" s="17" t="s">
        <v>398</v>
      </c>
      <c r="L745" s="19" t="s">
        <v>398</v>
      </c>
      <c r="M745" s="15" t="s">
        <v>368</v>
      </c>
      <c r="N745" s="17" t="n">
        <v>0</v>
      </c>
      <c r="O745" s="15" t="s">
        <v>339</v>
      </c>
      <c r="P745" s="19" t="s">
        <v>690</v>
      </c>
      <c r="Q745" s="15" t="s">
        <v>691</v>
      </c>
      <c r="R745" s="15" t="s">
        <v>692</v>
      </c>
      <c r="S745" s="15" t="s">
        <v>340</v>
      </c>
      <c r="T745" s="15" t="s">
        <v>341</v>
      </c>
      <c r="U745" s="15" t="s">
        <v>2209</v>
      </c>
    </row>
    <row r="746" customFormat="false" ht="19.5" hidden="false" customHeight="true" outlineLevel="0" collapsed="false">
      <c r="A746" s="26" t="n">
        <v>6340</v>
      </c>
      <c r="B746" s="27" t="s">
        <v>2210</v>
      </c>
      <c r="C746" s="30" t="s">
        <v>263</v>
      </c>
      <c r="D746" s="39" t="n">
        <v>20</v>
      </c>
      <c r="E746" s="30" t="s">
        <v>39</v>
      </c>
      <c r="F746" s="30" t="s">
        <v>39</v>
      </c>
      <c r="G746" s="27" t="s">
        <v>478</v>
      </c>
      <c r="H746" s="40" t="s">
        <v>478</v>
      </c>
      <c r="I746" s="27" t="s">
        <v>342</v>
      </c>
      <c r="J746" s="30" t="s">
        <v>336</v>
      </c>
      <c r="K746" s="30" t="s">
        <v>479</v>
      </c>
      <c r="L746" s="26" t="s">
        <v>479</v>
      </c>
      <c r="M746" s="27" t="s">
        <v>343</v>
      </c>
      <c r="N746" s="30" t="n">
        <v>27025</v>
      </c>
      <c r="O746" s="27" t="s">
        <v>344</v>
      </c>
      <c r="P746" s="26" t="n">
        <v>27025</v>
      </c>
      <c r="Q746" s="27" t="s">
        <v>2211</v>
      </c>
      <c r="R746" s="27" t="s">
        <v>648</v>
      </c>
      <c r="S746" s="27" t="s">
        <v>345</v>
      </c>
      <c r="T746" s="27" t="s">
        <v>341</v>
      </c>
      <c r="U746" s="27" t="s">
        <v>2212</v>
      </c>
    </row>
    <row r="747" customFormat="false" ht="19.5" hidden="false" customHeight="true" outlineLevel="0" collapsed="false">
      <c r="A747" s="19" t="n">
        <v>6341</v>
      </c>
      <c r="B747" s="15" t="s">
        <v>2213</v>
      </c>
      <c r="C747" s="17" t="s">
        <v>263</v>
      </c>
      <c r="D747" s="16" t="n">
        <v>20</v>
      </c>
      <c r="E747" s="17" t="s">
        <v>39</v>
      </c>
      <c r="F747" s="17" t="s">
        <v>39</v>
      </c>
      <c r="G747" s="15" t="s">
        <v>599</v>
      </c>
      <c r="H747" s="18" t="s">
        <v>599</v>
      </c>
      <c r="I747" s="15" t="s">
        <v>342</v>
      </c>
      <c r="J747" s="17" t="s">
        <v>336</v>
      </c>
      <c r="K747" s="17" t="s">
        <v>111</v>
      </c>
      <c r="L747" s="19" t="s">
        <v>111</v>
      </c>
      <c r="M747" s="15" t="s">
        <v>343</v>
      </c>
      <c r="N747" s="17" t="n">
        <v>28925</v>
      </c>
      <c r="O747" s="15" t="s">
        <v>344</v>
      </c>
      <c r="P747" s="19" t="n">
        <v>28925</v>
      </c>
      <c r="Q747" s="15" t="s">
        <v>2173</v>
      </c>
      <c r="R747" s="15" t="s">
        <v>648</v>
      </c>
      <c r="S747" s="15" t="s">
        <v>345</v>
      </c>
      <c r="T747" s="15" t="s">
        <v>341</v>
      </c>
      <c r="U747" s="15" t="s">
        <v>2214</v>
      </c>
    </row>
    <row r="748" customFormat="false" ht="19.5" hidden="false" customHeight="true" outlineLevel="0" collapsed="false">
      <c r="A748" s="26" t="n">
        <v>6342</v>
      </c>
      <c r="B748" s="27" t="s">
        <v>2215</v>
      </c>
      <c r="C748" s="30" t="s">
        <v>263</v>
      </c>
      <c r="D748" s="39" t="n">
        <v>20</v>
      </c>
      <c r="E748" s="30" t="s">
        <v>39</v>
      </c>
      <c r="F748" s="30" t="s">
        <v>39</v>
      </c>
      <c r="G748" s="27" t="s">
        <v>315</v>
      </c>
      <c r="H748" s="40" t="s">
        <v>315</v>
      </c>
      <c r="I748" s="27" t="s">
        <v>355</v>
      </c>
      <c r="J748" s="30" t="s">
        <v>360</v>
      </c>
      <c r="K748" s="30" t="s">
        <v>51</v>
      </c>
      <c r="L748" s="26" t="s">
        <v>51</v>
      </c>
      <c r="M748" s="27" t="s">
        <v>361</v>
      </c>
      <c r="N748" s="30" t="n">
        <v>47125</v>
      </c>
      <c r="O748" s="27" t="s">
        <v>344</v>
      </c>
      <c r="P748" s="26" t="n">
        <v>47125</v>
      </c>
      <c r="Q748" s="27" t="s">
        <v>2216</v>
      </c>
      <c r="R748" s="27" t="s">
        <v>648</v>
      </c>
      <c r="S748" s="27" t="s">
        <v>345</v>
      </c>
      <c r="T748" s="27" t="s">
        <v>341</v>
      </c>
      <c r="U748" s="27" t="s">
        <v>2217</v>
      </c>
    </row>
    <row r="749" customFormat="false" ht="19.5" hidden="false" customHeight="true" outlineLevel="0" collapsed="false">
      <c r="A749" s="19" t="n">
        <v>6343</v>
      </c>
      <c r="B749" s="15" t="s">
        <v>2218</v>
      </c>
      <c r="C749" s="17" t="s">
        <v>287</v>
      </c>
      <c r="D749" s="16" t="n">
        <v>10</v>
      </c>
      <c r="E749" s="17" t="s">
        <v>63</v>
      </c>
      <c r="F749" s="17" t="s">
        <v>63</v>
      </c>
      <c r="G749" s="15" t="s">
        <v>505</v>
      </c>
      <c r="H749" s="18" t="s">
        <v>505</v>
      </c>
      <c r="I749" s="15" t="s">
        <v>342</v>
      </c>
      <c r="J749" s="17" t="s">
        <v>336</v>
      </c>
      <c r="K749" s="17" t="s">
        <v>136</v>
      </c>
      <c r="L749" s="19" t="s">
        <v>136</v>
      </c>
      <c r="M749" s="15" t="s">
        <v>343</v>
      </c>
      <c r="N749" s="17" t="n">
        <v>23623</v>
      </c>
      <c r="O749" s="15" t="s">
        <v>344</v>
      </c>
      <c r="P749" s="19" t="n">
        <v>23623</v>
      </c>
      <c r="Q749" s="15" t="s">
        <v>2219</v>
      </c>
      <c r="R749" s="15" t="s">
        <v>648</v>
      </c>
      <c r="S749" s="15" t="s">
        <v>345</v>
      </c>
      <c r="T749" s="15" t="s">
        <v>341</v>
      </c>
      <c r="U749" s="15" t="s">
        <v>2220</v>
      </c>
    </row>
    <row r="750" customFormat="false" ht="19.5" hidden="false" customHeight="true" outlineLevel="0" collapsed="false">
      <c r="A750" s="26" t="n">
        <v>6344</v>
      </c>
      <c r="B750" s="27" t="s">
        <v>2221</v>
      </c>
      <c r="C750" s="30" t="s">
        <v>263</v>
      </c>
      <c r="D750" s="39" t="n">
        <v>20</v>
      </c>
      <c r="E750" s="30" t="s">
        <v>39</v>
      </c>
      <c r="F750" s="30" t="s">
        <v>39</v>
      </c>
      <c r="G750" s="27" t="s">
        <v>411</v>
      </c>
      <c r="H750" s="40" t="s">
        <v>411</v>
      </c>
      <c r="I750" s="27" t="s">
        <v>342</v>
      </c>
      <c r="J750" s="30" t="s">
        <v>336</v>
      </c>
      <c r="K750" s="30" t="s">
        <v>111</v>
      </c>
      <c r="L750" s="26" t="s">
        <v>111</v>
      </c>
      <c r="M750" s="27" t="s">
        <v>343</v>
      </c>
      <c r="N750" s="30" t="n">
        <v>25224</v>
      </c>
      <c r="O750" s="27" t="s">
        <v>344</v>
      </c>
      <c r="P750" s="26" t="n">
        <v>25224</v>
      </c>
      <c r="Q750" s="27" t="s">
        <v>2200</v>
      </c>
      <c r="R750" s="27" t="s">
        <v>648</v>
      </c>
      <c r="S750" s="27" t="s">
        <v>345</v>
      </c>
      <c r="T750" s="27" t="s">
        <v>341</v>
      </c>
      <c r="U750" s="27" t="s">
        <v>2201</v>
      </c>
    </row>
    <row r="751" customFormat="false" ht="19.5" hidden="false" customHeight="true" outlineLevel="0" collapsed="false">
      <c r="A751" s="19" t="n">
        <v>6345</v>
      </c>
      <c r="B751" s="15" t="s">
        <v>2222</v>
      </c>
      <c r="C751" s="17" t="s">
        <v>263</v>
      </c>
      <c r="D751" s="16" t="n">
        <v>20</v>
      </c>
      <c r="E751" s="17" t="s">
        <v>39</v>
      </c>
      <c r="F751" s="17" t="s">
        <v>39</v>
      </c>
      <c r="G751" s="15" t="s">
        <v>412</v>
      </c>
      <c r="H751" s="18" t="s">
        <v>412</v>
      </c>
      <c r="I751" s="15" t="s">
        <v>342</v>
      </c>
      <c r="J751" s="17" t="s">
        <v>336</v>
      </c>
      <c r="K751" s="17" t="s">
        <v>111</v>
      </c>
      <c r="L751" s="19" t="s">
        <v>111</v>
      </c>
      <c r="M751" s="15" t="s">
        <v>343</v>
      </c>
      <c r="N751" s="17" t="n">
        <v>15725</v>
      </c>
      <c r="O751" s="15" t="s">
        <v>344</v>
      </c>
      <c r="P751" s="19" t="n">
        <v>15725</v>
      </c>
      <c r="Q751" s="15" t="s">
        <v>2223</v>
      </c>
      <c r="R751" s="15" t="s">
        <v>648</v>
      </c>
      <c r="S751" s="15" t="s">
        <v>345</v>
      </c>
      <c r="T751" s="15" t="s">
        <v>341</v>
      </c>
      <c r="U751" s="15" t="s">
        <v>2224</v>
      </c>
    </row>
    <row r="752" customFormat="false" ht="19.5" hidden="false" customHeight="true" outlineLevel="0" collapsed="false">
      <c r="A752" s="26" t="n">
        <v>6346</v>
      </c>
      <c r="B752" s="27" t="s">
        <v>2225</v>
      </c>
      <c r="C752" s="30" t="s">
        <v>263</v>
      </c>
      <c r="D752" s="39" t="n">
        <v>20</v>
      </c>
      <c r="E752" s="30" t="s">
        <v>39</v>
      </c>
      <c r="F752" s="30" t="s">
        <v>39</v>
      </c>
      <c r="G752" s="27" t="s">
        <v>483</v>
      </c>
      <c r="H752" s="40" t="s">
        <v>483</v>
      </c>
      <c r="I752" s="27" t="s">
        <v>342</v>
      </c>
      <c r="J752" s="30" t="s">
        <v>336</v>
      </c>
      <c r="K752" s="30" t="s">
        <v>111</v>
      </c>
      <c r="L752" s="26" t="s">
        <v>111</v>
      </c>
      <c r="M752" s="27" t="s">
        <v>343</v>
      </c>
      <c r="N752" s="30" t="n">
        <v>49425</v>
      </c>
      <c r="O752" s="27" t="s">
        <v>344</v>
      </c>
      <c r="P752" s="26" t="n">
        <v>49425</v>
      </c>
      <c r="Q752" s="27" t="s">
        <v>2226</v>
      </c>
      <c r="R752" s="27" t="s">
        <v>648</v>
      </c>
      <c r="S752" s="27" t="s">
        <v>345</v>
      </c>
      <c r="T752" s="27" t="s">
        <v>341</v>
      </c>
      <c r="U752" s="27" t="s">
        <v>2227</v>
      </c>
    </row>
    <row r="753" customFormat="false" ht="19.5" hidden="false" customHeight="true" outlineLevel="0" collapsed="false">
      <c r="A753" s="19" t="n">
        <v>6347</v>
      </c>
      <c r="B753" s="15" t="s">
        <v>2228</v>
      </c>
      <c r="C753" s="17" t="s">
        <v>275</v>
      </c>
      <c r="D753" s="16" t="n">
        <v>10</v>
      </c>
      <c r="E753" s="17" t="s">
        <v>63</v>
      </c>
      <c r="F753" s="17" t="s">
        <v>63</v>
      </c>
      <c r="G753" s="15" t="s">
        <v>78</v>
      </c>
      <c r="H753" s="18" t="s">
        <v>78</v>
      </c>
      <c r="I753" s="15" t="s">
        <v>356</v>
      </c>
      <c r="J753" s="17" t="s">
        <v>360</v>
      </c>
      <c r="K753" s="17" t="s">
        <v>51</v>
      </c>
      <c r="L753" s="19" t="s">
        <v>51</v>
      </c>
      <c r="M753" s="15" t="s">
        <v>361</v>
      </c>
      <c r="N753" s="17" t="n">
        <v>52425</v>
      </c>
      <c r="O753" s="15" t="s">
        <v>344</v>
      </c>
      <c r="P753" s="19" t="n">
        <v>52425</v>
      </c>
      <c r="Q753" s="15" t="s">
        <v>2229</v>
      </c>
      <c r="R753" s="15" t="s">
        <v>648</v>
      </c>
      <c r="S753" s="15" t="s">
        <v>345</v>
      </c>
      <c r="T753" s="15" t="s">
        <v>341</v>
      </c>
      <c r="U753" s="15" t="s">
        <v>2230</v>
      </c>
    </row>
    <row r="754" customFormat="false" ht="19.5" hidden="false" customHeight="true" outlineLevel="0" collapsed="false">
      <c r="A754" s="26" t="n">
        <v>6348</v>
      </c>
      <c r="B754" s="27" t="s">
        <v>2231</v>
      </c>
      <c r="C754" s="30" t="s">
        <v>263</v>
      </c>
      <c r="D754" s="39" t="n">
        <v>20</v>
      </c>
      <c r="E754" s="30" t="s">
        <v>39</v>
      </c>
      <c r="F754" s="30" t="s">
        <v>39</v>
      </c>
      <c r="G754" s="27" t="s">
        <v>468</v>
      </c>
      <c r="H754" s="40" t="s">
        <v>468</v>
      </c>
      <c r="I754" s="27" t="s">
        <v>469</v>
      </c>
      <c r="J754" s="30" t="s">
        <v>336</v>
      </c>
      <c r="K754" s="30" t="s">
        <v>82</v>
      </c>
      <c r="L754" s="26" t="s">
        <v>82</v>
      </c>
      <c r="M754" s="27" t="s">
        <v>343</v>
      </c>
      <c r="N754" s="30" t="n">
        <v>14421</v>
      </c>
      <c r="O754" s="27" t="s">
        <v>344</v>
      </c>
      <c r="P754" s="26" t="n">
        <v>14421</v>
      </c>
      <c r="Q754" s="27" t="s">
        <v>1271</v>
      </c>
      <c r="R754" s="27" t="s">
        <v>648</v>
      </c>
      <c r="S754" s="27" t="s">
        <v>345</v>
      </c>
      <c r="T754" s="27" t="s">
        <v>341</v>
      </c>
      <c r="U754" s="27" t="s">
        <v>2198</v>
      </c>
    </row>
    <row r="755" customFormat="false" ht="19.5" hidden="false" customHeight="true" outlineLevel="0" collapsed="false">
      <c r="A755" s="19" t="n">
        <v>6350</v>
      </c>
      <c r="B755" s="15" t="s">
        <v>2232</v>
      </c>
      <c r="C755" s="17" t="s">
        <v>260</v>
      </c>
      <c r="D755" s="16" t="n">
        <v>5</v>
      </c>
      <c r="E755" s="17" t="s">
        <v>39</v>
      </c>
      <c r="F755" s="17" t="s">
        <v>39</v>
      </c>
      <c r="G755" s="15" t="s">
        <v>612</v>
      </c>
      <c r="H755" s="18" t="s">
        <v>612</v>
      </c>
      <c r="I755" s="15" t="s">
        <v>379</v>
      </c>
      <c r="J755" s="17" t="s">
        <v>336</v>
      </c>
      <c r="K755" s="17" t="s">
        <v>140</v>
      </c>
      <c r="L755" s="19" t="s">
        <v>140</v>
      </c>
      <c r="M755" s="15" t="s">
        <v>343</v>
      </c>
      <c r="N755" s="17" t="n">
        <v>7023</v>
      </c>
      <c r="O755" s="15" t="s">
        <v>344</v>
      </c>
      <c r="P755" s="19" t="n">
        <v>7023</v>
      </c>
      <c r="Q755" s="15" t="s">
        <v>2233</v>
      </c>
      <c r="R755" s="15" t="s">
        <v>648</v>
      </c>
      <c r="S755" s="15" t="s">
        <v>345</v>
      </c>
      <c r="T755" s="15" t="s">
        <v>341</v>
      </c>
      <c r="U755" s="15" t="s">
        <v>2234</v>
      </c>
    </row>
    <row r="756" customFormat="false" ht="19.5" hidden="false" customHeight="true" outlineLevel="0" collapsed="false">
      <c r="A756" s="26" t="n">
        <v>6351</v>
      </c>
      <c r="B756" s="27" t="s">
        <v>2235</v>
      </c>
      <c r="C756" s="30" t="s">
        <v>2236</v>
      </c>
      <c r="D756" s="39" t="n">
        <v>5</v>
      </c>
      <c r="E756" s="30" t="s">
        <v>63</v>
      </c>
      <c r="F756" s="30" t="s">
        <v>63</v>
      </c>
      <c r="G756" s="27" t="s">
        <v>359</v>
      </c>
      <c r="H756" s="40" t="s">
        <v>359</v>
      </c>
      <c r="I756" s="27" t="s">
        <v>356</v>
      </c>
      <c r="J756" s="30" t="s">
        <v>336</v>
      </c>
      <c r="K756" s="30" t="s">
        <v>82</v>
      </c>
      <c r="L756" s="26" t="s">
        <v>82</v>
      </c>
      <c r="M756" s="27" t="s">
        <v>343</v>
      </c>
      <c r="N756" s="30" t="n">
        <v>2218</v>
      </c>
      <c r="O756" s="27" t="s">
        <v>344</v>
      </c>
      <c r="P756" s="26" t="n">
        <v>2218</v>
      </c>
      <c r="Q756" s="27" t="s">
        <v>2237</v>
      </c>
      <c r="R756" s="27" t="s">
        <v>648</v>
      </c>
      <c r="S756" s="27" t="s">
        <v>345</v>
      </c>
      <c r="T756" s="27" t="s">
        <v>341</v>
      </c>
      <c r="U756" s="27" t="s">
        <v>2238</v>
      </c>
    </row>
    <row r="757" customFormat="false" ht="19.5" hidden="false" customHeight="true" outlineLevel="0" collapsed="false">
      <c r="A757" s="19" t="n">
        <v>6352</v>
      </c>
      <c r="B757" s="15" t="s">
        <v>2239</v>
      </c>
      <c r="C757" s="17" t="s">
        <v>866</v>
      </c>
      <c r="D757" s="16" t="n">
        <v>1</v>
      </c>
      <c r="E757" s="17" t="s">
        <v>39</v>
      </c>
      <c r="F757" s="17" t="s">
        <v>39</v>
      </c>
      <c r="G757" s="15" t="s">
        <v>110</v>
      </c>
      <c r="H757" s="18" t="s">
        <v>110</v>
      </c>
      <c r="I757" s="15" t="s">
        <v>342</v>
      </c>
      <c r="J757" s="17" t="s">
        <v>336</v>
      </c>
      <c r="K757" s="17" t="s">
        <v>111</v>
      </c>
      <c r="L757" s="19" t="s">
        <v>111</v>
      </c>
      <c r="M757" s="15" t="s">
        <v>343</v>
      </c>
      <c r="N757" s="17" t="n">
        <v>1223</v>
      </c>
      <c r="O757" s="15" t="s">
        <v>344</v>
      </c>
      <c r="P757" s="19" t="n">
        <v>1223</v>
      </c>
      <c r="Q757" s="15" t="s">
        <v>1613</v>
      </c>
      <c r="R757" s="15" t="s">
        <v>648</v>
      </c>
      <c r="S757" s="15" t="s">
        <v>345</v>
      </c>
      <c r="T757" s="15" t="s">
        <v>341</v>
      </c>
      <c r="U757" s="15" t="s">
        <v>1614</v>
      </c>
    </row>
    <row r="758" customFormat="false" ht="19.5" hidden="false" customHeight="true" outlineLevel="0" collapsed="false">
      <c r="A758" s="26" t="n">
        <v>6354</v>
      </c>
      <c r="B758" s="27" t="s">
        <v>2240</v>
      </c>
      <c r="C758" s="30" t="s">
        <v>263</v>
      </c>
      <c r="D758" s="39" t="n">
        <v>20</v>
      </c>
      <c r="E758" s="30" t="s">
        <v>39</v>
      </c>
      <c r="F758" s="30" t="s">
        <v>39</v>
      </c>
      <c r="G758" s="27" t="s">
        <v>135</v>
      </c>
      <c r="H758" s="40" t="s">
        <v>135</v>
      </c>
      <c r="I758" s="27" t="s">
        <v>379</v>
      </c>
      <c r="J758" s="30" t="s">
        <v>336</v>
      </c>
      <c r="K758" s="30" t="s">
        <v>140</v>
      </c>
      <c r="L758" s="26" t="s">
        <v>140</v>
      </c>
      <c r="M758" s="27" t="s">
        <v>343</v>
      </c>
      <c r="N758" s="30" t="n">
        <v>19122</v>
      </c>
      <c r="O758" s="27" t="s">
        <v>344</v>
      </c>
      <c r="P758" s="26" t="n">
        <v>19122</v>
      </c>
      <c r="Q758" s="27" t="s">
        <v>2241</v>
      </c>
      <c r="R758" s="27" t="s">
        <v>648</v>
      </c>
      <c r="S758" s="27" t="s">
        <v>345</v>
      </c>
      <c r="T758" s="27" t="s">
        <v>341</v>
      </c>
      <c r="U758" s="27" t="s">
        <v>2242</v>
      </c>
    </row>
    <row r="759" customFormat="false" ht="19.5" hidden="false" customHeight="true" outlineLevel="0" collapsed="false">
      <c r="A759" s="19" t="n">
        <v>6355</v>
      </c>
      <c r="B759" s="15" t="s">
        <v>2243</v>
      </c>
      <c r="C759" s="17" t="s">
        <v>287</v>
      </c>
      <c r="D759" s="16" t="n">
        <v>10</v>
      </c>
      <c r="E759" s="17" t="s">
        <v>63</v>
      </c>
      <c r="F759" s="17" t="s">
        <v>63</v>
      </c>
      <c r="G759" s="15" t="s">
        <v>505</v>
      </c>
      <c r="H759" s="18" t="s">
        <v>505</v>
      </c>
      <c r="I759" s="15" t="s">
        <v>342</v>
      </c>
      <c r="J759" s="17" t="s">
        <v>336</v>
      </c>
      <c r="K759" s="17" t="s">
        <v>136</v>
      </c>
      <c r="L759" s="19" t="s">
        <v>136</v>
      </c>
      <c r="M759" s="15" t="s">
        <v>343</v>
      </c>
      <c r="N759" s="17" t="n">
        <v>3621</v>
      </c>
      <c r="O759" s="15" t="s">
        <v>344</v>
      </c>
      <c r="P759" s="19" t="n">
        <v>3621</v>
      </c>
      <c r="Q759" s="15" t="s">
        <v>2244</v>
      </c>
      <c r="R759" s="15" t="s">
        <v>648</v>
      </c>
      <c r="S759" s="15" t="s">
        <v>345</v>
      </c>
      <c r="T759" s="15" t="s">
        <v>341</v>
      </c>
      <c r="U759" s="15" t="s">
        <v>2245</v>
      </c>
    </row>
    <row r="760" customFormat="false" ht="19.5" hidden="false" customHeight="true" outlineLevel="0" collapsed="false">
      <c r="A760" s="26" t="n">
        <v>6362</v>
      </c>
      <c r="B760" s="27" t="s">
        <v>2246</v>
      </c>
      <c r="C760" s="30" t="s">
        <v>263</v>
      </c>
      <c r="D760" s="39" t="n">
        <v>20</v>
      </c>
      <c r="E760" s="30" t="s">
        <v>39</v>
      </c>
      <c r="F760" s="30" t="s">
        <v>39</v>
      </c>
      <c r="G760" s="27" t="s">
        <v>404</v>
      </c>
      <c r="H760" s="40" t="s">
        <v>404</v>
      </c>
      <c r="I760" s="27" t="s">
        <v>356</v>
      </c>
      <c r="J760" s="30" t="s">
        <v>336</v>
      </c>
      <c r="K760" s="30" t="s">
        <v>82</v>
      </c>
      <c r="L760" s="26" t="s">
        <v>82</v>
      </c>
      <c r="M760" s="27" t="s">
        <v>343</v>
      </c>
      <c r="N760" s="30" t="n">
        <v>5622</v>
      </c>
      <c r="O760" s="27" t="s">
        <v>344</v>
      </c>
      <c r="P760" s="26" t="n">
        <v>5622</v>
      </c>
      <c r="Q760" s="27" t="s">
        <v>2247</v>
      </c>
      <c r="R760" s="27" t="s">
        <v>648</v>
      </c>
      <c r="S760" s="27" t="s">
        <v>345</v>
      </c>
      <c r="T760" s="27" t="s">
        <v>341</v>
      </c>
      <c r="U760" s="27" t="s">
        <v>2248</v>
      </c>
    </row>
    <row r="761" customFormat="false" ht="19.5" hidden="false" customHeight="true" outlineLevel="0" collapsed="false">
      <c r="A761" s="19" t="n">
        <v>6363</v>
      </c>
      <c r="B761" s="15" t="s">
        <v>2249</v>
      </c>
      <c r="C761" s="17" t="s">
        <v>263</v>
      </c>
      <c r="D761" s="16" t="n">
        <v>20</v>
      </c>
      <c r="E761" s="17" t="s">
        <v>39</v>
      </c>
      <c r="F761" s="17" t="s">
        <v>39</v>
      </c>
      <c r="G761" s="15" t="s">
        <v>458</v>
      </c>
      <c r="H761" s="18" t="s">
        <v>458</v>
      </c>
      <c r="I761" s="15" t="s">
        <v>459</v>
      </c>
      <c r="J761" s="17" t="s">
        <v>336</v>
      </c>
      <c r="K761" s="17" t="s">
        <v>419</v>
      </c>
      <c r="L761" s="19" t="s">
        <v>419</v>
      </c>
      <c r="M761" s="15" t="s">
        <v>343</v>
      </c>
      <c r="N761" s="17" t="n">
        <v>5725</v>
      </c>
      <c r="O761" s="15" t="s">
        <v>344</v>
      </c>
      <c r="P761" s="19" t="n">
        <v>5725</v>
      </c>
      <c r="Q761" s="15" t="s">
        <v>2250</v>
      </c>
      <c r="R761" s="15" t="s">
        <v>648</v>
      </c>
      <c r="S761" s="15" t="s">
        <v>345</v>
      </c>
      <c r="T761" s="15" t="s">
        <v>341</v>
      </c>
      <c r="U761" s="15" t="s">
        <v>2251</v>
      </c>
    </row>
    <row r="762" customFormat="false" ht="19.5" hidden="false" customHeight="true" outlineLevel="0" collapsed="false">
      <c r="A762" s="26" t="n">
        <v>6364</v>
      </c>
      <c r="B762" s="27" t="s">
        <v>2252</v>
      </c>
      <c r="C762" s="30" t="s">
        <v>260</v>
      </c>
      <c r="D762" s="39" t="n">
        <v>5</v>
      </c>
      <c r="E762" s="30" t="s">
        <v>39</v>
      </c>
      <c r="F762" s="30" t="s">
        <v>39</v>
      </c>
      <c r="G762" s="27" t="s">
        <v>468</v>
      </c>
      <c r="H762" s="40" t="s">
        <v>468</v>
      </c>
      <c r="I762" s="27" t="s">
        <v>469</v>
      </c>
      <c r="J762" s="30" t="s">
        <v>336</v>
      </c>
      <c r="K762" s="30" t="s">
        <v>82</v>
      </c>
      <c r="L762" s="26" t="s">
        <v>82</v>
      </c>
      <c r="M762" s="27" t="s">
        <v>343</v>
      </c>
      <c r="N762" s="30" t="n">
        <v>14421</v>
      </c>
      <c r="O762" s="27" t="s">
        <v>344</v>
      </c>
      <c r="P762" s="26" t="n">
        <v>14421</v>
      </c>
      <c r="Q762" s="27" t="s">
        <v>1271</v>
      </c>
      <c r="R762" s="27" t="s">
        <v>648</v>
      </c>
      <c r="S762" s="27" t="s">
        <v>345</v>
      </c>
      <c r="T762" s="27" t="s">
        <v>341</v>
      </c>
      <c r="U762" s="27" t="s">
        <v>2198</v>
      </c>
    </row>
    <row r="763" customFormat="false" ht="19.5" hidden="false" customHeight="true" outlineLevel="0" collapsed="false">
      <c r="A763" s="19" t="n">
        <v>6365</v>
      </c>
      <c r="B763" s="15" t="s">
        <v>2253</v>
      </c>
      <c r="C763" s="17" t="s">
        <v>260</v>
      </c>
      <c r="D763" s="16" t="n">
        <v>5</v>
      </c>
      <c r="E763" s="17" t="s">
        <v>39</v>
      </c>
      <c r="F763" s="17" t="s">
        <v>39</v>
      </c>
      <c r="G763" s="15" t="s">
        <v>404</v>
      </c>
      <c r="H763" s="18" t="s">
        <v>404</v>
      </c>
      <c r="I763" s="15" t="s">
        <v>356</v>
      </c>
      <c r="J763" s="17" t="s">
        <v>336</v>
      </c>
      <c r="K763" s="17" t="s">
        <v>82</v>
      </c>
      <c r="L763" s="19" t="s">
        <v>82</v>
      </c>
      <c r="M763" s="15" t="s">
        <v>343</v>
      </c>
      <c r="N763" s="17" t="n">
        <v>5622</v>
      </c>
      <c r="O763" s="15" t="s">
        <v>344</v>
      </c>
      <c r="P763" s="19" t="n">
        <v>5622</v>
      </c>
      <c r="Q763" s="15" t="s">
        <v>2247</v>
      </c>
      <c r="R763" s="15" t="s">
        <v>648</v>
      </c>
      <c r="S763" s="15" t="s">
        <v>345</v>
      </c>
      <c r="T763" s="15" t="s">
        <v>341</v>
      </c>
      <c r="U763" s="15" t="s">
        <v>2248</v>
      </c>
    </row>
    <row r="764" customFormat="false" ht="19.5" hidden="false" customHeight="true" outlineLevel="0" collapsed="false">
      <c r="A764" s="26" t="n">
        <v>6367</v>
      </c>
      <c r="B764" s="27" t="s">
        <v>2254</v>
      </c>
      <c r="C764" s="30" t="s">
        <v>1402</v>
      </c>
      <c r="D764" s="39" t="n">
        <v>1000</v>
      </c>
      <c r="E764" s="30" t="s">
        <v>1403</v>
      </c>
      <c r="F764" s="30" t="s">
        <v>1403</v>
      </c>
      <c r="G764" s="27" t="s">
        <v>420</v>
      </c>
      <c r="H764" s="40" t="s">
        <v>420</v>
      </c>
      <c r="I764" s="27" t="s">
        <v>421</v>
      </c>
      <c r="J764" s="30" t="s">
        <v>336</v>
      </c>
      <c r="K764" s="30" t="s">
        <v>1536</v>
      </c>
      <c r="L764" s="26" t="s">
        <v>1536</v>
      </c>
      <c r="M764" s="27" t="s">
        <v>349</v>
      </c>
      <c r="N764" s="30" t="n">
        <v>0</v>
      </c>
      <c r="O764" s="27" t="s">
        <v>339</v>
      </c>
      <c r="P764" s="26" t="s">
        <v>690</v>
      </c>
      <c r="Q764" s="27" t="s">
        <v>691</v>
      </c>
      <c r="R764" s="27" t="s">
        <v>692</v>
      </c>
      <c r="S764" s="27" t="s">
        <v>345</v>
      </c>
      <c r="T764" s="27" t="s">
        <v>341</v>
      </c>
      <c r="U764" s="27" t="s">
        <v>693</v>
      </c>
    </row>
    <row r="765" customFormat="false" ht="19.5" hidden="false" customHeight="true" outlineLevel="0" collapsed="false">
      <c r="A765" s="19" t="n">
        <v>6368</v>
      </c>
      <c r="B765" s="15" t="s">
        <v>2255</v>
      </c>
      <c r="C765" s="17" t="s">
        <v>1192</v>
      </c>
      <c r="D765" s="16" t="n">
        <v>0</v>
      </c>
      <c r="E765" s="17" t="s">
        <v>39</v>
      </c>
      <c r="F765" s="17" t="s">
        <v>39</v>
      </c>
      <c r="G765" s="15" t="s">
        <v>429</v>
      </c>
      <c r="H765" s="18" t="s">
        <v>429</v>
      </c>
      <c r="I765" s="15" t="s">
        <v>363</v>
      </c>
      <c r="J765" s="17" t="s">
        <v>336</v>
      </c>
      <c r="K765" s="17" t="s">
        <v>82</v>
      </c>
      <c r="L765" s="19" t="s">
        <v>82</v>
      </c>
      <c r="M765" s="15" t="s">
        <v>352</v>
      </c>
      <c r="N765" s="17" t="n">
        <v>40624</v>
      </c>
      <c r="O765" s="15" t="s">
        <v>344</v>
      </c>
      <c r="P765" s="19" t="n">
        <v>40624</v>
      </c>
      <c r="Q765" s="15" t="s">
        <v>1588</v>
      </c>
      <c r="R765" s="15" t="s">
        <v>648</v>
      </c>
      <c r="S765" s="15" t="s">
        <v>340</v>
      </c>
      <c r="T765" s="15" t="s">
        <v>341</v>
      </c>
      <c r="U765" s="15" t="s">
        <v>2256</v>
      </c>
    </row>
    <row r="766" customFormat="false" ht="19.5" hidden="false" customHeight="true" outlineLevel="0" collapsed="false">
      <c r="A766" s="26" t="n">
        <v>6397</v>
      </c>
      <c r="B766" s="27" t="s">
        <v>2257</v>
      </c>
      <c r="C766" s="30" t="s">
        <v>1402</v>
      </c>
      <c r="D766" s="39" t="n">
        <v>1000</v>
      </c>
      <c r="E766" s="30" t="s">
        <v>1403</v>
      </c>
      <c r="F766" s="30" t="s">
        <v>1403</v>
      </c>
      <c r="G766" s="27" t="s">
        <v>420</v>
      </c>
      <c r="H766" s="40" t="s">
        <v>420</v>
      </c>
      <c r="I766" s="27" t="s">
        <v>421</v>
      </c>
      <c r="J766" s="30" t="s">
        <v>336</v>
      </c>
      <c r="K766" s="30" t="s">
        <v>1536</v>
      </c>
      <c r="L766" s="26" t="s">
        <v>1536</v>
      </c>
      <c r="M766" s="27" t="s">
        <v>349</v>
      </c>
      <c r="N766" s="30" t="n">
        <v>0</v>
      </c>
      <c r="O766" s="27" t="s">
        <v>339</v>
      </c>
      <c r="P766" s="26" t="s">
        <v>690</v>
      </c>
      <c r="Q766" s="27" t="s">
        <v>691</v>
      </c>
      <c r="R766" s="27" t="s">
        <v>692</v>
      </c>
      <c r="S766" s="27" t="s">
        <v>345</v>
      </c>
      <c r="T766" s="27" t="s">
        <v>341</v>
      </c>
      <c r="U766" s="27" t="s">
        <v>693</v>
      </c>
    </row>
    <row r="767" customFormat="false" ht="19.5" hidden="false" customHeight="true" outlineLevel="0" collapsed="false">
      <c r="A767" s="19" t="n">
        <v>6414</v>
      </c>
      <c r="B767" s="15" t="s">
        <v>2258</v>
      </c>
      <c r="C767" s="17" t="s">
        <v>263</v>
      </c>
      <c r="D767" s="16" t="n">
        <v>20</v>
      </c>
      <c r="E767" s="17" t="s">
        <v>39</v>
      </c>
      <c r="F767" s="17" t="s">
        <v>39</v>
      </c>
      <c r="G767" s="15" t="s">
        <v>614</v>
      </c>
      <c r="H767" s="18" t="s">
        <v>614</v>
      </c>
      <c r="I767" s="15" t="s">
        <v>379</v>
      </c>
      <c r="J767" s="17" t="s">
        <v>336</v>
      </c>
      <c r="K767" s="17" t="s">
        <v>140</v>
      </c>
      <c r="L767" s="19" t="s">
        <v>140</v>
      </c>
      <c r="M767" s="15" t="s">
        <v>343</v>
      </c>
      <c r="N767" s="17" t="n">
        <v>15025</v>
      </c>
      <c r="O767" s="15" t="s">
        <v>344</v>
      </c>
      <c r="P767" s="19" t="n">
        <v>15025</v>
      </c>
      <c r="Q767" s="15" t="s">
        <v>2259</v>
      </c>
      <c r="R767" s="15" t="s">
        <v>648</v>
      </c>
      <c r="S767" s="15" t="s">
        <v>345</v>
      </c>
      <c r="T767" s="15" t="s">
        <v>341</v>
      </c>
      <c r="U767" s="15" t="s">
        <v>2260</v>
      </c>
    </row>
    <row r="768" customFormat="false" ht="19.5" hidden="false" customHeight="true" outlineLevel="0" collapsed="false">
      <c r="A768" s="26" t="n">
        <v>6415</v>
      </c>
      <c r="B768" s="27" t="s">
        <v>2261</v>
      </c>
      <c r="C768" s="30" t="s">
        <v>260</v>
      </c>
      <c r="D768" s="39" t="n">
        <v>5</v>
      </c>
      <c r="E768" s="30" t="s">
        <v>39</v>
      </c>
      <c r="F768" s="30" t="s">
        <v>39</v>
      </c>
      <c r="G768" s="27" t="s">
        <v>614</v>
      </c>
      <c r="H768" s="40" t="s">
        <v>614</v>
      </c>
      <c r="I768" s="27" t="s">
        <v>379</v>
      </c>
      <c r="J768" s="30" t="s">
        <v>336</v>
      </c>
      <c r="K768" s="30" t="s">
        <v>140</v>
      </c>
      <c r="L768" s="26" t="s">
        <v>140</v>
      </c>
      <c r="M768" s="27" t="s">
        <v>343</v>
      </c>
      <c r="N768" s="30" t="n">
        <v>15025</v>
      </c>
      <c r="O768" s="27" t="s">
        <v>344</v>
      </c>
      <c r="P768" s="26" t="n">
        <v>15025</v>
      </c>
      <c r="Q768" s="27" t="s">
        <v>2259</v>
      </c>
      <c r="R768" s="27" t="s">
        <v>648</v>
      </c>
      <c r="S768" s="27" t="s">
        <v>345</v>
      </c>
      <c r="T768" s="27" t="s">
        <v>341</v>
      </c>
      <c r="U768" s="27" t="s">
        <v>2260</v>
      </c>
    </row>
    <row r="769" customFormat="false" ht="19.5" hidden="false" customHeight="true" outlineLevel="0" collapsed="false">
      <c r="A769" s="19" t="n">
        <v>6416</v>
      </c>
      <c r="B769" s="15" t="s">
        <v>2262</v>
      </c>
      <c r="C769" s="17" t="s">
        <v>263</v>
      </c>
      <c r="D769" s="16" t="n">
        <v>20</v>
      </c>
      <c r="E769" s="17" t="s">
        <v>39</v>
      </c>
      <c r="F769" s="17" t="s">
        <v>39</v>
      </c>
      <c r="G769" s="15" t="s">
        <v>614</v>
      </c>
      <c r="H769" s="18" t="s">
        <v>614</v>
      </c>
      <c r="I769" s="15" t="s">
        <v>379</v>
      </c>
      <c r="J769" s="17" t="s">
        <v>336</v>
      </c>
      <c r="K769" s="17" t="s">
        <v>140</v>
      </c>
      <c r="L769" s="19" t="s">
        <v>140</v>
      </c>
      <c r="M769" s="15" t="s">
        <v>343</v>
      </c>
      <c r="N769" s="17" t="n">
        <v>15025</v>
      </c>
      <c r="O769" s="15" t="s">
        <v>344</v>
      </c>
      <c r="P769" s="19" t="n">
        <v>15025</v>
      </c>
      <c r="Q769" s="15" t="s">
        <v>2259</v>
      </c>
      <c r="R769" s="15" t="s">
        <v>648</v>
      </c>
      <c r="S769" s="15" t="s">
        <v>345</v>
      </c>
      <c r="T769" s="15" t="s">
        <v>341</v>
      </c>
      <c r="U769" s="15" t="s">
        <v>2260</v>
      </c>
    </row>
    <row r="770" customFormat="false" ht="19.5" hidden="false" customHeight="true" outlineLevel="0" collapsed="false">
      <c r="A770" s="26" t="n">
        <v>6417</v>
      </c>
      <c r="B770" s="27" t="s">
        <v>2263</v>
      </c>
      <c r="C770" s="30" t="s">
        <v>260</v>
      </c>
      <c r="D770" s="39" t="n">
        <v>5</v>
      </c>
      <c r="E770" s="30" t="s">
        <v>39</v>
      </c>
      <c r="F770" s="30" t="s">
        <v>39</v>
      </c>
      <c r="G770" s="27" t="s">
        <v>614</v>
      </c>
      <c r="H770" s="40" t="s">
        <v>614</v>
      </c>
      <c r="I770" s="27" t="s">
        <v>379</v>
      </c>
      <c r="J770" s="30" t="s">
        <v>336</v>
      </c>
      <c r="K770" s="30" t="s">
        <v>140</v>
      </c>
      <c r="L770" s="26" t="s">
        <v>140</v>
      </c>
      <c r="M770" s="27" t="s">
        <v>343</v>
      </c>
      <c r="N770" s="30" t="n">
        <v>15025</v>
      </c>
      <c r="O770" s="27" t="s">
        <v>344</v>
      </c>
      <c r="P770" s="26" t="n">
        <v>15025</v>
      </c>
      <c r="Q770" s="27" t="s">
        <v>2259</v>
      </c>
      <c r="R770" s="27" t="s">
        <v>648</v>
      </c>
      <c r="S770" s="27" t="s">
        <v>345</v>
      </c>
      <c r="T770" s="27" t="s">
        <v>341</v>
      </c>
      <c r="U770" s="27" t="s">
        <v>2260</v>
      </c>
    </row>
    <row r="771" customFormat="false" ht="19.5" hidden="false" customHeight="true" outlineLevel="0" collapsed="false">
      <c r="A771" s="19" t="n">
        <v>6419</v>
      </c>
      <c r="B771" s="15" t="s">
        <v>2264</v>
      </c>
      <c r="C771" s="17" t="s">
        <v>1192</v>
      </c>
      <c r="D771" s="16" t="n">
        <v>0</v>
      </c>
      <c r="E771" s="17" t="s">
        <v>39</v>
      </c>
      <c r="F771" s="17" t="s">
        <v>39</v>
      </c>
      <c r="G771" s="15" t="s">
        <v>483</v>
      </c>
      <c r="H771" s="18" t="s">
        <v>483</v>
      </c>
      <c r="I771" s="15" t="s">
        <v>413</v>
      </c>
      <c r="J771" s="17" t="s">
        <v>336</v>
      </c>
      <c r="K771" s="17" t="s">
        <v>111</v>
      </c>
      <c r="L771" s="19" t="s">
        <v>111</v>
      </c>
      <c r="M771" s="15" t="s">
        <v>352</v>
      </c>
      <c r="N771" s="17" t="n">
        <v>0</v>
      </c>
      <c r="O771" s="15" t="s">
        <v>353</v>
      </c>
      <c r="P771" s="19" t="n">
        <v>15623</v>
      </c>
      <c r="Q771" s="15" t="s">
        <v>2265</v>
      </c>
      <c r="R771" s="15" t="s">
        <v>717</v>
      </c>
      <c r="S771" s="15" t="s">
        <v>340</v>
      </c>
      <c r="T771" s="15" t="s">
        <v>341</v>
      </c>
      <c r="U771" s="15" t="s">
        <v>2266</v>
      </c>
    </row>
    <row r="772" customFormat="false" ht="19.5" hidden="false" customHeight="true" outlineLevel="0" collapsed="false">
      <c r="A772" s="26" t="n">
        <v>6420</v>
      </c>
      <c r="B772" s="27" t="s">
        <v>2267</v>
      </c>
      <c r="C772" s="30" t="s">
        <v>263</v>
      </c>
      <c r="D772" s="39" t="n">
        <v>20</v>
      </c>
      <c r="E772" s="30" t="s">
        <v>39</v>
      </c>
      <c r="F772" s="30" t="s">
        <v>39</v>
      </c>
      <c r="G772" s="27" t="s">
        <v>468</v>
      </c>
      <c r="H772" s="40" t="s">
        <v>468</v>
      </c>
      <c r="I772" s="27" t="s">
        <v>469</v>
      </c>
      <c r="J772" s="30" t="s">
        <v>336</v>
      </c>
      <c r="K772" s="30" t="s">
        <v>82</v>
      </c>
      <c r="L772" s="26" t="s">
        <v>82</v>
      </c>
      <c r="M772" s="27" t="s">
        <v>343</v>
      </c>
      <c r="N772" s="30" t="n">
        <v>2520</v>
      </c>
      <c r="O772" s="27" t="s">
        <v>344</v>
      </c>
      <c r="P772" s="26" t="n">
        <v>2520</v>
      </c>
      <c r="Q772" s="27" t="s">
        <v>794</v>
      </c>
      <c r="R772" s="27" t="s">
        <v>648</v>
      </c>
      <c r="S772" s="27" t="s">
        <v>345</v>
      </c>
      <c r="T772" s="27" t="s">
        <v>341</v>
      </c>
      <c r="U772" s="27" t="s">
        <v>795</v>
      </c>
    </row>
    <row r="773" customFormat="false" ht="19.5" hidden="false" customHeight="true" outlineLevel="0" collapsed="false">
      <c r="A773" s="19" t="n">
        <v>6450</v>
      </c>
      <c r="B773" s="15" t="s">
        <v>2268</v>
      </c>
      <c r="C773" s="17" t="s">
        <v>314</v>
      </c>
      <c r="D773" s="16" t="n">
        <v>25</v>
      </c>
      <c r="E773" s="17" t="s">
        <v>63</v>
      </c>
      <c r="F773" s="17" t="s">
        <v>63</v>
      </c>
      <c r="G773" s="15" t="s">
        <v>577</v>
      </c>
      <c r="H773" s="18" t="s">
        <v>577</v>
      </c>
      <c r="I773" s="15" t="s">
        <v>560</v>
      </c>
      <c r="J773" s="17" t="s">
        <v>336</v>
      </c>
      <c r="K773" s="17" t="s">
        <v>578</v>
      </c>
      <c r="L773" s="19" t="s">
        <v>578</v>
      </c>
      <c r="M773" s="15" t="s">
        <v>349</v>
      </c>
      <c r="N773" s="17" t="n">
        <v>0</v>
      </c>
      <c r="O773" s="15" t="s">
        <v>339</v>
      </c>
      <c r="P773" s="19" t="s">
        <v>690</v>
      </c>
      <c r="Q773" s="15" t="s">
        <v>691</v>
      </c>
      <c r="R773" s="15" t="s">
        <v>692</v>
      </c>
      <c r="S773" s="15" t="s">
        <v>345</v>
      </c>
      <c r="T773" s="15" t="s">
        <v>341</v>
      </c>
      <c r="U773" s="15" t="s">
        <v>693</v>
      </c>
    </row>
    <row r="774" customFormat="false" ht="19.5" hidden="false" customHeight="true" outlineLevel="0" collapsed="false">
      <c r="A774" s="26" t="n">
        <v>6458</v>
      </c>
      <c r="B774" s="27" t="s">
        <v>2269</v>
      </c>
      <c r="C774" s="30" t="s">
        <v>263</v>
      </c>
      <c r="D774" s="39" t="n">
        <v>20</v>
      </c>
      <c r="E774" s="30" t="s">
        <v>39</v>
      </c>
      <c r="F774" s="30" t="s">
        <v>39</v>
      </c>
      <c r="G774" s="27" t="s">
        <v>429</v>
      </c>
      <c r="H774" s="40" t="s">
        <v>429</v>
      </c>
      <c r="I774" s="27" t="s">
        <v>356</v>
      </c>
      <c r="J774" s="30" t="s">
        <v>336</v>
      </c>
      <c r="K774" s="30" t="s">
        <v>82</v>
      </c>
      <c r="L774" s="26" t="s">
        <v>82</v>
      </c>
      <c r="M774" s="27" t="s">
        <v>343</v>
      </c>
      <c r="N774" s="30" t="n">
        <v>40624</v>
      </c>
      <c r="O774" s="27" t="s">
        <v>344</v>
      </c>
      <c r="P774" s="26" t="n">
        <v>40624</v>
      </c>
      <c r="Q774" s="27" t="s">
        <v>1588</v>
      </c>
      <c r="R774" s="27" t="s">
        <v>648</v>
      </c>
      <c r="S774" s="27" t="s">
        <v>345</v>
      </c>
      <c r="T774" s="27" t="s">
        <v>341</v>
      </c>
      <c r="U774" s="27" t="s">
        <v>1589</v>
      </c>
    </row>
    <row r="775" customFormat="false" ht="19.5" hidden="false" customHeight="true" outlineLevel="0" collapsed="false">
      <c r="A775" s="19" t="n">
        <v>6459</v>
      </c>
      <c r="B775" s="15" t="s">
        <v>109</v>
      </c>
      <c r="C775" s="17" t="s">
        <v>2270</v>
      </c>
      <c r="D775" s="16" t="n">
        <v>0.1</v>
      </c>
      <c r="E775" s="17" t="s">
        <v>63</v>
      </c>
      <c r="F775" s="17" t="s">
        <v>63</v>
      </c>
      <c r="G775" s="15" t="s">
        <v>110</v>
      </c>
      <c r="H775" s="18" t="s">
        <v>538</v>
      </c>
      <c r="I775" s="15" t="s">
        <v>342</v>
      </c>
      <c r="J775" s="17" t="s">
        <v>336</v>
      </c>
      <c r="K775" s="17" t="s">
        <v>111</v>
      </c>
      <c r="L775" s="19" t="s">
        <v>479</v>
      </c>
      <c r="M775" s="15" t="s">
        <v>343</v>
      </c>
      <c r="N775" s="17" t="n">
        <v>14623</v>
      </c>
      <c r="O775" s="15" t="s">
        <v>344</v>
      </c>
      <c r="P775" s="19" t="n">
        <v>14623</v>
      </c>
      <c r="Q775" s="15" t="s">
        <v>2271</v>
      </c>
      <c r="R775" s="15" t="s">
        <v>648</v>
      </c>
      <c r="S775" s="15" t="s">
        <v>345</v>
      </c>
      <c r="T775" s="15" t="s">
        <v>341</v>
      </c>
      <c r="U775" s="15" t="s">
        <v>2272</v>
      </c>
    </row>
    <row r="776" customFormat="false" ht="19.5" hidden="false" customHeight="true" outlineLevel="0" collapsed="false">
      <c r="A776" s="26" t="n">
        <v>6465</v>
      </c>
      <c r="B776" s="27" t="s">
        <v>2273</v>
      </c>
      <c r="C776" s="30" t="s">
        <v>263</v>
      </c>
      <c r="D776" s="39" t="n">
        <v>20</v>
      </c>
      <c r="E776" s="30" t="s">
        <v>39</v>
      </c>
      <c r="F776" s="30" t="s">
        <v>39</v>
      </c>
      <c r="G776" s="27" t="s">
        <v>574</v>
      </c>
      <c r="H776" s="40" t="s">
        <v>574</v>
      </c>
      <c r="I776" s="27" t="s">
        <v>342</v>
      </c>
      <c r="J776" s="30" t="s">
        <v>336</v>
      </c>
      <c r="K776" s="30" t="s">
        <v>111</v>
      </c>
      <c r="L776" s="26" t="s">
        <v>111</v>
      </c>
      <c r="M776" s="27" t="s">
        <v>343</v>
      </c>
      <c r="N776" s="30" t="n">
        <v>1838604</v>
      </c>
      <c r="O776" s="27" t="s">
        <v>344</v>
      </c>
      <c r="P776" s="26" t="n">
        <v>1838604</v>
      </c>
      <c r="Q776" s="27" t="s">
        <v>2274</v>
      </c>
      <c r="R776" s="27" t="s">
        <v>648</v>
      </c>
      <c r="S776" s="27" t="s">
        <v>345</v>
      </c>
      <c r="T776" s="27" t="s">
        <v>341</v>
      </c>
      <c r="U776" s="27" t="s">
        <v>2275</v>
      </c>
    </row>
    <row r="777" customFormat="false" ht="19.5" hidden="false" customHeight="true" outlineLevel="0" collapsed="false">
      <c r="A777" s="19" t="n">
        <v>6466</v>
      </c>
      <c r="B777" s="15" t="s">
        <v>2276</v>
      </c>
      <c r="C777" s="17" t="s">
        <v>263</v>
      </c>
      <c r="D777" s="16" t="n">
        <v>20</v>
      </c>
      <c r="E777" s="17" t="s">
        <v>39</v>
      </c>
      <c r="F777" s="17" t="s">
        <v>39</v>
      </c>
      <c r="G777" s="15" t="s">
        <v>315</v>
      </c>
      <c r="H777" s="18" t="s">
        <v>315</v>
      </c>
      <c r="I777" s="15" t="s">
        <v>355</v>
      </c>
      <c r="J777" s="17" t="s">
        <v>360</v>
      </c>
      <c r="K777" s="17" t="s">
        <v>51</v>
      </c>
      <c r="L777" s="19" t="s">
        <v>51</v>
      </c>
      <c r="M777" s="15" t="s">
        <v>361</v>
      </c>
      <c r="N777" s="17" t="n">
        <v>47125</v>
      </c>
      <c r="O777" s="15" t="s">
        <v>344</v>
      </c>
      <c r="P777" s="19" t="n">
        <v>47125</v>
      </c>
      <c r="Q777" s="15" t="s">
        <v>2216</v>
      </c>
      <c r="R777" s="15" t="s">
        <v>648</v>
      </c>
      <c r="S777" s="15" t="s">
        <v>345</v>
      </c>
      <c r="T777" s="15" t="s">
        <v>341</v>
      </c>
      <c r="U777" s="15" t="s">
        <v>2277</v>
      </c>
    </row>
    <row r="778" customFormat="false" ht="19.5" hidden="false" customHeight="true" outlineLevel="0" collapsed="false">
      <c r="A778" s="26" t="n">
        <v>6470</v>
      </c>
      <c r="B778" s="27" t="s">
        <v>2278</v>
      </c>
      <c r="C778" s="30" t="s">
        <v>260</v>
      </c>
      <c r="D778" s="39" t="n">
        <v>5</v>
      </c>
      <c r="E778" s="30" t="s">
        <v>39</v>
      </c>
      <c r="F778" s="30" t="s">
        <v>39</v>
      </c>
      <c r="G778" s="27" t="s">
        <v>458</v>
      </c>
      <c r="H778" s="40" t="s">
        <v>458</v>
      </c>
      <c r="I778" s="27" t="s">
        <v>459</v>
      </c>
      <c r="J778" s="30" t="s">
        <v>336</v>
      </c>
      <c r="K778" s="30" t="s">
        <v>419</v>
      </c>
      <c r="L778" s="26" t="s">
        <v>419</v>
      </c>
      <c r="M778" s="27" t="s">
        <v>343</v>
      </c>
      <c r="N778" s="30" t="n">
        <v>5725</v>
      </c>
      <c r="O778" s="27" t="s">
        <v>344</v>
      </c>
      <c r="P778" s="26" t="n">
        <v>5725</v>
      </c>
      <c r="Q778" s="27" t="s">
        <v>2250</v>
      </c>
      <c r="R778" s="27" t="s">
        <v>648</v>
      </c>
      <c r="S778" s="27" t="s">
        <v>345</v>
      </c>
      <c r="T778" s="27" t="s">
        <v>341</v>
      </c>
      <c r="U778" s="27" t="s">
        <v>2251</v>
      </c>
    </row>
    <row r="779" customFormat="false" ht="19.5" hidden="false" customHeight="true" outlineLevel="0" collapsed="false">
      <c r="A779" s="19" t="n">
        <v>6570</v>
      </c>
      <c r="B779" s="15" t="s">
        <v>2279</v>
      </c>
      <c r="C779" s="17" t="s">
        <v>2280</v>
      </c>
      <c r="D779" s="16" t="n">
        <v>0.2</v>
      </c>
      <c r="E779" s="17" t="s">
        <v>63</v>
      </c>
      <c r="F779" s="17" t="s">
        <v>63</v>
      </c>
      <c r="G779" s="15" t="s">
        <v>538</v>
      </c>
      <c r="H779" s="18" t="s">
        <v>538</v>
      </c>
      <c r="I779" s="15" t="s">
        <v>342</v>
      </c>
      <c r="J779" s="17" t="s">
        <v>336</v>
      </c>
      <c r="K779" s="17" t="s">
        <v>111</v>
      </c>
      <c r="L779" s="19" t="s">
        <v>111</v>
      </c>
      <c r="M779" s="15" t="s">
        <v>343</v>
      </c>
      <c r="N779" s="17" t="n">
        <v>14623</v>
      </c>
      <c r="O779" s="15" t="s">
        <v>344</v>
      </c>
      <c r="P779" s="19" t="n">
        <v>14623</v>
      </c>
      <c r="Q779" s="15" t="s">
        <v>2281</v>
      </c>
      <c r="R779" s="15" t="s">
        <v>648</v>
      </c>
      <c r="S779" s="15" t="s">
        <v>345</v>
      </c>
      <c r="T779" s="15" t="s">
        <v>341</v>
      </c>
      <c r="U779" s="15" t="s">
        <v>2282</v>
      </c>
    </row>
    <row r="780" customFormat="false" ht="19.5" hidden="false" customHeight="true" outlineLevel="0" collapsed="false">
      <c r="A780" s="26" t="n">
        <v>6585</v>
      </c>
      <c r="B780" s="27" t="s">
        <v>2283</v>
      </c>
      <c r="C780" s="30" t="s">
        <v>1192</v>
      </c>
      <c r="D780" s="39" t="n">
        <v>0</v>
      </c>
      <c r="E780" s="30" t="s">
        <v>39</v>
      </c>
      <c r="F780" s="30" t="s">
        <v>39</v>
      </c>
      <c r="G780" s="27" t="s">
        <v>482</v>
      </c>
      <c r="H780" s="40" t="s">
        <v>482</v>
      </c>
      <c r="I780" s="27" t="s">
        <v>413</v>
      </c>
      <c r="J780" s="30" t="s">
        <v>336</v>
      </c>
      <c r="K780" s="30" t="s">
        <v>111</v>
      </c>
      <c r="L780" s="26" t="s">
        <v>111</v>
      </c>
      <c r="M780" s="27" t="s">
        <v>352</v>
      </c>
      <c r="N780" s="30" t="n">
        <v>0</v>
      </c>
      <c r="O780" s="27" t="s">
        <v>353</v>
      </c>
      <c r="P780" s="26" t="s">
        <v>1193</v>
      </c>
      <c r="Q780" s="27" t="s">
        <v>1194</v>
      </c>
      <c r="R780" s="27" t="s">
        <v>717</v>
      </c>
      <c r="S780" s="27" t="s">
        <v>340</v>
      </c>
      <c r="T780" s="27" t="s">
        <v>341</v>
      </c>
      <c r="U780" s="27" t="s">
        <v>1195</v>
      </c>
    </row>
    <row r="781" customFormat="false" ht="19.5" hidden="false" customHeight="true" outlineLevel="0" collapsed="false">
      <c r="A781" s="19" t="n">
        <v>6591</v>
      </c>
      <c r="B781" s="15" t="s">
        <v>2284</v>
      </c>
      <c r="C781" s="17" t="s">
        <v>314</v>
      </c>
      <c r="D781" s="16" t="n">
        <v>25</v>
      </c>
      <c r="E781" s="17" t="s">
        <v>63</v>
      </c>
      <c r="F781" s="17" t="s">
        <v>63</v>
      </c>
      <c r="G781" s="15" t="s">
        <v>466</v>
      </c>
      <c r="H781" s="18" t="s">
        <v>466</v>
      </c>
      <c r="I781" s="15" t="s">
        <v>421</v>
      </c>
      <c r="J781" s="17" t="s">
        <v>336</v>
      </c>
      <c r="K781" s="17" t="s">
        <v>1536</v>
      </c>
      <c r="L781" s="19" t="s">
        <v>1536</v>
      </c>
      <c r="M781" s="15" t="s">
        <v>349</v>
      </c>
      <c r="N781" s="17" t="n">
        <v>0</v>
      </c>
      <c r="O781" s="15" t="s">
        <v>339</v>
      </c>
      <c r="P781" s="19" t="s">
        <v>690</v>
      </c>
      <c r="Q781" s="15" t="s">
        <v>691</v>
      </c>
      <c r="R781" s="15" t="s">
        <v>692</v>
      </c>
      <c r="S781" s="15" t="s">
        <v>345</v>
      </c>
      <c r="T781" s="15" t="s">
        <v>341</v>
      </c>
      <c r="U781" s="15" t="s">
        <v>693</v>
      </c>
    </row>
    <row r="782" customFormat="false" ht="19.5" hidden="false" customHeight="true" outlineLevel="0" collapsed="false">
      <c r="A782" s="26" t="n">
        <v>6592</v>
      </c>
      <c r="B782" s="27" t="s">
        <v>2285</v>
      </c>
      <c r="C782" s="30" t="s">
        <v>292</v>
      </c>
      <c r="D782" s="39" t="n">
        <v>0.2</v>
      </c>
      <c r="E782" s="30" t="s">
        <v>39</v>
      </c>
      <c r="F782" s="30" t="s">
        <v>39</v>
      </c>
      <c r="G782" s="27" t="s">
        <v>411</v>
      </c>
      <c r="H782" s="40" t="s">
        <v>411</v>
      </c>
      <c r="I782" s="27" t="s">
        <v>342</v>
      </c>
      <c r="J782" s="30" t="s">
        <v>336</v>
      </c>
      <c r="K782" s="30" t="s">
        <v>111</v>
      </c>
      <c r="L782" s="26" t="s">
        <v>111</v>
      </c>
      <c r="M782" s="27" t="s">
        <v>343</v>
      </c>
      <c r="N782" s="30" t="n">
        <v>25224</v>
      </c>
      <c r="O782" s="27" t="s">
        <v>344</v>
      </c>
      <c r="P782" s="26" t="n">
        <v>25224</v>
      </c>
      <c r="Q782" s="27" t="s">
        <v>2200</v>
      </c>
      <c r="R782" s="27" t="s">
        <v>648</v>
      </c>
      <c r="S782" s="27" t="s">
        <v>345</v>
      </c>
      <c r="T782" s="27" t="s">
        <v>341</v>
      </c>
      <c r="U782" s="27" t="s">
        <v>2286</v>
      </c>
    </row>
    <row r="783" customFormat="false" ht="19.5" hidden="false" customHeight="true" outlineLevel="0" collapsed="false">
      <c r="A783" s="19" t="n">
        <v>6629</v>
      </c>
      <c r="B783" s="15" t="s">
        <v>2287</v>
      </c>
      <c r="C783" s="17" t="s">
        <v>292</v>
      </c>
      <c r="D783" s="16" t="n">
        <v>0.2</v>
      </c>
      <c r="E783" s="17" t="s">
        <v>39</v>
      </c>
      <c r="F783" s="17" t="s">
        <v>39</v>
      </c>
      <c r="G783" s="15" t="s">
        <v>613</v>
      </c>
      <c r="H783" s="18" t="s">
        <v>613</v>
      </c>
      <c r="I783" s="15" t="s">
        <v>342</v>
      </c>
      <c r="J783" s="17" t="s">
        <v>336</v>
      </c>
      <c r="K783" s="17" t="s">
        <v>111</v>
      </c>
      <c r="L783" s="19" t="s">
        <v>111</v>
      </c>
      <c r="M783" s="15" t="s">
        <v>343</v>
      </c>
      <c r="N783" s="17" t="n">
        <v>26820</v>
      </c>
      <c r="O783" s="15" t="s">
        <v>344</v>
      </c>
      <c r="P783" s="19" t="n">
        <v>26820</v>
      </c>
      <c r="Q783" s="15" t="s">
        <v>1100</v>
      </c>
      <c r="R783" s="15" t="s">
        <v>648</v>
      </c>
      <c r="S783" s="15" t="s">
        <v>345</v>
      </c>
      <c r="T783" s="15" t="s">
        <v>341</v>
      </c>
      <c r="U783" s="15" t="s">
        <v>2288</v>
      </c>
    </row>
    <row r="784" customFormat="false" ht="19.5" hidden="false" customHeight="true" outlineLevel="0" collapsed="false">
      <c r="A784" s="26" t="n">
        <v>6653</v>
      </c>
      <c r="B784" s="27" t="s">
        <v>148</v>
      </c>
      <c r="C784" s="30" t="s">
        <v>260</v>
      </c>
      <c r="D784" s="39" t="n">
        <v>5</v>
      </c>
      <c r="E784" s="30" t="s">
        <v>39</v>
      </c>
      <c r="F784" s="30" t="s">
        <v>39</v>
      </c>
      <c r="G784" s="27" t="s">
        <v>149</v>
      </c>
      <c r="H784" s="40" t="s">
        <v>149</v>
      </c>
      <c r="I784" s="27" t="s">
        <v>379</v>
      </c>
      <c r="J784" s="30" t="s">
        <v>336</v>
      </c>
      <c r="K784" s="30" t="s">
        <v>140</v>
      </c>
      <c r="L784" s="26" t="s">
        <v>140</v>
      </c>
      <c r="M784" s="27" t="s">
        <v>343</v>
      </c>
      <c r="N784" s="30" t="n">
        <v>0</v>
      </c>
      <c r="O784" s="27" t="s">
        <v>344</v>
      </c>
      <c r="P784" s="26" t="n">
        <v>40024</v>
      </c>
      <c r="Q784" s="27" t="s">
        <v>2123</v>
      </c>
      <c r="R784" s="27" t="s">
        <v>1217</v>
      </c>
      <c r="S784" s="27" t="s">
        <v>345</v>
      </c>
      <c r="T784" s="27" t="s">
        <v>341</v>
      </c>
      <c r="U784" s="27" t="s">
        <v>2289</v>
      </c>
    </row>
    <row r="785" customFormat="false" ht="19.5" hidden="false" customHeight="true" outlineLevel="0" collapsed="false">
      <c r="A785" s="19" t="n">
        <v>6654</v>
      </c>
      <c r="B785" s="15" t="s">
        <v>151</v>
      </c>
      <c r="C785" s="17" t="s">
        <v>263</v>
      </c>
      <c r="D785" s="16" t="n">
        <v>20</v>
      </c>
      <c r="E785" s="17" t="s">
        <v>39</v>
      </c>
      <c r="F785" s="17" t="s">
        <v>39</v>
      </c>
      <c r="G785" s="15" t="s">
        <v>152</v>
      </c>
      <c r="H785" s="18" t="s">
        <v>152</v>
      </c>
      <c r="I785" s="15" t="s">
        <v>379</v>
      </c>
      <c r="J785" s="17" t="s">
        <v>336</v>
      </c>
      <c r="K785" s="17" t="s">
        <v>140</v>
      </c>
      <c r="L785" s="19" t="s">
        <v>140</v>
      </c>
      <c r="M785" s="15" t="s">
        <v>343</v>
      </c>
      <c r="N785" s="17" t="n">
        <v>0</v>
      </c>
      <c r="O785" s="15" t="s">
        <v>344</v>
      </c>
      <c r="P785" s="19" t="n">
        <v>11325</v>
      </c>
      <c r="Q785" s="15" t="s">
        <v>2290</v>
      </c>
      <c r="R785" s="15" t="s">
        <v>1217</v>
      </c>
      <c r="S785" s="15" t="s">
        <v>345</v>
      </c>
      <c r="T785" s="15" t="s">
        <v>341</v>
      </c>
      <c r="U785" s="15" t="s">
        <v>2291</v>
      </c>
    </row>
    <row r="786" customFormat="false" ht="19.5" hidden="false" customHeight="true" outlineLevel="0" collapsed="false">
      <c r="A786" s="26" t="n">
        <v>6663</v>
      </c>
      <c r="B786" s="27" t="s">
        <v>2292</v>
      </c>
      <c r="C786" s="30" t="s">
        <v>260</v>
      </c>
      <c r="D786" s="39" t="n">
        <v>5</v>
      </c>
      <c r="E786" s="30" t="s">
        <v>39</v>
      </c>
      <c r="F786" s="30" t="s">
        <v>39</v>
      </c>
      <c r="G786" s="27" t="s">
        <v>478</v>
      </c>
      <c r="H786" s="40" t="s">
        <v>478</v>
      </c>
      <c r="I786" s="27" t="s">
        <v>342</v>
      </c>
      <c r="J786" s="30" t="s">
        <v>336</v>
      </c>
      <c r="K786" s="30" t="s">
        <v>479</v>
      </c>
      <c r="L786" s="26" t="s">
        <v>479</v>
      </c>
      <c r="M786" s="27" t="s">
        <v>343</v>
      </c>
      <c r="N786" s="30" t="n">
        <v>27025</v>
      </c>
      <c r="O786" s="27" t="s">
        <v>344</v>
      </c>
      <c r="P786" s="26" t="n">
        <v>27025</v>
      </c>
      <c r="Q786" s="27" t="s">
        <v>2211</v>
      </c>
      <c r="R786" s="27" t="s">
        <v>648</v>
      </c>
      <c r="S786" s="27" t="s">
        <v>345</v>
      </c>
      <c r="T786" s="27" t="s">
        <v>341</v>
      </c>
      <c r="U786" s="27" t="s">
        <v>2212</v>
      </c>
    </row>
    <row r="787" customFormat="false" ht="19.5" hidden="false" customHeight="true" outlineLevel="0" collapsed="false">
      <c r="A787" s="19" t="n">
        <v>6674</v>
      </c>
      <c r="B787" s="15" t="s">
        <v>2293</v>
      </c>
      <c r="C787" s="17" t="s">
        <v>812</v>
      </c>
      <c r="D787" s="16" t="n">
        <v>20</v>
      </c>
      <c r="E787" s="17" t="s">
        <v>63</v>
      </c>
      <c r="F787" s="17" t="s">
        <v>63</v>
      </c>
      <c r="G787" s="15" t="s">
        <v>505</v>
      </c>
      <c r="H787" s="18" t="s">
        <v>505</v>
      </c>
      <c r="I787" s="15" t="s">
        <v>342</v>
      </c>
      <c r="J787" s="17" t="s">
        <v>336</v>
      </c>
      <c r="K787" s="17" t="s">
        <v>136</v>
      </c>
      <c r="L787" s="19" t="s">
        <v>136</v>
      </c>
      <c r="M787" s="15" t="s">
        <v>343</v>
      </c>
      <c r="N787" s="17" t="n">
        <v>13714</v>
      </c>
      <c r="O787" s="15" t="s">
        <v>344</v>
      </c>
      <c r="P787" s="19" t="n">
        <v>13714</v>
      </c>
      <c r="Q787" s="15" t="s">
        <v>813</v>
      </c>
      <c r="R787" s="15" t="s">
        <v>648</v>
      </c>
      <c r="S787" s="15" t="s">
        <v>345</v>
      </c>
      <c r="T787" s="15" t="s">
        <v>341</v>
      </c>
      <c r="U787" s="15" t="s">
        <v>814</v>
      </c>
    </row>
    <row r="788" customFormat="false" ht="19.5" hidden="false" customHeight="true" outlineLevel="0" collapsed="false">
      <c r="A788" s="26" t="n">
        <v>6675</v>
      </c>
      <c r="B788" s="27" t="s">
        <v>2294</v>
      </c>
      <c r="C788" s="30" t="s">
        <v>260</v>
      </c>
      <c r="D788" s="39" t="n">
        <v>5</v>
      </c>
      <c r="E788" s="30" t="s">
        <v>39</v>
      </c>
      <c r="F788" s="30" t="s">
        <v>39</v>
      </c>
      <c r="G788" s="27" t="s">
        <v>155</v>
      </c>
      <c r="H788" s="40" t="s">
        <v>155</v>
      </c>
      <c r="I788" s="27" t="s">
        <v>342</v>
      </c>
      <c r="J788" s="30" t="s">
        <v>336</v>
      </c>
      <c r="K788" s="30" t="s">
        <v>111</v>
      </c>
      <c r="L788" s="26" t="s">
        <v>111</v>
      </c>
      <c r="M788" s="27" t="s">
        <v>343</v>
      </c>
      <c r="N788" s="30" t="n">
        <v>16223</v>
      </c>
      <c r="O788" s="27" t="s">
        <v>344</v>
      </c>
      <c r="P788" s="26" t="n">
        <v>16223</v>
      </c>
      <c r="Q788" s="27" t="s">
        <v>1307</v>
      </c>
      <c r="R788" s="27" t="s">
        <v>648</v>
      </c>
      <c r="S788" s="27" t="s">
        <v>345</v>
      </c>
      <c r="T788" s="27" t="s">
        <v>341</v>
      </c>
      <c r="U788" s="27" t="s">
        <v>1332</v>
      </c>
    </row>
    <row r="789" customFormat="false" ht="19.5" hidden="false" customHeight="true" outlineLevel="0" collapsed="false">
      <c r="A789" s="19" t="n">
        <v>6679</v>
      </c>
      <c r="B789" s="15" t="s">
        <v>2295</v>
      </c>
      <c r="C789" s="17" t="s">
        <v>1402</v>
      </c>
      <c r="D789" s="16" t="n">
        <v>1000</v>
      </c>
      <c r="E789" s="17" t="s">
        <v>63</v>
      </c>
      <c r="F789" s="17" t="s">
        <v>63</v>
      </c>
      <c r="G789" s="15" t="s">
        <v>466</v>
      </c>
      <c r="H789" s="18" t="s">
        <v>466</v>
      </c>
      <c r="I789" s="15" t="s">
        <v>494</v>
      </c>
      <c r="J789" s="17" t="s">
        <v>336</v>
      </c>
      <c r="K789" s="17" t="s">
        <v>128</v>
      </c>
      <c r="L789" s="19" t="s">
        <v>128</v>
      </c>
      <c r="M789" s="15" t="s">
        <v>349</v>
      </c>
      <c r="N789" s="17" t="n">
        <v>0</v>
      </c>
      <c r="O789" s="15" t="s">
        <v>339</v>
      </c>
      <c r="P789" s="19" t="s">
        <v>690</v>
      </c>
      <c r="Q789" s="15" t="s">
        <v>691</v>
      </c>
      <c r="R789" s="15" t="s">
        <v>692</v>
      </c>
      <c r="S789" s="15" t="s">
        <v>345</v>
      </c>
      <c r="T789" s="15" t="s">
        <v>341</v>
      </c>
      <c r="U789" s="15" t="s">
        <v>693</v>
      </c>
    </row>
    <row r="790" customFormat="false" ht="19.5" hidden="false" customHeight="true" outlineLevel="0" collapsed="false">
      <c r="A790" s="26" t="n">
        <v>6702</v>
      </c>
      <c r="B790" s="27" t="s">
        <v>2296</v>
      </c>
      <c r="C790" s="30" t="s">
        <v>263</v>
      </c>
      <c r="D790" s="39" t="n">
        <v>20</v>
      </c>
      <c r="E790" s="30" t="s">
        <v>39</v>
      </c>
      <c r="F790" s="30" t="s">
        <v>39</v>
      </c>
      <c r="G790" s="27" t="s">
        <v>506</v>
      </c>
      <c r="H790" s="40" t="s">
        <v>506</v>
      </c>
      <c r="I790" s="27" t="s">
        <v>342</v>
      </c>
      <c r="J790" s="30" t="s">
        <v>336</v>
      </c>
      <c r="K790" s="30" t="s">
        <v>111</v>
      </c>
      <c r="L790" s="26" t="s">
        <v>111</v>
      </c>
      <c r="M790" s="27" t="s">
        <v>343</v>
      </c>
      <c r="N790" s="30" t="n">
        <v>3524</v>
      </c>
      <c r="O790" s="27" t="s">
        <v>344</v>
      </c>
      <c r="P790" s="26" t="n">
        <v>3524</v>
      </c>
      <c r="Q790" s="27" t="s">
        <v>2297</v>
      </c>
      <c r="R790" s="27" t="s">
        <v>648</v>
      </c>
      <c r="S790" s="27" t="s">
        <v>345</v>
      </c>
      <c r="T790" s="27" t="s">
        <v>341</v>
      </c>
      <c r="U790" s="27" t="s">
        <v>2298</v>
      </c>
    </row>
    <row r="791" customFormat="false" ht="19.5" hidden="false" customHeight="true" outlineLevel="0" collapsed="false">
      <c r="A791" s="19" t="n">
        <v>6703</v>
      </c>
      <c r="B791" s="15" t="s">
        <v>2299</v>
      </c>
      <c r="C791" s="17" t="s">
        <v>263</v>
      </c>
      <c r="D791" s="16" t="n">
        <v>20</v>
      </c>
      <c r="E791" s="17" t="s">
        <v>39</v>
      </c>
      <c r="F791" s="17" t="s">
        <v>39</v>
      </c>
      <c r="G791" s="15" t="s">
        <v>114</v>
      </c>
      <c r="H791" s="18" t="s">
        <v>114</v>
      </c>
      <c r="I791" s="15" t="s">
        <v>356</v>
      </c>
      <c r="J791" s="17" t="s">
        <v>336</v>
      </c>
      <c r="K791" s="17" t="s">
        <v>82</v>
      </c>
      <c r="L791" s="19" t="s">
        <v>82</v>
      </c>
      <c r="M791" s="15" t="s">
        <v>343</v>
      </c>
      <c r="N791" s="17" t="n">
        <v>12123</v>
      </c>
      <c r="O791" s="15" t="s">
        <v>344</v>
      </c>
      <c r="P791" s="19" t="n">
        <v>12123</v>
      </c>
      <c r="Q791" s="15" t="s">
        <v>1742</v>
      </c>
      <c r="R791" s="15" t="s">
        <v>648</v>
      </c>
      <c r="S791" s="15" t="s">
        <v>345</v>
      </c>
      <c r="T791" s="15" t="s">
        <v>341</v>
      </c>
      <c r="U791" s="15" t="s">
        <v>2300</v>
      </c>
    </row>
    <row r="792" customFormat="false" ht="19.5" hidden="false" customHeight="true" outlineLevel="0" collapsed="false">
      <c r="A792" s="26" t="n">
        <v>6714</v>
      </c>
      <c r="B792" s="27" t="s">
        <v>2301</v>
      </c>
      <c r="C792" s="30" t="s">
        <v>288</v>
      </c>
      <c r="D792" s="39" t="n">
        <v>0.2</v>
      </c>
      <c r="E792" s="30" t="s">
        <v>39</v>
      </c>
      <c r="F792" s="30" t="s">
        <v>39</v>
      </c>
      <c r="G792" s="27" t="s">
        <v>599</v>
      </c>
      <c r="H792" s="40" t="s">
        <v>599</v>
      </c>
      <c r="I792" s="27" t="s">
        <v>342</v>
      </c>
      <c r="J792" s="30" t="s">
        <v>336</v>
      </c>
      <c r="K792" s="30" t="s">
        <v>111</v>
      </c>
      <c r="L792" s="26" t="s">
        <v>111</v>
      </c>
      <c r="M792" s="27" t="s">
        <v>343</v>
      </c>
      <c r="N792" s="30" t="n">
        <v>28925</v>
      </c>
      <c r="O792" s="27" t="s">
        <v>344</v>
      </c>
      <c r="P792" s="26" t="n">
        <v>28925</v>
      </c>
      <c r="Q792" s="27" t="s">
        <v>2173</v>
      </c>
      <c r="R792" s="27" t="s">
        <v>648</v>
      </c>
      <c r="S792" s="27" t="s">
        <v>345</v>
      </c>
      <c r="T792" s="27" t="s">
        <v>341</v>
      </c>
      <c r="U792" s="27" t="s">
        <v>2302</v>
      </c>
    </row>
    <row r="793" customFormat="false" ht="19.5" hidden="false" customHeight="true" outlineLevel="0" collapsed="false">
      <c r="A793" s="19" t="n">
        <v>6722</v>
      </c>
      <c r="B793" s="15" t="s">
        <v>2303</v>
      </c>
      <c r="C793" s="17" t="s">
        <v>763</v>
      </c>
      <c r="D793" s="16" t="n">
        <v>10</v>
      </c>
      <c r="E793" s="17" t="s">
        <v>39</v>
      </c>
      <c r="F793" s="17" t="s">
        <v>39</v>
      </c>
      <c r="G793" s="15" t="s">
        <v>269</v>
      </c>
      <c r="H793" s="18" t="s">
        <v>269</v>
      </c>
      <c r="I793" s="15" t="s">
        <v>356</v>
      </c>
      <c r="J793" s="17" t="s">
        <v>360</v>
      </c>
      <c r="K793" s="17" t="s">
        <v>51</v>
      </c>
      <c r="L793" s="19" t="s">
        <v>51</v>
      </c>
      <c r="M793" s="15" t="s">
        <v>361</v>
      </c>
      <c r="N793" s="17" t="n">
        <v>31422</v>
      </c>
      <c r="O793" s="15" t="s">
        <v>344</v>
      </c>
      <c r="P793" s="19" t="n">
        <v>31422</v>
      </c>
      <c r="Q793" s="15" t="s">
        <v>1120</v>
      </c>
      <c r="R793" s="15" t="s">
        <v>648</v>
      </c>
      <c r="S793" s="15" t="s">
        <v>345</v>
      </c>
      <c r="T793" s="15" t="s">
        <v>341</v>
      </c>
      <c r="U793" s="15" t="s">
        <v>1498</v>
      </c>
    </row>
    <row r="794" customFormat="false" ht="19.5" hidden="false" customHeight="true" outlineLevel="0" collapsed="false">
      <c r="A794" s="26" t="n">
        <v>6728</v>
      </c>
      <c r="B794" s="27" t="s">
        <v>2304</v>
      </c>
      <c r="C794" s="30" t="s">
        <v>1192</v>
      </c>
      <c r="D794" s="39" t="n">
        <v>0</v>
      </c>
      <c r="E794" s="30" t="s">
        <v>39</v>
      </c>
      <c r="F794" s="30" t="s">
        <v>39</v>
      </c>
      <c r="G794" s="27" t="s">
        <v>149</v>
      </c>
      <c r="H794" s="40" t="s">
        <v>149</v>
      </c>
      <c r="I794" s="27" t="s">
        <v>402</v>
      </c>
      <c r="J794" s="30" t="s">
        <v>336</v>
      </c>
      <c r="K794" s="30" t="s">
        <v>140</v>
      </c>
      <c r="L794" s="26" t="s">
        <v>140</v>
      </c>
      <c r="M794" s="27" t="s">
        <v>352</v>
      </c>
      <c r="N794" s="30" t="n">
        <v>0</v>
      </c>
      <c r="O794" s="27" t="s">
        <v>353</v>
      </c>
      <c r="P794" s="26" t="n">
        <v>24324</v>
      </c>
      <c r="Q794" s="27" t="s">
        <v>2305</v>
      </c>
      <c r="R794" s="27" t="s">
        <v>717</v>
      </c>
      <c r="S794" s="27" t="s">
        <v>340</v>
      </c>
      <c r="T794" s="27" t="s">
        <v>341</v>
      </c>
      <c r="U794" s="27" t="s">
        <v>2306</v>
      </c>
    </row>
    <row r="795" customFormat="false" ht="19.5" hidden="false" customHeight="true" outlineLevel="0" collapsed="false">
      <c r="A795" s="19" t="n">
        <v>6732</v>
      </c>
      <c r="B795" s="15" t="s">
        <v>2307</v>
      </c>
      <c r="C795" s="17" t="s">
        <v>260</v>
      </c>
      <c r="D795" s="16" t="n">
        <v>5</v>
      </c>
      <c r="E795" s="17" t="s">
        <v>39</v>
      </c>
      <c r="F795" s="17" t="s">
        <v>39</v>
      </c>
      <c r="G795" s="15" t="s">
        <v>429</v>
      </c>
      <c r="H795" s="18" t="s">
        <v>429</v>
      </c>
      <c r="I795" s="15" t="s">
        <v>363</v>
      </c>
      <c r="J795" s="17" t="s">
        <v>336</v>
      </c>
      <c r="K795" s="17" t="s">
        <v>140</v>
      </c>
      <c r="L795" s="19" t="s">
        <v>82</v>
      </c>
      <c r="M795" s="15" t="s">
        <v>352</v>
      </c>
      <c r="N795" s="17" t="n">
        <v>0</v>
      </c>
      <c r="O795" s="15" t="s">
        <v>353</v>
      </c>
      <c r="P795" s="19" t="s">
        <v>1193</v>
      </c>
      <c r="Q795" s="15" t="s">
        <v>1194</v>
      </c>
      <c r="R795" s="15" t="s">
        <v>717</v>
      </c>
      <c r="S795" s="15" t="s">
        <v>340</v>
      </c>
      <c r="T795" s="15" t="s">
        <v>341</v>
      </c>
      <c r="U795" s="15" t="s">
        <v>1542</v>
      </c>
    </row>
    <row r="796" customFormat="false" ht="19.5" hidden="false" customHeight="true" outlineLevel="0" collapsed="false">
      <c r="A796" s="26" t="n">
        <v>6733</v>
      </c>
      <c r="B796" s="27" t="s">
        <v>2308</v>
      </c>
      <c r="C796" s="30" t="s">
        <v>2023</v>
      </c>
      <c r="D796" s="39" t="n">
        <v>10</v>
      </c>
      <c r="E796" s="30" t="s">
        <v>39</v>
      </c>
      <c r="F796" s="30" t="s">
        <v>39</v>
      </c>
      <c r="G796" s="27" t="s">
        <v>429</v>
      </c>
      <c r="H796" s="40" t="s">
        <v>429</v>
      </c>
      <c r="I796" s="27" t="s">
        <v>363</v>
      </c>
      <c r="J796" s="30" t="s">
        <v>336</v>
      </c>
      <c r="K796" s="30" t="s">
        <v>140</v>
      </c>
      <c r="L796" s="26" t="s">
        <v>82</v>
      </c>
      <c r="M796" s="27" t="s">
        <v>352</v>
      </c>
      <c r="N796" s="30" t="n">
        <v>0</v>
      </c>
      <c r="O796" s="27" t="s">
        <v>353</v>
      </c>
      <c r="P796" s="26" t="s">
        <v>1193</v>
      </c>
      <c r="Q796" s="27" t="s">
        <v>1194</v>
      </c>
      <c r="R796" s="27" t="s">
        <v>717</v>
      </c>
      <c r="S796" s="27" t="s">
        <v>340</v>
      </c>
      <c r="T796" s="27" t="s">
        <v>341</v>
      </c>
      <c r="U796" s="27" t="s">
        <v>1542</v>
      </c>
    </row>
    <row r="797" customFormat="false" ht="19.5" hidden="false" customHeight="true" outlineLevel="0" collapsed="false">
      <c r="A797" s="19" t="n">
        <v>6734</v>
      </c>
      <c r="B797" s="15" t="s">
        <v>2309</v>
      </c>
      <c r="C797" s="17" t="s">
        <v>1192</v>
      </c>
      <c r="D797" s="16" t="n">
        <v>0</v>
      </c>
      <c r="E797" s="17" t="s">
        <v>63</v>
      </c>
      <c r="F797" s="17" t="s">
        <v>63</v>
      </c>
      <c r="G797" s="15" t="s">
        <v>470</v>
      </c>
      <c r="H797" s="18" t="s">
        <v>470</v>
      </c>
      <c r="I797" s="15" t="s">
        <v>363</v>
      </c>
      <c r="J797" s="17" t="s">
        <v>336</v>
      </c>
      <c r="K797" s="17" t="s">
        <v>82</v>
      </c>
      <c r="L797" s="19" t="s">
        <v>82</v>
      </c>
      <c r="M797" s="15" t="s">
        <v>352</v>
      </c>
      <c r="N797" s="17" t="n">
        <v>27717</v>
      </c>
      <c r="O797" s="15" t="s">
        <v>344</v>
      </c>
      <c r="P797" s="19" t="n">
        <v>27717</v>
      </c>
      <c r="Q797" s="15" t="s">
        <v>1323</v>
      </c>
      <c r="R797" s="15" t="s">
        <v>648</v>
      </c>
      <c r="S797" s="15" t="s">
        <v>340</v>
      </c>
      <c r="T797" s="15" t="s">
        <v>341</v>
      </c>
      <c r="U797" s="15" t="s">
        <v>2310</v>
      </c>
    </row>
    <row r="798" customFormat="false" ht="19.5" hidden="false" customHeight="true" outlineLevel="0" collapsed="false">
      <c r="A798" s="26" t="n">
        <v>6735</v>
      </c>
      <c r="B798" s="27" t="s">
        <v>2311</v>
      </c>
      <c r="C798" s="30" t="s">
        <v>1192</v>
      </c>
      <c r="D798" s="39" t="n">
        <v>0</v>
      </c>
      <c r="E798" s="30" t="s">
        <v>63</v>
      </c>
      <c r="F798" s="30" t="s">
        <v>63</v>
      </c>
      <c r="G798" s="27" t="s">
        <v>145</v>
      </c>
      <c r="H798" s="40" t="s">
        <v>145</v>
      </c>
      <c r="I798" s="27" t="s">
        <v>413</v>
      </c>
      <c r="J798" s="30" t="s">
        <v>336</v>
      </c>
      <c r="K798" s="30" t="s">
        <v>146</v>
      </c>
      <c r="L798" s="26" t="s">
        <v>146</v>
      </c>
      <c r="M798" s="27" t="s">
        <v>352</v>
      </c>
      <c r="N798" s="30" t="n">
        <v>12920</v>
      </c>
      <c r="O798" s="27" t="s">
        <v>344</v>
      </c>
      <c r="P798" s="26" t="n">
        <v>12920</v>
      </c>
      <c r="Q798" s="27" t="s">
        <v>699</v>
      </c>
      <c r="R798" s="27" t="s">
        <v>648</v>
      </c>
      <c r="S798" s="27" t="s">
        <v>340</v>
      </c>
      <c r="T798" s="27" t="s">
        <v>341</v>
      </c>
      <c r="U798" s="27" t="s">
        <v>2312</v>
      </c>
    </row>
    <row r="799" customFormat="false" ht="19.5" hidden="false" customHeight="true" outlineLevel="0" collapsed="false">
      <c r="A799" s="19" t="n">
        <v>6736</v>
      </c>
      <c r="B799" s="15" t="s">
        <v>2313</v>
      </c>
      <c r="C799" s="17" t="s">
        <v>1192</v>
      </c>
      <c r="D799" s="16" t="n">
        <v>0</v>
      </c>
      <c r="E799" s="17" t="s">
        <v>39</v>
      </c>
      <c r="F799" s="17" t="s">
        <v>39</v>
      </c>
      <c r="G799" s="15" t="s">
        <v>446</v>
      </c>
      <c r="H799" s="18" t="s">
        <v>446</v>
      </c>
      <c r="I799" s="15" t="s">
        <v>413</v>
      </c>
      <c r="J799" s="17" t="s">
        <v>336</v>
      </c>
      <c r="K799" s="17" t="s">
        <v>111</v>
      </c>
      <c r="L799" s="19" t="s">
        <v>111</v>
      </c>
      <c r="M799" s="15" t="s">
        <v>352</v>
      </c>
      <c r="N799" s="17" t="n">
        <v>26222</v>
      </c>
      <c r="O799" s="15" t="s">
        <v>344</v>
      </c>
      <c r="P799" s="19" t="n">
        <v>26222</v>
      </c>
      <c r="Q799" s="15" t="s">
        <v>1411</v>
      </c>
      <c r="R799" s="15" t="s">
        <v>648</v>
      </c>
      <c r="S799" s="15" t="s">
        <v>340</v>
      </c>
      <c r="T799" s="15" t="s">
        <v>341</v>
      </c>
      <c r="U799" s="15" t="s">
        <v>2314</v>
      </c>
    </row>
    <row r="800" customFormat="false" ht="19.5" hidden="false" customHeight="true" outlineLevel="0" collapsed="false">
      <c r="A800" s="26" t="n">
        <v>6737</v>
      </c>
      <c r="B800" s="27" t="s">
        <v>2315</v>
      </c>
      <c r="C800" s="30" t="s">
        <v>1192</v>
      </c>
      <c r="D800" s="39" t="n">
        <v>0</v>
      </c>
      <c r="E800" s="30" t="s">
        <v>39</v>
      </c>
      <c r="F800" s="30" t="s">
        <v>39</v>
      </c>
      <c r="G800" s="27" t="s">
        <v>590</v>
      </c>
      <c r="H800" s="40" t="s">
        <v>590</v>
      </c>
      <c r="I800" s="27" t="s">
        <v>402</v>
      </c>
      <c r="J800" s="30" t="s">
        <v>336</v>
      </c>
      <c r="K800" s="30" t="s">
        <v>140</v>
      </c>
      <c r="L800" s="26" t="s">
        <v>140</v>
      </c>
      <c r="M800" s="27" t="s">
        <v>352</v>
      </c>
      <c r="N800" s="30" t="n">
        <v>34725</v>
      </c>
      <c r="O800" s="27" t="s">
        <v>344</v>
      </c>
      <c r="P800" s="26" t="n">
        <v>4026</v>
      </c>
      <c r="Q800" s="27" t="s">
        <v>2316</v>
      </c>
      <c r="R800" s="27" t="s">
        <v>702</v>
      </c>
      <c r="S800" s="27" t="s">
        <v>340</v>
      </c>
      <c r="T800" s="27" t="s">
        <v>341</v>
      </c>
      <c r="U800" s="27" t="s">
        <v>2317</v>
      </c>
    </row>
    <row r="801" customFormat="false" ht="19.5" hidden="false" customHeight="true" outlineLevel="0" collapsed="false">
      <c r="A801" s="19" t="n">
        <v>6738</v>
      </c>
      <c r="B801" s="15" t="s">
        <v>2318</v>
      </c>
      <c r="C801" s="17" t="s">
        <v>2319</v>
      </c>
      <c r="D801" s="16" t="n">
        <v>20</v>
      </c>
      <c r="E801" s="17" t="s">
        <v>39</v>
      </c>
      <c r="F801" s="17" t="s">
        <v>39</v>
      </c>
      <c r="G801" s="15" t="s">
        <v>443</v>
      </c>
      <c r="H801" s="18" t="s">
        <v>443</v>
      </c>
      <c r="I801" s="15" t="s">
        <v>355</v>
      </c>
      <c r="J801" s="17" t="s">
        <v>336</v>
      </c>
      <c r="K801" s="17" t="s">
        <v>82</v>
      </c>
      <c r="L801" s="19" t="s">
        <v>82</v>
      </c>
      <c r="M801" s="15" t="s">
        <v>343</v>
      </c>
      <c r="N801" s="17" t="n">
        <v>43818</v>
      </c>
      <c r="O801" s="15" t="s">
        <v>344</v>
      </c>
      <c r="P801" s="19" t="n">
        <v>43818</v>
      </c>
      <c r="Q801" s="15" t="s">
        <v>1151</v>
      </c>
      <c r="R801" s="15" t="s">
        <v>648</v>
      </c>
      <c r="S801" s="15" t="s">
        <v>345</v>
      </c>
      <c r="T801" s="15" t="s">
        <v>341</v>
      </c>
      <c r="U801" s="15" t="s">
        <v>2320</v>
      </c>
    </row>
    <row r="802" customFormat="false" ht="19.5" hidden="false" customHeight="true" outlineLevel="0" collapsed="false">
      <c r="A802" s="26" t="n">
        <v>6739</v>
      </c>
      <c r="B802" s="27" t="s">
        <v>2321</v>
      </c>
      <c r="C802" s="30" t="s">
        <v>2023</v>
      </c>
      <c r="D802" s="39" t="n">
        <v>10</v>
      </c>
      <c r="E802" s="30" t="s">
        <v>39</v>
      </c>
      <c r="F802" s="30" t="s">
        <v>39</v>
      </c>
      <c r="G802" s="27" t="s">
        <v>429</v>
      </c>
      <c r="H802" s="40" t="s">
        <v>429</v>
      </c>
      <c r="I802" s="27" t="s">
        <v>356</v>
      </c>
      <c r="J802" s="30" t="s">
        <v>336</v>
      </c>
      <c r="K802" s="30" t="s">
        <v>82</v>
      </c>
      <c r="L802" s="26" t="s">
        <v>82</v>
      </c>
      <c r="M802" s="27" t="s">
        <v>343</v>
      </c>
      <c r="N802" s="30" t="n">
        <v>40624</v>
      </c>
      <c r="O802" s="27" t="s">
        <v>344</v>
      </c>
      <c r="P802" s="26" t="n">
        <v>40624</v>
      </c>
      <c r="Q802" s="27" t="s">
        <v>1588</v>
      </c>
      <c r="R802" s="27" t="s">
        <v>648</v>
      </c>
      <c r="S802" s="27" t="s">
        <v>345</v>
      </c>
      <c r="T802" s="27" t="s">
        <v>341</v>
      </c>
      <c r="U802" s="27" t="s">
        <v>1589</v>
      </c>
    </row>
    <row r="803" customFormat="false" ht="19.5" hidden="false" customHeight="true" outlineLevel="0" collapsed="false">
      <c r="A803" s="19" t="n">
        <v>6740</v>
      </c>
      <c r="B803" s="15" t="s">
        <v>2322</v>
      </c>
      <c r="C803" s="17" t="s">
        <v>260</v>
      </c>
      <c r="D803" s="16" t="n">
        <v>5</v>
      </c>
      <c r="E803" s="17" t="s">
        <v>39</v>
      </c>
      <c r="F803" s="17" t="s">
        <v>39</v>
      </c>
      <c r="G803" s="15" t="s">
        <v>429</v>
      </c>
      <c r="H803" s="18" t="s">
        <v>429</v>
      </c>
      <c r="I803" s="15" t="s">
        <v>356</v>
      </c>
      <c r="J803" s="17" t="s">
        <v>336</v>
      </c>
      <c r="K803" s="17" t="s">
        <v>82</v>
      </c>
      <c r="L803" s="19" t="s">
        <v>82</v>
      </c>
      <c r="M803" s="15" t="s">
        <v>343</v>
      </c>
      <c r="N803" s="17" t="n">
        <v>40624</v>
      </c>
      <c r="O803" s="15" t="s">
        <v>344</v>
      </c>
      <c r="P803" s="19" t="n">
        <v>40624</v>
      </c>
      <c r="Q803" s="15" t="s">
        <v>1588</v>
      </c>
      <c r="R803" s="15" t="s">
        <v>648</v>
      </c>
      <c r="S803" s="15" t="s">
        <v>345</v>
      </c>
      <c r="T803" s="15" t="s">
        <v>341</v>
      </c>
      <c r="U803" s="15" t="s">
        <v>1589</v>
      </c>
    </row>
    <row r="804" customFormat="false" ht="19.5" hidden="false" customHeight="true" outlineLevel="0" collapsed="false">
      <c r="A804" s="26" t="n">
        <v>6741</v>
      </c>
      <c r="B804" s="27" t="s">
        <v>2323</v>
      </c>
      <c r="C804" s="30" t="s">
        <v>260</v>
      </c>
      <c r="D804" s="39" t="n">
        <v>5</v>
      </c>
      <c r="E804" s="30" t="s">
        <v>39</v>
      </c>
      <c r="F804" s="30" t="s">
        <v>39</v>
      </c>
      <c r="G804" s="27" t="s">
        <v>473</v>
      </c>
      <c r="H804" s="40" t="s">
        <v>473</v>
      </c>
      <c r="I804" s="27" t="s">
        <v>379</v>
      </c>
      <c r="J804" s="30" t="s">
        <v>336</v>
      </c>
      <c r="K804" s="30" t="s">
        <v>140</v>
      </c>
      <c r="L804" s="26" t="s">
        <v>140</v>
      </c>
      <c r="M804" s="27" t="s">
        <v>343</v>
      </c>
      <c r="N804" s="30" t="n">
        <v>17219</v>
      </c>
      <c r="O804" s="27" t="s">
        <v>344</v>
      </c>
      <c r="P804" s="26" t="n">
        <v>17219</v>
      </c>
      <c r="Q804" s="27" t="s">
        <v>1046</v>
      </c>
      <c r="R804" s="27" t="s">
        <v>648</v>
      </c>
      <c r="S804" s="27" t="s">
        <v>345</v>
      </c>
      <c r="T804" s="27" t="s">
        <v>341</v>
      </c>
      <c r="U804" s="27" t="s">
        <v>2324</v>
      </c>
    </row>
    <row r="805" customFormat="false" ht="19.5" hidden="false" customHeight="true" outlineLevel="0" collapsed="false">
      <c r="A805" s="19" t="n">
        <v>6743</v>
      </c>
      <c r="B805" s="15" t="s">
        <v>2325</v>
      </c>
      <c r="C805" s="17" t="s">
        <v>314</v>
      </c>
      <c r="D805" s="16" t="n">
        <v>25</v>
      </c>
      <c r="E805" s="17" t="s">
        <v>63</v>
      </c>
      <c r="F805" s="17" t="s">
        <v>63</v>
      </c>
      <c r="G805" s="15" t="s">
        <v>577</v>
      </c>
      <c r="H805" s="18" t="s">
        <v>577</v>
      </c>
      <c r="I805" s="15" t="s">
        <v>347</v>
      </c>
      <c r="J805" s="17" t="s">
        <v>336</v>
      </c>
      <c r="K805" s="17" t="s">
        <v>348</v>
      </c>
      <c r="L805" s="19" t="s">
        <v>348</v>
      </c>
      <c r="M805" s="15" t="s">
        <v>349</v>
      </c>
      <c r="N805" s="17" t="n">
        <v>0</v>
      </c>
      <c r="O805" s="15" t="s">
        <v>339</v>
      </c>
      <c r="P805" s="19" t="s">
        <v>690</v>
      </c>
      <c r="Q805" s="15" t="s">
        <v>691</v>
      </c>
      <c r="R805" s="15" t="s">
        <v>692</v>
      </c>
      <c r="S805" s="15" t="s">
        <v>345</v>
      </c>
      <c r="T805" s="15" t="s">
        <v>341</v>
      </c>
      <c r="U805" s="15" t="s">
        <v>693</v>
      </c>
    </row>
    <row r="806" customFormat="false" ht="19.5" hidden="false" customHeight="true" outlineLevel="0" collapsed="false">
      <c r="A806" s="26" t="n">
        <v>6750</v>
      </c>
      <c r="B806" s="27" t="s">
        <v>312</v>
      </c>
      <c r="C806" s="30" t="s">
        <v>292</v>
      </c>
      <c r="D806" s="39" t="n">
        <v>0.2</v>
      </c>
      <c r="E806" s="30" t="s">
        <v>39</v>
      </c>
      <c r="F806" s="30" t="s">
        <v>39</v>
      </c>
      <c r="G806" s="27" t="s">
        <v>44</v>
      </c>
      <c r="H806" s="40" t="s">
        <v>44</v>
      </c>
      <c r="I806" s="27" t="s">
        <v>356</v>
      </c>
      <c r="J806" s="30" t="s">
        <v>360</v>
      </c>
      <c r="K806" s="30" t="s">
        <v>51</v>
      </c>
      <c r="L806" s="26" t="s">
        <v>45</v>
      </c>
      <c r="M806" s="27" t="s">
        <v>361</v>
      </c>
      <c r="N806" s="30" t="n">
        <v>2020</v>
      </c>
      <c r="O806" s="27" t="s">
        <v>344</v>
      </c>
      <c r="P806" s="26" t="n">
        <v>2020</v>
      </c>
      <c r="Q806" s="27" t="s">
        <v>984</v>
      </c>
      <c r="R806" s="27" t="s">
        <v>648</v>
      </c>
      <c r="S806" s="27" t="s">
        <v>345</v>
      </c>
      <c r="T806" s="27" t="s">
        <v>341</v>
      </c>
      <c r="U806" s="27" t="s">
        <v>985</v>
      </c>
    </row>
    <row r="807" customFormat="false" ht="19.5" hidden="false" customHeight="true" outlineLevel="0" collapsed="false">
      <c r="A807" s="19" t="n">
        <v>6758</v>
      </c>
      <c r="B807" s="15" t="s">
        <v>2326</v>
      </c>
      <c r="C807" s="17" t="s">
        <v>263</v>
      </c>
      <c r="D807" s="16" t="n">
        <v>20</v>
      </c>
      <c r="E807" s="17" t="s">
        <v>39</v>
      </c>
      <c r="F807" s="17" t="s">
        <v>39</v>
      </c>
      <c r="G807" s="15" t="s">
        <v>446</v>
      </c>
      <c r="H807" s="18" t="s">
        <v>446</v>
      </c>
      <c r="I807" s="15" t="s">
        <v>447</v>
      </c>
      <c r="J807" s="17" t="s">
        <v>336</v>
      </c>
      <c r="K807" s="17" t="s">
        <v>111</v>
      </c>
      <c r="L807" s="19" t="s">
        <v>111</v>
      </c>
      <c r="M807" s="15" t="s">
        <v>343</v>
      </c>
      <c r="N807" s="17" t="n">
        <v>34621</v>
      </c>
      <c r="O807" s="15" t="s">
        <v>344</v>
      </c>
      <c r="P807" s="19" t="n">
        <v>34621</v>
      </c>
      <c r="Q807" s="15" t="s">
        <v>959</v>
      </c>
      <c r="R807" s="15" t="s">
        <v>648</v>
      </c>
      <c r="S807" s="15" t="s">
        <v>345</v>
      </c>
      <c r="T807" s="15" t="s">
        <v>341</v>
      </c>
      <c r="U807" s="15" t="s">
        <v>2327</v>
      </c>
    </row>
    <row r="808" customFormat="false" ht="19.5" hidden="false" customHeight="true" outlineLevel="0" collapsed="false">
      <c r="A808" s="26" t="n">
        <v>6760</v>
      </c>
      <c r="B808" s="27" t="s">
        <v>2328</v>
      </c>
      <c r="C808" s="30" t="s">
        <v>260</v>
      </c>
      <c r="D808" s="39" t="n">
        <v>5</v>
      </c>
      <c r="E808" s="30" t="s">
        <v>39</v>
      </c>
      <c r="F808" s="30" t="s">
        <v>39</v>
      </c>
      <c r="G808" s="27" t="s">
        <v>506</v>
      </c>
      <c r="H808" s="40" t="s">
        <v>506</v>
      </c>
      <c r="I808" s="27" t="s">
        <v>342</v>
      </c>
      <c r="J808" s="30" t="s">
        <v>336</v>
      </c>
      <c r="K808" s="30" t="s">
        <v>111</v>
      </c>
      <c r="L808" s="26" t="s">
        <v>111</v>
      </c>
      <c r="M808" s="27" t="s">
        <v>343</v>
      </c>
      <c r="N808" s="30" t="n">
        <v>25423</v>
      </c>
      <c r="O808" s="27" t="s">
        <v>344</v>
      </c>
      <c r="P808" s="26" t="n">
        <v>25423</v>
      </c>
      <c r="Q808" s="27" t="s">
        <v>2088</v>
      </c>
      <c r="R808" s="27" t="s">
        <v>648</v>
      </c>
      <c r="S808" s="27" t="s">
        <v>345</v>
      </c>
      <c r="T808" s="27" t="s">
        <v>341</v>
      </c>
      <c r="U808" s="27" t="s">
        <v>2089</v>
      </c>
    </row>
    <row r="809" customFormat="false" ht="19.5" hidden="false" customHeight="true" outlineLevel="0" collapsed="false">
      <c r="A809" s="19" t="n">
        <v>6768</v>
      </c>
      <c r="B809" s="15" t="s">
        <v>2329</v>
      </c>
      <c r="C809" s="17" t="s">
        <v>1402</v>
      </c>
      <c r="D809" s="16" t="n">
        <v>1000</v>
      </c>
      <c r="E809" s="17" t="s">
        <v>1403</v>
      </c>
      <c r="F809" s="17" t="s">
        <v>1403</v>
      </c>
      <c r="G809" s="15" t="s">
        <v>559</v>
      </c>
      <c r="H809" s="18" t="s">
        <v>559</v>
      </c>
      <c r="I809" s="15" t="s">
        <v>560</v>
      </c>
      <c r="J809" s="17" t="s">
        <v>336</v>
      </c>
      <c r="K809" s="17" t="s">
        <v>561</v>
      </c>
      <c r="L809" s="19" t="s">
        <v>561</v>
      </c>
      <c r="M809" s="15" t="s">
        <v>349</v>
      </c>
      <c r="N809" s="17" t="n">
        <v>0</v>
      </c>
      <c r="O809" s="15" t="s">
        <v>339</v>
      </c>
      <c r="P809" s="19" t="s">
        <v>690</v>
      </c>
      <c r="Q809" s="15" t="s">
        <v>691</v>
      </c>
      <c r="R809" s="15" t="s">
        <v>692</v>
      </c>
      <c r="S809" s="15" t="s">
        <v>345</v>
      </c>
      <c r="T809" s="15" t="s">
        <v>341</v>
      </c>
      <c r="U809" s="15" t="s">
        <v>693</v>
      </c>
    </row>
    <row r="810" customFormat="false" ht="19.5" hidden="false" customHeight="true" outlineLevel="0" collapsed="false">
      <c r="A810" s="26" t="n">
        <v>6770</v>
      </c>
      <c r="B810" s="27" t="s">
        <v>2330</v>
      </c>
      <c r="C810" s="30" t="s">
        <v>272</v>
      </c>
      <c r="D810" s="39" t="n">
        <v>5</v>
      </c>
      <c r="E810" s="30" t="s">
        <v>63</v>
      </c>
      <c r="F810" s="30" t="s">
        <v>63</v>
      </c>
      <c r="G810" s="27" t="s">
        <v>483</v>
      </c>
      <c r="H810" s="40" t="s">
        <v>483</v>
      </c>
      <c r="I810" s="27" t="s">
        <v>342</v>
      </c>
      <c r="J810" s="30" t="s">
        <v>336</v>
      </c>
      <c r="K810" s="30" t="s">
        <v>111</v>
      </c>
      <c r="L810" s="26" t="s">
        <v>111</v>
      </c>
      <c r="M810" s="27" t="s">
        <v>343</v>
      </c>
      <c r="N810" s="30" t="n">
        <v>15623</v>
      </c>
      <c r="O810" s="27" t="s">
        <v>344</v>
      </c>
      <c r="P810" s="26" t="n">
        <v>15623</v>
      </c>
      <c r="Q810" s="27" t="s">
        <v>2331</v>
      </c>
      <c r="R810" s="27" t="s">
        <v>648</v>
      </c>
      <c r="S810" s="27" t="s">
        <v>345</v>
      </c>
      <c r="T810" s="27" t="s">
        <v>341</v>
      </c>
      <c r="U810" s="27" t="s">
        <v>2332</v>
      </c>
    </row>
    <row r="811" customFormat="false" ht="19.5" hidden="false" customHeight="true" outlineLevel="0" collapsed="false">
      <c r="A811" s="19" t="n">
        <v>6776</v>
      </c>
      <c r="B811" s="15" t="s">
        <v>2333</v>
      </c>
      <c r="C811" s="17" t="s">
        <v>260</v>
      </c>
      <c r="D811" s="16" t="n">
        <v>5</v>
      </c>
      <c r="E811" s="17" t="s">
        <v>39</v>
      </c>
      <c r="F811" s="17" t="s">
        <v>39</v>
      </c>
      <c r="G811" s="15" t="s">
        <v>152</v>
      </c>
      <c r="H811" s="18" t="s">
        <v>152</v>
      </c>
      <c r="I811" s="15" t="s">
        <v>379</v>
      </c>
      <c r="J811" s="17" t="s">
        <v>336</v>
      </c>
      <c r="K811" s="17" t="s">
        <v>140</v>
      </c>
      <c r="L811" s="19" t="s">
        <v>140</v>
      </c>
      <c r="M811" s="15" t="s">
        <v>343</v>
      </c>
      <c r="N811" s="17" t="n">
        <v>0</v>
      </c>
      <c r="O811" s="15" t="s">
        <v>344</v>
      </c>
      <c r="P811" s="19" t="n">
        <v>11325</v>
      </c>
      <c r="Q811" s="15" t="s">
        <v>2290</v>
      </c>
      <c r="R811" s="15" t="s">
        <v>1217</v>
      </c>
      <c r="S811" s="15" t="s">
        <v>345</v>
      </c>
      <c r="T811" s="15" t="s">
        <v>341</v>
      </c>
      <c r="U811" s="15" t="s">
        <v>2291</v>
      </c>
    </row>
    <row r="812" customFormat="false" ht="19.5" hidden="false" customHeight="true" outlineLevel="0" collapsed="false">
      <c r="A812" s="26" t="n">
        <v>6782</v>
      </c>
      <c r="B812" s="27" t="s">
        <v>2334</v>
      </c>
      <c r="C812" s="30" t="s">
        <v>263</v>
      </c>
      <c r="D812" s="39" t="n">
        <v>20</v>
      </c>
      <c r="E812" s="30" t="s">
        <v>39</v>
      </c>
      <c r="F812" s="30" t="s">
        <v>39</v>
      </c>
      <c r="G812" s="27" t="s">
        <v>114</v>
      </c>
      <c r="H812" s="40" t="s">
        <v>114</v>
      </c>
      <c r="I812" s="27" t="s">
        <v>356</v>
      </c>
      <c r="J812" s="30" t="s">
        <v>336</v>
      </c>
      <c r="K812" s="30" t="s">
        <v>82</v>
      </c>
      <c r="L812" s="26" t="s">
        <v>82</v>
      </c>
      <c r="M812" s="27" t="s">
        <v>343</v>
      </c>
      <c r="N812" s="30" t="n">
        <v>12123</v>
      </c>
      <c r="O812" s="27" t="s">
        <v>344</v>
      </c>
      <c r="P812" s="26" t="n">
        <v>12123</v>
      </c>
      <c r="Q812" s="27" t="s">
        <v>1742</v>
      </c>
      <c r="R812" s="27" t="s">
        <v>648</v>
      </c>
      <c r="S812" s="27" t="s">
        <v>345</v>
      </c>
      <c r="T812" s="27" t="s">
        <v>341</v>
      </c>
      <c r="U812" s="27" t="s">
        <v>2335</v>
      </c>
    </row>
    <row r="813" customFormat="false" ht="19.5" hidden="false" customHeight="true" outlineLevel="0" collapsed="false">
      <c r="A813" s="19" t="n">
        <v>6783</v>
      </c>
      <c r="B813" s="15" t="s">
        <v>2336</v>
      </c>
      <c r="C813" s="17" t="s">
        <v>263</v>
      </c>
      <c r="D813" s="16" t="n">
        <v>20</v>
      </c>
      <c r="E813" s="17" t="s">
        <v>39</v>
      </c>
      <c r="F813" s="17" t="s">
        <v>39</v>
      </c>
      <c r="G813" s="15" t="s">
        <v>114</v>
      </c>
      <c r="H813" s="18" t="s">
        <v>114</v>
      </c>
      <c r="I813" s="15" t="s">
        <v>356</v>
      </c>
      <c r="J813" s="17" t="s">
        <v>336</v>
      </c>
      <c r="K813" s="17" t="s">
        <v>82</v>
      </c>
      <c r="L813" s="19" t="s">
        <v>82</v>
      </c>
      <c r="M813" s="15" t="s">
        <v>343</v>
      </c>
      <c r="N813" s="17" t="n">
        <v>12123</v>
      </c>
      <c r="O813" s="15" t="s">
        <v>344</v>
      </c>
      <c r="P813" s="19" t="n">
        <v>12123</v>
      </c>
      <c r="Q813" s="15" t="s">
        <v>1742</v>
      </c>
      <c r="R813" s="15" t="s">
        <v>648</v>
      </c>
      <c r="S813" s="15" t="s">
        <v>345</v>
      </c>
      <c r="T813" s="15" t="s">
        <v>341</v>
      </c>
      <c r="U813" s="15" t="s">
        <v>2337</v>
      </c>
    </row>
    <row r="814" customFormat="false" ht="19.5" hidden="false" customHeight="true" outlineLevel="0" collapsed="false">
      <c r="A814" s="26" t="n">
        <v>6785</v>
      </c>
      <c r="B814" s="27" t="s">
        <v>2338</v>
      </c>
      <c r="C814" s="30" t="s">
        <v>812</v>
      </c>
      <c r="D814" s="39" t="n">
        <v>20</v>
      </c>
      <c r="E814" s="30" t="s">
        <v>63</v>
      </c>
      <c r="F814" s="30" t="s">
        <v>63</v>
      </c>
      <c r="G814" s="27" t="s">
        <v>505</v>
      </c>
      <c r="H814" s="40" t="s">
        <v>505</v>
      </c>
      <c r="I814" s="27" t="s">
        <v>342</v>
      </c>
      <c r="J814" s="30" t="s">
        <v>336</v>
      </c>
      <c r="K814" s="30" t="s">
        <v>136</v>
      </c>
      <c r="L814" s="26" t="s">
        <v>136</v>
      </c>
      <c r="M814" s="27" t="s">
        <v>343</v>
      </c>
      <c r="N814" s="30" t="n">
        <v>23623</v>
      </c>
      <c r="O814" s="27" t="s">
        <v>344</v>
      </c>
      <c r="P814" s="26" t="n">
        <v>23623</v>
      </c>
      <c r="Q814" s="27" t="s">
        <v>2219</v>
      </c>
      <c r="R814" s="27" t="s">
        <v>648</v>
      </c>
      <c r="S814" s="27" t="s">
        <v>345</v>
      </c>
      <c r="T814" s="27" t="s">
        <v>341</v>
      </c>
      <c r="U814" s="27" t="s">
        <v>2220</v>
      </c>
    </row>
    <row r="815" customFormat="false" ht="19.5" hidden="false" customHeight="true" outlineLevel="0" collapsed="false">
      <c r="A815" s="19" t="n">
        <v>6786</v>
      </c>
      <c r="B815" s="15" t="s">
        <v>2339</v>
      </c>
      <c r="C815" s="17" t="s">
        <v>866</v>
      </c>
      <c r="D815" s="16" t="n">
        <v>1</v>
      </c>
      <c r="E815" s="17" t="s">
        <v>39</v>
      </c>
      <c r="F815" s="17" t="s">
        <v>39</v>
      </c>
      <c r="G815" s="15" t="s">
        <v>562</v>
      </c>
      <c r="H815" s="18" t="s">
        <v>562</v>
      </c>
      <c r="I815" s="15" t="s">
        <v>342</v>
      </c>
      <c r="J815" s="17" t="s">
        <v>336</v>
      </c>
      <c r="K815" s="17" t="s">
        <v>111</v>
      </c>
      <c r="L815" s="19" t="s">
        <v>111</v>
      </c>
      <c r="M815" s="15" t="s">
        <v>343</v>
      </c>
      <c r="N815" s="17" t="n">
        <v>12712</v>
      </c>
      <c r="O815" s="15" t="s">
        <v>344</v>
      </c>
      <c r="P815" s="19" t="n">
        <v>12712</v>
      </c>
      <c r="Q815" s="15" t="s">
        <v>2340</v>
      </c>
      <c r="R815" s="15" t="s">
        <v>648</v>
      </c>
      <c r="S815" s="15" t="s">
        <v>345</v>
      </c>
      <c r="T815" s="15" t="s">
        <v>341</v>
      </c>
      <c r="U815" s="15" t="s">
        <v>2341</v>
      </c>
    </row>
    <row r="816" customFormat="false" ht="19.5" hidden="false" customHeight="true" outlineLevel="0" collapsed="false">
      <c r="A816" s="26" t="n">
        <v>6801</v>
      </c>
      <c r="B816" s="27" t="s">
        <v>2342</v>
      </c>
      <c r="C816" s="30" t="s">
        <v>263</v>
      </c>
      <c r="D816" s="39" t="n">
        <v>20</v>
      </c>
      <c r="E816" s="30" t="s">
        <v>39</v>
      </c>
      <c r="F816" s="30" t="s">
        <v>39</v>
      </c>
      <c r="G816" s="27" t="s">
        <v>460</v>
      </c>
      <c r="H816" s="40" t="s">
        <v>460</v>
      </c>
      <c r="I816" s="27" t="s">
        <v>356</v>
      </c>
      <c r="J816" s="30" t="s">
        <v>336</v>
      </c>
      <c r="K816" s="30" t="s">
        <v>82</v>
      </c>
      <c r="L816" s="26" t="s">
        <v>82</v>
      </c>
      <c r="M816" s="27" t="s">
        <v>343</v>
      </c>
      <c r="N816" s="30" t="n">
        <v>5524</v>
      </c>
      <c r="O816" s="27" t="s">
        <v>344</v>
      </c>
      <c r="P816" s="26" t="n">
        <v>5524</v>
      </c>
      <c r="Q816" s="27" t="s">
        <v>2343</v>
      </c>
      <c r="R816" s="27" t="s">
        <v>648</v>
      </c>
      <c r="S816" s="27" t="s">
        <v>345</v>
      </c>
      <c r="T816" s="27" t="s">
        <v>341</v>
      </c>
      <c r="U816" s="27" t="s">
        <v>2344</v>
      </c>
    </row>
    <row r="817" customFormat="false" ht="19.5" hidden="false" customHeight="true" outlineLevel="0" collapsed="false">
      <c r="A817" s="19" t="n">
        <v>6802</v>
      </c>
      <c r="B817" s="15" t="s">
        <v>2345</v>
      </c>
      <c r="C817" s="17" t="s">
        <v>272</v>
      </c>
      <c r="D817" s="16" t="n">
        <v>5</v>
      </c>
      <c r="E817" s="17" t="s">
        <v>63</v>
      </c>
      <c r="F817" s="17" t="s">
        <v>63</v>
      </c>
      <c r="G817" s="15" t="s">
        <v>358</v>
      </c>
      <c r="H817" s="18" t="s">
        <v>358</v>
      </c>
      <c r="I817" s="15" t="s">
        <v>356</v>
      </c>
      <c r="J817" s="17" t="s">
        <v>336</v>
      </c>
      <c r="K817" s="17" t="s">
        <v>65</v>
      </c>
      <c r="L817" s="19" t="s">
        <v>65</v>
      </c>
      <c r="M817" s="15" t="s">
        <v>343</v>
      </c>
      <c r="N817" s="17" t="n">
        <v>4623</v>
      </c>
      <c r="O817" s="15" t="s">
        <v>344</v>
      </c>
      <c r="P817" s="19" t="n">
        <v>4623</v>
      </c>
      <c r="Q817" s="15" t="s">
        <v>950</v>
      </c>
      <c r="R817" s="15" t="s">
        <v>648</v>
      </c>
      <c r="S817" s="15" t="s">
        <v>345</v>
      </c>
      <c r="T817" s="15" t="s">
        <v>341</v>
      </c>
      <c r="U817" s="15" t="s">
        <v>951</v>
      </c>
    </row>
    <row r="818" customFormat="false" ht="19.5" hidden="false" customHeight="true" outlineLevel="0" collapsed="false">
      <c r="A818" s="26" t="n">
        <v>6809</v>
      </c>
      <c r="B818" s="27" t="s">
        <v>2346</v>
      </c>
      <c r="C818" s="30" t="s">
        <v>1402</v>
      </c>
      <c r="D818" s="39" t="n">
        <v>1000</v>
      </c>
      <c r="E818" s="30" t="s">
        <v>63</v>
      </c>
      <c r="F818" s="30" t="s">
        <v>63</v>
      </c>
      <c r="G818" s="27" t="s">
        <v>595</v>
      </c>
      <c r="H818" s="40" t="s">
        <v>595</v>
      </c>
      <c r="I818" s="27" t="s">
        <v>347</v>
      </c>
      <c r="J818" s="30" t="s">
        <v>336</v>
      </c>
      <c r="K818" s="30" t="s">
        <v>596</v>
      </c>
      <c r="L818" s="26" t="s">
        <v>596</v>
      </c>
      <c r="M818" s="27" t="s">
        <v>349</v>
      </c>
      <c r="N818" s="30" t="n">
        <v>0</v>
      </c>
      <c r="O818" s="27" t="s">
        <v>339</v>
      </c>
      <c r="P818" s="26" t="s">
        <v>690</v>
      </c>
      <c r="Q818" s="27" t="s">
        <v>691</v>
      </c>
      <c r="R818" s="27" t="s">
        <v>692</v>
      </c>
      <c r="S818" s="27" t="s">
        <v>345</v>
      </c>
      <c r="T818" s="27" t="s">
        <v>341</v>
      </c>
      <c r="U818" s="27" t="s">
        <v>693</v>
      </c>
    </row>
    <row r="819" customFormat="false" ht="19.5" hidden="false" customHeight="true" outlineLevel="0" collapsed="false">
      <c r="A819" s="19" t="n">
        <v>6810</v>
      </c>
      <c r="B819" s="15" t="s">
        <v>2347</v>
      </c>
      <c r="C819" s="17" t="s">
        <v>1402</v>
      </c>
      <c r="D819" s="16" t="n">
        <v>1000</v>
      </c>
      <c r="E819" s="17" t="s">
        <v>63</v>
      </c>
      <c r="F819" s="17" t="s">
        <v>63</v>
      </c>
      <c r="G819" s="15" t="s">
        <v>595</v>
      </c>
      <c r="H819" s="18" t="s">
        <v>595</v>
      </c>
      <c r="I819" s="15" t="s">
        <v>347</v>
      </c>
      <c r="J819" s="17" t="s">
        <v>336</v>
      </c>
      <c r="K819" s="17" t="s">
        <v>596</v>
      </c>
      <c r="L819" s="19" t="s">
        <v>596</v>
      </c>
      <c r="M819" s="15" t="s">
        <v>349</v>
      </c>
      <c r="N819" s="17" t="n">
        <v>0</v>
      </c>
      <c r="O819" s="15" t="s">
        <v>339</v>
      </c>
      <c r="P819" s="19" t="s">
        <v>690</v>
      </c>
      <c r="Q819" s="15" t="s">
        <v>691</v>
      </c>
      <c r="R819" s="15" t="s">
        <v>692</v>
      </c>
      <c r="S819" s="15" t="s">
        <v>345</v>
      </c>
      <c r="T819" s="15" t="s">
        <v>341</v>
      </c>
      <c r="U819" s="15" t="s">
        <v>693</v>
      </c>
    </row>
    <row r="820" customFormat="false" ht="19.5" hidden="false" customHeight="true" outlineLevel="0" collapsed="false">
      <c r="A820" s="26" t="n">
        <v>6850</v>
      </c>
      <c r="B820" s="27" t="s">
        <v>2348</v>
      </c>
      <c r="C820" s="30" t="s">
        <v>1402</v>
      </c>
      <c r="D820" s="39" t="n">
        <v>1000</v>
      </c>
      <c r="E820" s="30" t="s">
        <v>1403</v>
      </c>
      <c r="F820" s="30" t="s">
        <v>1403</v>
      </c>
      <c r="G820" s="27" t="s">
        <v>466</v>
      </c>
      <c r="H820" s="40" t="s">
        <v>466</v>
      </c>
      <c r="I820" s="27" t="s">
        <v>560</v>
      </c>
      <c r="J820" s="30" t="s">
        <v>336</v>
      </c>
      <c r="K820" s="30" t="s">
        <v>561</v>
      </c>
      <c r="L820" s="26" t="s">
        <v>561</v>
      </c>
      <c r="M820" s="27" t="s">
        <v>349</v>
      </c>
      <c r="N820" s="30" t="n">
        <v>0</v>
      </c>
      <c r="O820" s="27" t="s">
        <v>339</v>
      </c>
      <c r="P820" s="26" t="s">
        <v>690</v>
      </c>
      <c r="Q820" s="27" t="s">
        <v>691</v>
      </c>
      <c r="R820" s="27" t="s">
        <v>692</v>
      </c>
      <c r="S820" s="27" t="s">
        <v>345</v>
      </c>
      <c r="T820" s="27" t="s">
        <v>341</v>
      </c>
      <c r="U820" s="27" t="s">
        <v>693</v>
      </c>
    </row>
    <row r="821" customFormat="false" ht="19.5" hidden="false" customHeight="true" outlineLevel="0" collapsed="false">
      <c r="A821" s="19" t="n">
        <v>6859</v>
      </c>
      <c r="B821" s="15" t="s">
        <v>2349</v>
      </c>
      <c r="C821" s="17" t="s">
        <v>1402</v>
      </c>
      <c r="D821" s="16" t="n">
        <v>1000</v>
      </c>
      <c r="E821" s="17" t="s">
        <v>1403</v>
      </c>
      <c r="F821" s="17" t="s">
        <v>1403</v>
      </c>
      <c r="G821" s="15" t="s">
        <v>127</v>
      </c>
      <c r="H821" s="18" t="s">
        <v>127</v>
      </c>
      <c r="I821" s="15" t="s">
        <v>494</v>
      </c>
      <c r="J821" s="17" t="s">
        <v>336</v>
      </c>
      <c r="K821" s="17" t="s">
        <v>128</v>
      </c>
      <c r="L821" s="19" t="s">
        <v>128</v>
      </c>
      <c r="M821" s="15" t="s">
        <v>349</v>
      </c>
      <c r="N821" s="17" t="n">
        <v>0</v>
      </c>
      <c r="O821" s="15" t="s">
        <v>339</v>
      </c>
      <c r="P821" s="19" t="s">
        <v>690</v>
      </c>
      <c r="Q821" s="15" t="s">
        <v>691</v>
      </c>
      <c r="R821" s="15" t="s">
        <v>692</v>
      </c>
      <c r="S821" s="15" t="s">
        <v>345</v>
      </c>
      <c r="T821" s="15" t="s">
        <v>341</v>
      </c>
      <c r="U821" s="15" t="s">
        <v>693</v>
      </c>
    </row>
    <row r="822" customFormat="false" ht="19.5" hidden="false" customHeight="true" outlineLevel="0" collapsed="false">
      <c r="A822" s="26" t="n">
        <v>6867</v>
      </c>
      <c r="B822" s="27" t="s">
        <v>2350</v>
      </c>
      <c r="C822" s="30" t="s">
        <v>272</v>
      </c>
      <c r="D822" s="39" t="n">
        <v>5</v>
      </c>
      <c r="E822" s="30" t="s">
        <v>63</v>
      </c>
      <c r="F822" s="30" t="s">
        <v>63</v>
      </c>
      <c r="G822" s="27" t="s">
        <v>359</v>
      </c>
      <c r="H822" s="40" t="s">
        <v>359</v>
      </c>
      <c r="I822" s="27" t="s">
        <v>356</v>
      </c>
      <c r="J822" s="30" t="s">
        <v>336</v>
      </c>
      <c r="K822" s="30" t="s">
        <v>82</v>
      </c>
      <c r="L822" s="26" t="s">
        <v>82</v>
      </c>
      <c r="M822" s="27" t="s">
        <v>343</v>
      </c>
      <c r="N822" s="30" t="n">
        <v>2218</v>
      </c>
      <c r="O822" s="27" t="s">
        <v>344</v>
      </c>
      <c r="P822" s="26" t="n">
        <v>2218</v>
      </c>
      <c r="Q822" s="27" t="s">
        <v>2237</v>
      </c>
      <c r="R822" s="27" t="s">
        <v>648</v>
      </c>
      <c r="S822" s="27" t="s">
        <v>345</v>
      </c>
      <c r="T822" s="27" t="s">
        <v>341</v>
      </c>
      <c r="U822" s="27" t="s">
        <v>2238</v>
      </c>
    </row>
    <row r="823" customFormat="false" ht="19.5" hidden="false" customHeight="true" outlineLevel="0" collapsed="false">
      <c r="A823" s="19" t="n">
        <v>6874</v>
      </c>
      <c r="B823" s="15" t="s">
        <v>2351</v>
      </c>
      <c r="C823" s="17" t="s">
        <v>288</v>
      </c>
      <c r="D823" s="16" t="n">
        <v>0.2</v>
      </c>
      <c r="E823" s="17" t="s">
        <v>39</v>
      </c>
      <c r="F823" s="17" t="s">
        <v>39</v>
      </c>
      <c r="G823" s="15" t="s">
        <v>468</v>
      </c>
      <c r="H823" s="18" t="s">
        <v>468</v>
      </c>
      <c r="I823" s="15" t="s">
        <v>469</v>
      </c>
      <c r="J823" s="17" t="s">
        <v>336</v>
      </c>
      <c r="K823" s="17" t="s">
        <v>82</v>
      </c>
      <c r="L823" s="19" t="s">
        <v>82</v>
      </c>
      <c r="M823" s="15" t="s">
        <v>343</v>
      </c>
      <c r="N823" s="17" t="n">
        <v>2520</v>
      </c>
      <c r="O823" s="15" t="s">
        <v>344</v>
      </c>
      <c r="P823" s="19" t="n">
        <v>2520</v>
      </c>
      <c r="Q823" s="15" t="s">
        <v>794</v>
      </c>
      <c r="R823" s="15" t="s">
        <v>648</v>
      </c>
      <c r="S823" s="15" t="s">
        <v>345</v>
      </c>
      <c r="T823" s="15" t="s">
        <v>341</v>
      </c>
      <c r="U823" s="15" t="s">
        <v>795</v>
      </c>
    </row>
    <row r="824" customFormat="false" ht="19.5" hidden="false" customHeight="true" outlineLevel="0" collapsed="false">
      <c r="A824" s="26" t="n">
        <v>6875</v>
      </c>
      <c r="B824" s="27" t="s">
        <v>2352</v>
      </c>
      <c r="C824" s="30" t="s">
        <v>263</v>
      </c>
      <c r="D824" s="39" t="n">
        <v>20</v>
      </c>
      <c r="E824" s="30" t="s">
        <v>39</v>
      </c>
      <c r="F824" s="30" t="s">
        <v>39</v>
      </c>
      <c r="G824" s="27" t="s">
        <v>534</v>
      </c>
      <c r="H824" s="40" t="s">
        <v>534</v>
      </c>
      <c r="I824" s="27" t="s">
        <v>342</v>
      </c>
      <c r="J824" s="30" t="s">
        <v>336</v>
      </c>
      <c r="K824" s="30" t="s">
        <v>111</v>
      </c>
      <c r="L824" s="26" t="s">
        <v>111</v>
      </c>
      <c r="M824" s="27" t="s">
        <v>343</v>
      </c>
      <c r="N824" s="30" t="n">
        <v>34224</v>
      </c>
      <c r="O824" s="27" t="s">
        <v>344</v>
      </c>
      <c r="P824" s="26" t="n">
        <v>34224</v>
      </c>
      <c r="Q824" s="27" t="s">
        <v>2353</v>
      </c>
      <c r="R824" s="27" t="s">
        <v>648</v>
      </c>
      <c r="S824" s="27" t="s">
        <v>345</v>
      </c>
      <c r="T824" s="27" t="s">
        <v>341</v>
      </c>
      <c r="U824" s="27" t="s">
        <v>2354</v>
      </c>
    </row>
    <row r="825" customFormat="false" ht="19.5" hidden="false" customHeight="true" outlineLevel="0" collapsed="false">
      <c r="A825" s="19" t="n">
        <v>6876</v>
      </c>
      <c r="B825" s="15" t="s">
        <v>2355</v>
      </c>
      <c r="C825" s="17" t="s">
        <v>1172</v>
      </c>
      <c r="D825" s="16" t="n">
        <v>1</v>
      </c>
      <c r="E825" s="17" t="s">
        <v>39</v>
      </c>
      <c r="F825" s="17" t="s">
        <v>39</v>
      </c>
      <c r="G825" s="15" t="s">
        <v>468</v>
      </c>
      <c r="H825" s="18" t="s">
        <v>468</v>
      </c>
      <c r="I825" s="15" t="s">
        <v>469</v>
      </c>
      <c r="J825" s="17" t="s">
        <v>336</v>
      </c>
      <c r="K825" s="17" t="s">
        <v>82</v>
      </c>
      <c r="L825" s="19" t="s">
        <v>82</v>
      </c>
      <c r="M825" s="15" t="s">
        <v>343</v>
      </c>
      <c r="N825" s="17" t="n">
        <v>14421</v>
      </c>
      <c r="O825" s="15" t="s">
        <v>344</v>
      </c>
      <c r="P825" s="19" t="n">
        <v>14421</v>
      </c>
      <c r="Q825" s="15" t="s">
        <v>1271</v>
      </c>
      <c r="R825" s="15" t="s">
        <v>648</v>
      </c>
      <c r="S825" s="15" t="s">
        <v>345</v>
      </c>
      <c r="T825" s="15" t="s">
        <v>341</v>
      </c>
      <c r="U825" s="15" t="s">
        <v>2356</v>
      </c>
    </row>
    <row r="826" customFormat="false" ht="19.5" hidden="false" customHeight="true" outlineLevel="0" collapsed="false">
      <c r="A826" s="26" t="n">
        <v>6877</v>
      </c>
      <c r="B826" s="27" t="s">
        <v>2357</v>
      </c>
      <c r="C826" s="30" t="s">
        <v>288</v>
      </c>
      <c r="D826" s="39" t="n">
        <v>0.2</v>
      </c>
      <c r="E826" s="30" t="s">
        <v>39</v>
      </c>
      <c r="F826" s="30" t="s">
        <v>39</v>
      </c>
      <c r="G826" s="27" t="s">
        <v>114</v>
      </c>
      <c r="H826" s="40" t="s">
        <v>114</v>
      </c>
      <c r="I826" s="27" t="s">
        <v>356</v>
      </c>
      <c r="J826" s="30" t="s">
        <v>336</v>
      </c>
      <c r="K826" s="30" t="s">
        <v>82</v>
      </c>
      <c r="L826" s="26" t="s">
        <v>82</v>
      </c>
      <c r="M826" s="27" t="s">
        <v>343</v>
      </c>
      <c r="N826" s="30" t="n">
        <v>32224</v>
      </c>
      <c r="O826" s="27" t="s">
        <v>344</v>
      </c>
      <c r="P826" s="26" t="n">
        <v>32224</v>
      </c>
      <c r="Q826" s="27" t="s">
        <v>1652</v>
      </c>
      <c r="R826" s="27" t="s">
        <v>648</v>
      </c>
      <c r="S826" s="27" t="s">
        <v>345</v>
      </c>
      <c r="T826" s="27" t="s">
        <v>341</v>
      </c>
      <c r="U826" s="27" t="s">
        <v>2358</v>
      </c>
    </row>
    <row r="827" customFormat="false" ht="19.5" hidden="false" customHeight="true" outlineLevel="0" collapsed="false">
      <c r="A827" s="19" t="n">
        <v>6882</v>
      </c>
      <c r="B827" s="15" t="s">
        <v>2359</v>
      </c>
      <c r="C827" s="17" t="s">
        <v>1402</v>
      </c>
      <c r="D827" s="16" t="n">
        <v>1000</v>
      </c>
      <c r="E827" s="17" t="s">
        <v>63</v>
      </c>
      <c r="F827" s="17" t="s">
        <v>63</v>
      </c>
      <c r="G827" s="15" t="s">
        <v>334</v>
      </c>
      <c r="H827" s="18" t="s">
        <v>334</v>
      </c>
      <c r="I827" s="15" t="s">
        <v>335</v>
      </c>
      <c r="J827" s="17" t="s">
        <v>336</v>
      </c>
      <c r="K827" s="17" t="s">
        <v>337</v>
      </c>
      <c r="L827" s="19" t="s">
        <v>337</v>
      </c>
      <c r="M827" s="15" t="s">
        <v>338</v>
      </c>
      <c r="N827" s="17" t="n">
        <v>0</v>
      </c>
      <c r="O827" s="15" t="s">
        <v>339</v>
      </c>
      <c r="P827" s="19" t="s">
        <v>690</v>
      </c>
      <c r="Q827" s="15" t="s">
        <v>691</v>
      </c>
      <c r="R827" s="15" t="s">
        <v>692</v>
      </c>
      <c r="S827" s="15" t="s">
        <v>340</v>
      </c>
      <c r="T827" s="15" t="s">
        <v>341</v>
      </c>
      <c r="U827" s="15" t="s">
        <v>942</v>
      </c>
    </row>
    <row r="828" customFormat="false" ht="19.5" hidden="false" customHeight="true" outlineLevel="0" collapsed="false">
      <c r="A828" s="26" t="n">
        <v>6884</v>
      </c>
      <c r="B828" s="27" t="s">
        <v>2360</v>
      </c>
      <c r="C828" s="30" t="s">
        <v>260</v>
      </c>
      <c r="D828" s="39" t="n">
        <v>5</v>
      </c>
      <c r="E828" s="30" t="s">
        <v>39</v>
      </c>
      <c r="F828" s="30" t="s">
        <v>39</v>
      </c>
      <c r="G828" s="27" t="s">
        <v>482</v>
      </c>
      <c r="H828" s="40" t="s">
        <v>482</v>
      </c>
      <c r="I828" s="27" t="s">
        <v>342</v>
      </c>
      <c r="J828" s="30" t="s">
        <v>336</v>
      </c>
      <c r="K828" s="30" t="s">
        <v>111</v>
      </c>
      <c r="L828" s="26" t="s">
        <v>111</v>
      </c>
      <c r="M828" s="27" t="s">
        <v>343</v>
      </c>
      <c r="N828" s="30" t="n">
        <v>32322</v>
      </c>
      <c r="O828" s="27" t="s">
        <v>344</v>
      </c>
      <c r="P828" s="26" t="n">
        <v>32322</v>
      </c>
      <c r="Q828" s="27" t="s">
        <v>982</v>
      </c>
      <c r="R828" s="27" t="s">
        <v>648</v>
      </c>
      <c r="S828" s="27" t="s">
        <v>345</v>
      </c>
      <c r="T828" s="27" t="s">
        <v>341</v>
      </c>
      <c r="U828" s="27" t="s">
        <v>983</v>
      </c>
    </row>
    <row r="829" customFormat="false" ht="19.5" hidden="false" customHeight="true" outlineLevel="0" collapsed="false">
      <c r="A829" s="19" t="n">
        <v>6902</v>
      </c>
      <c r="B829" s="15" t="s">
        <v>2361</v>
      </c>
      <c r="C829" s="17" t="s">
        <v>260</v>
      </c>
      <c r="D829" s="16" t="n">
        <v>5</v>
      </c>
      <c r="E829" s="17" t="s">
        <v>39</v>
      </c>
      <c r="F829" s="17" t="s">
        <v>39</v>
      </c>
      <c r="G829" s="15" t="s">
        <v>149</v>
      </c>
      <c r="H829" s="18" t="s">
        <v>149</v>
      </c>
      <c r="I829" s="15" t="s">
        <v>379</v>
      </c>
      <c r="J829" s="17" t="s">
        <v>336</v>
      </c>
      <c r="K829" s="17" t="s">
        <v>140</v>
      </c>
      <c r="L829" s="19" t="s">
        <v>140</v>
      </c>
      <c r="M829" s="15" t="s">
        <v>343</v>
      </c>
      <c r="N829" s="17" t="n">
        <v>40024</v>
      </c>
      <c r="O829" s="15" t="s">
        <v>344</v>
      </c>
      <c r="P829" s="19" t="n">
        <v>40024</v>
      </c>
      <c r="Q829" s="15" t="s">
        <v>2362</v>
      </c>
      <c r="R829" s="15" t="s">
        <v>648</v>
      </c>
      <c r="S829" s="15" t="s">
        <v>345</v>
      </c>
      <c r="T829" s="15" t="s">
        <v>341</v>
      </c>
      <c r="U829" s="15" t="s">
        <v>2363</v>
      </c>
    </row>
    <row r="830" customFormat="false" ht="19.5" hidden="false" customHeight="true" outlineLevel="0" collapsed="false">
      <c r="A830" s="26" t="n">
        <v>6906</v>
      </c>
      <c r="B830" s="27" t="s">
        <v>2364</v>
      </c>
      <c r="C830" s="30" t="s">
        <v>2023</v>
      </c>
      <c r="D830" s="39" t="n">
        <v>10</v>
      </c>
      <c r="E830" s="30" t="s">
        <v>39</v>
      </c>
      <c r="F830" s="30" t="s">
        <v>39</v>
      </c>
      <c r="G830" s="27" t="s">
        <v>315</v>
      </c>
      <c r="H830" s="40" t="s">
        <v>315</v>
      </c>
      <c r="I830" s="27" t="s">
        <v>355</v>
      </c>
      <c r="J830" s="30" t="s">
        <v>360</v>
      </c>
      <c r="K830" s="30" t="s">
        <v>51</v>
      </c>
      <c r="L830" s="26" t="s">
        <v>51</v>
      </c>
      <c r="M830" s="27" t="s">
        <v>361</v>
      </c>
      <c r="N830" s="30" t="n">
        <v>22225</v>
      </c>
      <c r="O830" s="27" t="s">
        <v>344</v>
      </c>
      <c r="P830" s="26" t="n">
        <v>22225</v>
      </c>
      <c r="Q830" s="27" t="s">
        <v>1618</v>
      </c>
      <c r="R830" s="27" t="s">
        <v>648</v>
      </c>
      <c r="S830" s="27" t="s">
        <v>345</v>
      </c>
      <c r="T830" s="27" t="s">
        <v>341</v>
      </c>
      <c r="U830" s="27" t="s">
        <v>2365</v>
      </c>
    </row>
    <row r="831" customFormat="false" ht="19.5" hidden="false" customHeight="true" outlineLevel="0" collapsed="false">
      <c r="A831" s="19" t="n">
        <v>6907</v>
      </c>
      <c r="B831" s="15" t="s">
        <v>2366</v>
      </c>
      <c r="C831" s="17" t="s">
        <v>260</v>
      </c>
      <c r="D831" s="16" t="n">
        <v>5</v>
      </c>
      <c r="E831" s="17" t="s">
        <v>39</v>
      </c>
      <c r="F831" s="17" t="s">
        <v>39</v>
      </c>
      <c r="G831" s="15" t="s">
        <v>482</v>
      </c>
      <c r="H831" s="18" t="s">
        <v>482</v>
      </c>
      <c r="I831" s="15" t="s">
        <v>342</v>
      </c>
      <c r="J831" s="17" t="s">
        <v>336</v>
      </c>
      <c r="K831" s="17" t="s">
        <v>111</v>
      </c>
      <c r="L831" s="19" t="s">
        <v>111</v>
      </c>
      <c r="M831" s="15" t="s">
        <v>343</v>
      </c>
      <c r="N831" s="17" t="n">
        <v>22824</v>
      </c>
      <c r="O831" s="15" t="s">
        <v>344</v>
      </c>
      <c r="P831" s="19" t="n">
        <v>22824</v>
      </c>
      <c r="Q831" s="15" t="s">
        <v>2367</v>
      </c>
      <c r="R831" s="15" t="s">
        <v>648</v>
      </c>
      <c r="S831" s="15" t="s">
        <v>345</v>
      </c>
      <c r="T831" s="15" t="s">
        <v>341</v>
      </c>
      <c r="U831" s="15" t="s">
        <v>2368</v>
      </c>
    </row>
    <row r="832" customFormat="false" ht="19.5" hidden="false" customHeight="true" outlineLevel="0" collapsed="false">
      <c r="A832" s="26" t="n">
        <v>6939</v>
      </c>
      <c r="B832" s="27" t="s">
        <v>2345</v>
      </c>
      <c r="C832" s="30" t="s">
        <v>272</v>
      </c>
      <c r="D832" s="39" t="n">
        <v>5</v>
      </c>
      <c r="E832" s="30" t="s">
        <v>63</v>
      </c>
      <c r="F832" s="30" t="s">
        <v>63</v>
      </c>
      <c r="G832" s="27" t="s">
        <v>358</v>
      </c>
      <c r="H832" s="40" t="s">
        <v>358</v>
      </c>
      <c r="I832" s="27" t="s">
        <v>356</v>
      </c>
      <c r="J832" s="30" t="s">
        <v>336</v>
      </c>
      <c r="K832" s="30" t="s">
        <v>65</v>
      </c>
      <c r="L832" s="26" t="s">
        <v>65</v>
      </c>
      <c r="M832" s="27" t="s">
        <v>343</v>
      </c>
      <c r="N832" s="30" t="n">
        <v>4623</v>
      </c>
      <c r="O832" s="27" t="s">
        <v>344</v>
      </c>
      <c r="P832" s="26" t="n">
        <v>4623</v>
      </c>
      <c r="Q832" s="27" t="s">
        <v>950</v>
      </c>
      <c r="R832" s="27" t="s">
        <v>648</v>
      </c>
      <c r="S832" s="27" t="s">
        <v>345</v>
      </c>
      <c r="T832" s="27" t="s">
        <v>341</v>
      </c>
      <c r="U832" s="27" t="s">
        <v>951</v>
      </c>
    </row>
    <row r="833" customFormat="false" ht="19.5" hidden="false" customHeight="true" outlineLevel="0" collapsed="false">
      <c r="A833" s="19" t="n">
        <v>6963</v>
      </c>
      <c r="B833" s="15" t="s">
        <v>2369</v>
      </c>
      <c r="C833" s="17" t="s">
        <v>2133</v>
      </c>
      <c r="D833" s="16" t="n">
        <v>1097</v>
      </c>
      <c r="E833" s="17" t="s">
        <v>63</v>
      </c>
      <c r="F833" s="17" t="s">
        <v>63</v>
      </c>
      <c r="G833" s="15" t="s">
        <v>451</v>
      </c>
      <c r="H833" s="18" t="s">
        <v>451</v>
      </c>
      <c r="I833" s="15" t="s">
        <v>452</v>
      </c>
      <c r="J833" s="17" t="s">
        <v>336</v>
      </c>
      <c r="K833" s="17" t="s">
        <v>453</v>
      </c>
      <c r="L833" s="19" t="s">
        <v>453</v>
      </c>
      <c r="M833" s="15" t="s">
        <v>338</v>
      </c>
      <c r="N833" s="17" t="n">
        <v>0</v>
      </c>
      <c r="O833" s="15" t="s">
        <v>339</v>
      </c>
      <c r="P833" s="19" t="s">
        <v>690</v>
      </c>
      <c r="Q833" s="15" t="s">
        <v>691</v>
      </c>
      <c r="R833" s="15" t="s">
        <v>692</v>
      </c>
      <c r="S833" s="15" t="s">
        <v>340</v>
      </c>
      <c r="T833" s="15" t="s">
        <v>341</v>
      </c>
      <c r="U833" s="15" t="s">
        <v>939</v>
      </c>
    </row>
    <row r="834" customFormat="false" ht="19.5" hidden="false" customHeight="true" outlineLevel="0" collapsed="false">
      <c r="A834" s="26" t="n">
        <v>7038</v>
      </c>
      <c r="B834" s="27" t="s">
        <v>2370</v>
      </c>
      <c r="C834" s="30" t="s">
        <v>263</v>
      </c>
      <c r="D834" s="39" t="n">
        <v>20</v>
      </c>
      <c r="E834" s="30" t="s">
        <v>39</v>
      </c>
      <c r="F834" s="30" t="s">
        <v>39</v>
      </c>
      <c r="G834" s="27" t="s">
        <v>315</v>
      </c>
      <c r="H834" s="40" t="s">
        <v>315</v>
      </c>
      <c r="I834" s="27" t="s">
        <v>355</v>
      </c>
      <c r="J834" s="30" t="s">
        <v>360</v>
      </c>
      <c r="K834" s="30" t="s">
        <v>51</v>
      </c>
      <c r="L834" s="26" t="s">
        <v>51</v>
      </c>
      <c r="M834" s="27" t="s">
        <v>361</v>
      </c>
      <c r="N834" s="30" t="n">
        <v>47125</v>
      </c>
      <c r="O834" s="27" t="s">
        <v>344</v>
      </c>
      <c r="P834" s="26" t="n">
        <v>47125</v>
      </c>
      <c r="Q834" s="27" t="s">
        <v>2216</v>
      </c>
      <c r="R834" s="27" t="s">
        <v>648</v>
      </c>
      <c r="S834" s="27" t="s">
        <v>345</v>
      </c>
      <c r="T834" s="27" t="s">
        <v>341</v>
      </c>
      <c r="U834" s="27" t="s">
        <v>2217</v>
      </c>
    </row>
    <row r="835" customFormat="false" ht="19.5" hidden="false" customHeight="true" outlineLevel="0" collapsed="false">
      <c r="A835" s="19" t="n">
        <v>7039</v>
      </c>
      <c r="B835" s="15" t="s">
        <v>2371</v>
      </c>
      <c r="C835" s="17" t="s">
        <v>272</v>
      </c>
      <c r="D835" s="16" t="n">
        <v>5</v>
      </c>
      <c r="E835" s="17" t="s">
        <v>63</v>
      </c>
      <c r="F835" s="17" t="s">
        <v>63</v>
      </c>
      <c r="G835" s="15" t="s">
        <v>359</v>
      </c>
      <c r="H835" s="18" t="s">
        <v>359</v>
      </c>
      <c r="I835" s="15" t="s">
        <v>356</v>
      </c>
      <c r="J835" s="17" t="s">
        <v>336</v>
      </c>
      <c r="K835" s="17" t="s">
        <v>82</v>
      </c>
      <c r="L835" s="19" t="s">
        <v>82</v>
      </c>
      <c r="M835" s="15" t="s">
        <v>343</v>
      </c>
      <c r="N835" s="17" t="n">
        <v>2218</v>
      </c>
      <c r="O835" s="15" t="s">
        <v>344</v>
      </c>
      <c r="P835" s="19" t="n">
        <v>2218</v>
      </c>
      <c r="Q835" s="15" t="s">
        <v>2237</v>
      </c>
      <c r="R835" s="15" t="s">
        <v>648</v>
      </c>
      <c r="S835" s="15" t="s">
        <v>345</v>
      </c>
      <c r="T835" s="15" t="s">
        <v>341</v>
      </c>
      <c r="U835" s="15" t="s">
        <v>2238</v>
      </c>
    </row>
    <row r="836" customFormat="false" ht="19.5" hidden="false" customHeight="true" outlineLevel="0" collapsed="false">
      <c r="A836" s="26" t="n">
        <v>7067</v>
      </c>
      <c r="B836" s="27" t="s">
        <v>2372</v>
      </c>
      <c r="C836" s="30" t="s">
        <v>263</v>
      </c>
      <c r="D836" s="39" t="n">
        <v>20</v>
      </c>
      <c r="E836" s="30" t="s">
        <v>39</v>
      </c>
      <c r="F836" s="30" t="s">
        <v>39</v>
      </c>
      <c r="G836" s="27" t="s">
        <v>315</v>
      </c>
      <c r="H836" s="40" t="s">
        <v>315</v>
      </c>
      <c r="I836" s="27" t="s">
        <v>355</v>
      </c>
      <c r="J836" s="30" t="s">
        <v>360</v>
      </c>
      <c r="K836" s="30" t="s">
        <v>51</v>
      </c>
      <c r="L836" s="26" t="s">
        <v>51</v>
      </c>
      <c r="M836" s="27" t="s">
        <v>361</v>
      </c>
      <c r="N836" s="30" t="n">
        <v>47125</v>
      </c>
      <c r="O836" s="27" t="s">
        <v>344</v>
      </c>
      <c r="P836" s="26" t="n">
        <v>47125</v>
      </c>
      <c r="Q836" s="27" t="s">
        <v>2216</v>
      </c>
      <c r="R836" s="27" t="s">
        <v>648</v>
      </c>
      <c r="S836" s="27" t="s">
        <v>345</v>
      </c>
      <c r="T836" s="27" t="s">
        <v>341</v>
      </c>
      <c r="U836" s="27" t="s">
        <v>2217</v>
      </c>
    </row>
    <row r="837" customFormat="false" ht="19.5" hidden="false" customHeight="true" outlineLevel="0" collapsed="false">
      <c r="A837" s="19" t="n">
        <v>7100</v>
      </c>
      <c r="B837" s="15" t="s">
        <v>2373</v>
      </c>
      <c r="C837" s="17" t="s">
        <v>1402</v>
      </c>
      <c r="D837" s="16" t="n">
        <v>1000</v>
      </c>
      <c r="E837" s="17" t="s">
        <v>1403</v>
      </c>
      <c r="F837" s="17" t="s">
        <v>1403</v>
      </c>
      <c r="G837" s="15" t="s">
        <v>346</v>
      </c>
      <c r="H837" s="18" t="s">
        <v>346</v>
      </c>
      <c r="I837" s="15" t="s">
        <v>347</v>
      </c>
      <c r="J837" s="17" t="s">
        <v>336</v>
      </c>
      <c r="K837" s="17" t="s">
        <v>348</v>
      </c>
      <c r="L837" s="19" t="s">
        <v>348</v>
      </c>
      <c r="M837" s="15" t="s">
        <v>349</v>
      </c>
      <c r="N837" s="17" t="n">
        <v>0</v>
      </c>
      <c r="O837" s="15" t="s">
        <v>339</v>
      </c>
      <c r="P837" s="19" t="s">
        <v>690</v>
      </c>
      <c r="Q837" s="15" t="s">
        <v>691</v>
      </c>
      <c r="R837" s="15" t="s">
        <v>692</v>
      </c>
      <c r="S837" s="15" t="s">
        <v>345</v>
      </c>
      <c r="T837" s="15" t="s">
        <v>341</v>
      </c>
      <c r="U837" s="15" t="s">
        <v>693</v>
      </c>
    </row>
    <row r="838" customFormat="false" ht="19.5" hidden="false" customHeight="true" outlineLevel="0" collapsed="false">
      <c r="A838" s="26" t="n">
        <v>7104</v>
      </c>
      <c r="B838" s="27" t="s">
        <v>2374</v>
      </c>
      <c r="C838" s="30" t="s">
        <v>263</v>
      </c>
      <c r="D838" s="39" t="n">
        <v>20</v>
      </c>
      <c r="E838" s="30" t="s">
        <v>39</v>
      </c>
      <c r="F838" s="30" t="s">
        <v>39</v>
      </c>
      <c r="G838" s="27" t="s">
        <v>315</v>
      </c>
      <c r="H838" s="40" t="s">
        <v>315</v>
      </c>
      <c r="I838" s="27" t="s">
        <v>355</v>
      </c>
      <c r="J838" s="30" t="s">
        <v>360</v>
      </c>
      <c r="K838" s="30" t="s">
        <v>51</v>
      </c>
      <c r="L838" s="26" t="s">
        <v>51</v>
      </c>
      <c r="M838" s="27" t="s">
        <v>361</v>
      </c>
      <c r="N838" s="30" t="n">
        <v>47125</v>
      </c>
      <c r="O838" s="27" t="s">
        <v>344</v>
      </c>
      <c r="P838" s="26" t="n">
        <v>47125</v>
      </c>
      <c r="Q838" s="27" t="s">
        <v>2216</v>
      </c>
      <c r="R838" s="27" t="s">
        <v>648</v>
      </c>
      <c r="S838" s="27" t="s">
        <v>345</v>
      </c>
      <c r="T838" s="27" t="s">
        <v>341</v>
      </c>
      <c r="U838" s="27" t="s">
        <v>2217</v>
      </c>
    </row>
    <row r="839" customFormat="false" ht="19.5" hidden="false" customHeight="true" outlineLevel="0" collapsed="false">
      <c r="A839" s="19" t="n">
        <v>7113</v>
      </c>
      <c r="B839" s="15" t="s">
        <v>2375</v>
      </c>
      <c r="C839" s="17" t="s">
        <v>263</v>
      </c>
      <c r="D839" s="16" t="n">
        <v>20</v>
      </c>
      <c r="E839" s="17" t="s">
        <v>39</v>
      </c>
      <c r="F839" s="17" t="s">
        <v>39</v>
      </c>
      <c r="G839" s="15" t="s">
        <v>445</v>
      </c>
      <c r="H839" s="18" t="s">
        <v>445</v>
      </c>
      <c r="I839" s="15" t="s">
        <v>379</v>
      </c>
      <c r="J839" s="17" t="s">
        <v>336</v>
      </c>
      <c r="K839" s="17" t="s">
        <v>140</v>
      </c>
      <c r="L839" s="19" t="s">
        <v>140</v>
      </c>
      <c r="M839" s="15" t="s">
        <v>343</v>
      </c>
      <c r="N839" s="17" t="n">
        <v>0</v>
      </c>
      <c r="O839" s="15" t="s">
        <v>344</v>
      </c>
      <c r="P839" s="19" t="n">
        <v>8406</v>
      </c>
      <c r="Q839" s="15" t="s">
        <v>2376</v>
      </c>
      <c r="R839" s="15" t="s">
        <v>1217</v>
      </c>
      <c r="S839" s="15" t="s">
        <v>345</v>
      </c>
      <c r="T839" s="15" t="s">
        <v>341</v>
      </c>
      <c r="U839" s="15" t="s">
        <v>2377</v>
      </c>
    </row>
    <row r="840" customFormat="false" ht="19.5" hidden="false" customHeight="true" outlineLevel="0" collapsed="false">
      <c r="A840" s="26" t="n">
        <v>7216</v>
      </c>
      <c r="B840" s="27" t="s">
        <v>313</v>
      </c>
      <c r="C840" s="30" t="s">
        <v>314</v>
      </c>
      <c r="D840" s="39" t="n">
        <v>20</v>
      </c>
      <c r="E840" s="30" t="s">
        <v>39</v>
      </c>
      <c r="F840" s="30" t="s">
        <v>39</v>
      </c>
      <c r="G840" s="27" t="s">
        <v>315</v>
      </c>
      <c r="H840" s="40" t="s">
        <v>315</v>
      </c>
      <c r="I840" s="27" t="s">
        <v>355</v>
      </c>
      <c r="J840" s="30" t="s">
        <v>360</v>
      </c>
      <c r="K840" s="30" t="s">
        <v>82</v>
      </c>
      <c r="L840" s="26" t="s">
        <v>51</v>
      </c>
      <c r="M840" s="27" t="s">
        <v>361</v>
      </c>
      <c r="N840" s="30" t="n">
        <v>0</v>
      </c>
      <c r="O840" s="27" t="s">
        <v>353</v>
      </c>
      <c r="P840" s="26" t="n">
        <v>28421</v>
      </c>
      <c r="Q840" s="27" t="s">
        <v>2378</v>
      </c>
      <c r="R840" s="27" t="s">
        <v>717</v>
      </c>
      <c r="S840" s="27" t="s">
        <v>345</v>
      </c>
      <c r="T840" s="27" t="s">
        <v>341</v>
      </c>
      <c r="U840" s="27" t="s">
        <v>2379</v>
      </c>
    </row>
    <row r="841" customFormat="false" ht="19.5" hidden="false" customHeight="true" outlineLevel="0" collapsed="false">
      <c r="A841" s="19" t="n">
        <v>7217</v>
      </c>
      <c r="B841" s="15" t="s">
        <v>2380</v>
      </c>
      <c r="C841" s="17" t="s">
        <v>1230</v>
      </c>
      <c r="D841" s="16" t="n">
        <v>20</v>
      </c>
      <c r="E841" s="17" t="s">
        <v>39</v>
      </c>
      <c r="F841" s="17" t="s">
        <v>39</v>
      </c>
      <c r="G841" s="15" t="s">
        <v>534</v>
      </c>
      <c r="H841" s="18" t="s">
        <v>534</v>
      </c>
      <c r="I841" s="15" t="s">
        <v>342</v>
      </c>
      <c r="J841" s="17" t="s">
        <v>336</v>
      </c>
      <c r="K841" s="17" t="s">
        <v>111</v>
      </c>
      <c r="L841" s="19" t="s">
        <v>111</v>
      </c>
      <c r="M841" s="15" t="s">
        <v>343</v>
      </c>
      <c r="N841" s="17" t="n">
        <v>0</v>
      </c>
      <c r="O841" s="15" t="s">
        <v>344</v>
      </c>
      <c r="P841" s="19" t="n">
        <v>36721</v>
      </c>
      <c r="Q841" s="15" t="s">
        <v>2381</v>
      </c>
      <c r="R841" s="15" t="s">
        <v>1217</v>
      </c>
      <c r="S841" s="15" t="s">
        <v>345</v>
      </c>
      <c r="T841" s="15" t="s">
        <v>341</v>
      </c>
      <c r="U841" s="15" t="s">
        <v>2382</v>
      </c>
    </row>
    <row r="842" customFormat="false" ht="19.5" hidden="false" customHeight="true" outlineLevel="0" collapsed="false">
      <c r="A842" s="26" t="n">
        <v>7218</v>
      </c>
      <c r="B842" s="27" t="s">
        <v>2383</v>
      </c>
      <c r="C842" s="30" t="s">
        <v>263</v>
      </c>
      <c r="D842" s="39" t="n">
        <v>20</v>
      </c>
      <c r="E842" s="30" t="s">
        <v>39</v>
      </c>
      <c r="F842" s="30" t="s">
        <v>39</v>
      </c>
      <c r="G842" s="27" t="s">
        <v>446</v>
      </c>
      <c r="H842" s="40" t="s">
        <v>446</v>
      </c>
      <c r="I842" s="27" t="s">
        <v>447</v>
      </c>
      <c r="J842" s="30" t="s">
        <v>336</v>
      </c>
      <c r="K842" s="30" t="s">
        <v>111</v>
      </c>
      <c r="L842" s="26" t="s">
        <v>111</v>
      </c>
      <c r="M842" s="27" t="s">
        <v>343</v>
      </c>
      <c r="N842" s="30" t="n">
        <v>19217</v>
      </c>
      <c r="O842" s="27" t="s">
        <v>344</v>
      </c>
      <c r="P842" s="26" t="n">
        <v>19217</v>
      </c>
      <c r="Q842" s="27" t="s">
        <v>780</v>
      </c>
      <c r="R842" s="27" t="s">
        <v>648</v>
      </c>
      <c r="S842" s="27" t="s">
        <v>345</v>
      </c>
      <c r="T842" s="27" t="s">
        <v>341</v>
      </c>
      <c r="U842" s="27" t="s">
        <v>781</v>
      </c>
    </row>
    <row r="843" customFormat="false" ht="19.5" hidden="false" customHeight="true" outlineLevel="0" collapsed="false">
      <c r="A843" s="19" t="n">
        <v>7243</v>
      </c>
      <c r="B843" s="15" t="s">
        <v>2384</v>
      </c>
      <c r="C843" s="17" t="s">
        <v>263</v>
      </c>
      <c r="D843" s="16" t="n">
        <v>20</v>
      </c>
      <c r="E843" s="17" t="s">
        <v>39</v>
      </c>
      <c r="F843" s="17" t="s">
        <v>39</v>
      </c>
      <c r="G843" s="15" t="s">
        <v>590</v>
      </c>
      <c r="H843" s="18" t="s">
        <v>590</v>
      </c>
      <c r="I843" s="15" t="s">
        <v>379</v>
      </c>
      <c r="J843" s="17" t="s">
        <v>336</v>
      </c>
      <c r="K843" s="17" t="s">
        <v>140</v>
      </c>
      <c r="L843" s="19" t="s">
        <v>140</v>
      </c>
      <c r="M843" s="15" t="s">
        <v>343</v>
      </c>
      <c r="N843" s="17" t="n">
        <v>4026</v>
      </c>
      <c r="O843" s="15" t="s">
        <v>344</v>
      </c>
      <c r="P843" s="19" t="n">
        <v>4026</v>
      </c>
      <c r="Q843" s="15" t="s">
        <v>2385</v>
      </c>
      <c r="R843" s="15" t="s">
        <v>648</v>
      </c>
      <c r="S843" s="15" t="s">
        <v>345</v>
      </c>
      <c r="T843" s="15" t="s">
        <v>341</v>
      </c>
      <c r="U843" s="15" t="s">
        <v>2386</v>
      </c>
    </row>
    <row r="844" customFormat="false" ht="19.5" hidden="false" customHeight="true" outlineLevel="0" collapsed="false">
      <c r="A844" s="26" t="n">
        <v>7315</v>
      </c>
      <c r="B844" s="27" t="s">
        <v>2387</v>
      </c>
      <c r="C844" s="30" t="s">
        <v>1237</v>
      </c>
      <c r="D844" s="39" t="n">
        <v>1</v>
      </c>
      <c r="E844" s="30" t="s">
        <v>63</v>
      </c>
      <c r="F844" s="30" t="s">
        <v>63</v>
      </c>
      <c r="G844" s="27" t="s">
        <v>471</v>
      </c>
      <c r="H844" s="40" t="s">
        <v>471</v>
      </c>
      <c r="I844" s="27" t="s">
        <v>402</v>
      </c>
      <c r="J844" s="30" t="s">
        <v>336</v>
      </c>
      <c r="K844" s="30" t="s">
        <v>472</v>
      </c>
      <c r="L844" s="26" t="s">
        <v>472</v>
      </c>
      <c r="M844" s="27" t="s">
        <v>352</v>
      </c>
      <c r="N844" s="30" t="n">
        <v>0</v>
      </c>
      <c r="O844" s="27" t="s">
        <v>353</v>
      </c>
      <c r="P844" s="26" t="s">
        <v>1193</v>
      </c>
      <c r="Q844" s="27" t="s">
        <v>1194</v>
      </c>
      <c r="R844" s="27" t="s">
        <v>717</v>
      </c>
      <c r="S844" s="27" t="s">
        <v>340</v>
      </c>
      <c r="T844" s="27" t="s">
        <v>341</v>
      </c>
      <c r="U844" s="27" t="s">
        <v>2388</v>
      </c>
    </row>
    <row r="845" customFormat="false" ht="19.5" hidden="false" customHeight="true" outlineLevel="0" collapsed="false">
      <c r="A845" s="19" t="n">
        <v>7334</v>
      </c>
      <c r="B845" s="15" t="s">
        <v>2389</v>
      </c>
      <c r="C845" s="17" t="s">
        <v>263</v>
      </c>
      <c r="D845" s="16" t="n">
        <v>20</v>
      </c>
      <c r="E845" s="17" t="s">
        <v>39</v>
      </c>
      <c r="F845" s="17" t="s">
        <v>39</v>
      </c>
      <c r="G845" s="15" t="s">
        <v>429</v>
      </c>
      <c r="H845" s="18" t="s">
        <v>429</v>
      </c>
      <c r="I845" s="15" t="s">
        <v>356</v>
      </c>
      <c r="J845" s="17" t="s">
        <v>336</v>
      </c>
      <c r="K845" s="17" t="s">
        <v>82</v>
      </c>
      <c r="L845" s="19" t="s">
        <v>82</v>
      </c>
      <c r="M845" s="15" t="s">
        <v>343</v>
      </c>
      <c r="N845" s="17" t="n">
        <v>40624</v>
      </c>
      <c r="O845" s="15" t="s">
        <v>344</v>
      </c>
      <c r="P845" s="19" t="n">
        <v>40624</v>
      </c>
      <c r="Q845" s="15" t="s">
        <v>1588</v>
      </c>
      <c r="R845" s="15" t="s">
        <v>648</v>
      </c>
      <c r="S845" s="15" t="s">
        <v>345</v>
      </c>
      <c r="T845" s="15" t="s">
        <v>341</v>
      </c>
      <c r="U845" s="15" t="s">
        <v>1589</v>
      </c>
    </row>
    <row r="846" customFormat="false" ht="19.5" hidden="false" customHeight="true" outlineLevel="0" collapsed="false">
      <c r="A846" s="26" t="n">
        <v>7373</v>
      </c>
      <c r="B846" s="27" t="s">
        <v>2390</v>
      </c>
      <c r="C846" s="30" t="s">
        <v>263</v>
      </c>
      <c r="D846" s="39" t="n">
        <v>20</v>
      </c>
      <c r="E846" s="30" t="s">
        <v>39</v>
      </c>
      <c r="F846" s="30" t="s">
        <v>39</v>
      </c>
      <c r="G846" s="27" t="s">
        <v>445</v>
      </c>
      <c r="H846" s="40" t="s">
        <v>445</v>
      </c>
      <c r="I846" s="27" t="s">
        <v>379</v>
      </c>
      <c r="J846" s="30" t="s">
        <v>336</v>
      </c>
      <c r="K846" s="30" t="s">
        <v>140</v>
      </c>
      <c r="L846" s="26" t="s">
        <v>140</v>
      </c>
      <c r="M846" s="27" t="s">
        <v>343</v>
      </c>
      <c r="N846" s="30" t="n">
        <v>15716</v>
      </c>
      <c r="O846" s="27" t="s">
        <v>344</v>
      </c>
      <c r="P846" s="26" t="n">
        <v>15716</v>
      </c>
      <c r="Q846" s="27" t="s">
        <v>777</v>
      </c>
      <c r="R846" s="27" t="s">
        <v>648</v>
      </c>
      <c r="S846" s="27" t="s">
        <v>345</v>
      </c>
      <c r="T846" s="27" t="s">
        <v>341</v>
      </c>
      <c r="U846" s="27" t="s">
        <v>2391</v>
      </c>
    </row>
    <row r="847" customFormat="false" ht="19.5" hidden="false" customHeight="true" outlineLevel="0" collapsed="false">
      <c r="A847" s="19" t="n">
        <v>7374</v>
      </c>
      <c r="B847" s="15" t="s">
        <v>77</v>
      </c>
      <c r="C847" s="17" t="s">
        <v>316</v>
      </c>
      <c r="D847" s="16" t="n">
        <v>0.1</v>
      </c>
      <c r="E847" s="17" t="s">
        <v>63</v>
      </c>
      <c r="F847" s="17" t="s">
        <v>63</v>
      </c>
      <c r="G847" s="15" t="s">
        <v>78</v>
      </c>
      <c r="H847" s="18" t="s">
        <v>78</v>
      </c>
      <c r="I847" s="15" t="s">
        <v>356</v>
      </c>
      <c r="J847" s="17" t="s">
        <v>360</v>
      </c>
      <c r="K847" s="17" t="s">
        <v>51</v>
      </c>
      <c r="L847" s="19" t="s">
        <v>45</v>
      </c>
      <c r="M847" s="15" t="s">
        <v>361</v>
      </c>
      <c r="N847" s="17" t="n">
        <v>52425</v>
      </c>
      <c r="O847" s="15" t="s">
        <v>344</v>
      </c>
      <c r="P847" s="19" t="n">
        <v>52425</v>
      </c>
      <c r="Q847" s="15" t="s">
        <v>2229</v>
      </c>
      <c r="R847" s="15" t="s">
        <v>648</v>
      </c>
      <c r="S847" s="15" t="s">
        <v>345</v>
      </c>
      <c r="T847" s="15" t="s">
        <v>341</v>
      </c>
      <c r="U847" s="15" t="s">
        <v>2392</v>
      </c>
    </row>
    <row r="848" customFormat="false" ht="19.5" hidden="false" customHeight="true" outlineLevel="0" collapsed="false">
      <c r="A848" s="26" t="n">
        <v>7378</v>
      </c>
      <c r="B848" s="27" t="s">
        <v>2393</v>
      </c>
      <c r="C848" s="30" t="s">
        <v>260</v>
      </c>
      <c r="D848" s="39" t="n">
        <v>5</v>
      </c>
      <c r="E848" s="30" t="s">
        <v>39</v>
      </c>
      <c r="F848" s="30" t="s">
        <v>39</v>
      </c>
      <c r="G848" s="27" t="s">
        <v>536</v>
      </c>
      <c r="H848" s="40" t="s">
        <v>536</v>
      </c>
      <c r="I848" s="27" t="s">
        <v>356</v>
      </c>
      <c r="J848" s="30" t="s">
        <v>336</v>
      </c>
      <c r="K848" s="30" t="s">
        <v>82</v>
      </c>
      <c r="L848" s="26" t="s">
        <v>82</v>
      </c>
      <c r="M848" s="27" t="s">
        <v>343</v>
      </c>
      <c r="N848" s="30" t="n">
        <v>4516</v>
      </c>
      <c r="O848" s="27" t="s">
        <v>344</v>
      </c>
      <c r="P848" s="26" t="n">
        <v>4516</v>
      </c>
      <c r="Q848" s="27" t="s">
        <v>2394</v>
      </c>
      <c r="R848" s="27" t="s">
        <v>648</v>
      </c>
      <c r="S848" s="27" t="s">
        <v>345</v>
      </c>
      <c r="T848" s="27" t="s">
        <v>341</v>
      </c>
      <c r="U848" s="27" t="s">
        <v>2395</v>
      </c>
    </row>
    <row r="849" customFormat="false" ht="21.75" hidden="false" customHeight="true" outlineLevel="0" collapsed="false">
      <c r="A849" s="42" t="n">
        <f aca="false">COUNTA(A4:A848)</f>
        <v>845</v>
      </c>
      <c r="B849" s="41" t="s">
        <v>2396</v>
      </c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</row>
  </sheetData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2026-10-19T20:58:56Z</dcterms:created>
  <dc:creator>openpyxl</dc:creator>
  <dc:description/>
  <dc:language>en-US</dc:language>
  <cp:lastModifiedBy/>
  <dcterms:modified xsi:type="dcterms:W3CDTF">2026-10-19T20:58:56Z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